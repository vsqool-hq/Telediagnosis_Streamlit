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telediagnosisspzoo.sharepoint.com/sites/Rozliczenia/Shared Documents/Rozliczenia Radiologów/ROZLICZENIA 05.2026/"/>
    </mc:Choice>
  </mc:AlternateContent>
  <xr:revisionPtr revIDLastSave="6" documentId="13_ncr:1_{FB921AC1-F777-45B6-B412-64694C5ED3C7}" xr6:coauthVersionLast="47" xr6:coauthVersionMax="47" xr10:uidLastSave="{4F43E82E-5920-486A-BCBE-330673E58314}"/>
  <bookViews>
    <workbookView xWindow="-28920" yWindow="-120" windowWidth="29040" windowHeight="15720" xr2:uid="{00000000-000D-0000-FFFF-FFFF00000000}"/>
  </bookViews>
  <sheets>
    <sheet name="Rozliczenie" sheetId="1" r:id="rId1"/>
    <sheet name="Szczegółowe" sheetId="2" r:id="rId2"/>
  </sheets>
  <definedNames>
    <definedName name="_xlnm._FilterDatabase" localSheetId="0" hidden="1">Rozliczenie!$A$2:$AO$2</definedName>
  </definedName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5" i="1" l="1"/>
  <c r="E371" i="1"/>
  <c r="I3" i="1"/>
  <c r="I4" i="1"/>
  <c r="I5" i="1"/>
  <c r="I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366" i="1"/>
  <c r="N73" i="1"/>
  <c r="N366" i="1"/>
  <c r="S73" i="1"/>
  <c r="S366" i="1"/>
  <c r="X73" i="1"/>
  <c r="X366" i="1"/>
  <c r="AC73" i="1"/>
  <c r="AC366" i="1"/>
  <c r="E369" i="1"/>
  <c r="AC3" i="1"/>
  <c r="AC4" i="1"/>
  <c r="AC5" i="1"/>
  <c r="AC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B366" i="1"/>
  <c r="X3" i="1"/>
  <c r="X4" i="1"/>
  <c r="X5" i="1"/>
  <c r="X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W366" i="1"/>
  <c r="S3" i="1"/>
  <c r="S4" i="1"/>
  <c r="S5" i="1"/>
  <c r="S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R366" i="1"/>
  <c r="N3" i="1"/>
  <c r="N4" i="1"/>
  <c r="N5" i="1"/>
  <c r="N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M366" i="1"/>
  <c r="H366" i="1"/>
</calcChain>
</file>

<file path=xl/sharedStrings.xml><?xml version="1.0" encoding="utf-8"?>
<sst xmlns="http://schemas.openxmlformats.org/spreadsheetml/2006/main" count="9300" uniqueCount="1959">
  <si>
    <t>CITO NA RATUNEK</t>
  </si>
  <si>
    <t>MNOŻNIK</t>
  </si>
  <si>
    <t>ILOŚĆ</t>
  </si>
  <si>
    <t>CITO-CITO</t>
  </si>
  <si>
    <t>CITO-UDAR</t>
  </si>
  <si>
    <t>Pilny</t>
  </si>
  <si>
    <t>Planowy</t>
  </si>
  <si>
    <t>Stawka</t>
  </si>
  <si>
    <t>#</t>
  </si>
  <si>
    <t>Wartość (zł)</t>
  </si>
  <si>
    <t>MR</t>
  </si>
  <si>
    <t>CHOLANGIOGRAFIA</t>
  </si>
  <si>
    <t>MR Inne - wtym prostata, miednica, jama brzuszna tkanki miekkie</t>
  </si>
  <si>
    <t>1 okolica anatomiczna</t>
  </si>
  <si>
    <t>K.MR MIEDNICY MNIEJSZEJ</t>
  </si>
  <si>
    <t>MR Onkologia</t>
  </si>
  <si>
    <t>MR – Angio</t>
  </si>
  <si>
    <t>MR Angiografia</t>
  </si>
  <si>
    <t>MR - cholangiografia - bez kontrastu</t>
  </si>
  <si>
    <t>MR - kręg. Th z kontrastem</t>
  </si>
  <si>
    <t>MR Neurologia</t>
  </si>
  <si>
    <t>MR angio głowy</t>
  </si>
  <si>
    <t>MR badanie jednej okolicy anatomicznej innej niż kręgosłupa bez wzmocnienia kontrastowego</t>
  </si>
  <si>
    <t>MR dynam - jamy brzusznej z kontrastem</t>
  </si>
  <si>
    <t>MR dynam - miednicy z kontrastem</t>
  </si>
  <si>
    <t>MR głowy bez wzmocnienia kontrastowego</t>
  </si>
  <si>
    <t>MR głowy bez wzmocnienia kontrastowego - protokół udarowy</t>
  </si>
  <si>
    <t>MR głowy z kontrastem</t>
  </si>
  <si>
    <t>MR głowy ze wzmocnieniem kontrastowym</t>
  </si>
  <si>
    <t>2 okolice anatomiczne</t>
  </si>
  <si>
    <t>MR jamy brzusznej</t>
  </si>
  <si>
    <t>MR jamy brzusznej z kontrastem</t>
  </si>
  <si>
    <t>MR jamy brzusznej, przestrzeni zaotrzewnowej - z kontrastem</t>
  </si>
  <si>
    <t>MR kręgosłupa lędźwiowego - bez kontrastu</t>
  </si>
  <si>
    <t>MR miednicy małej - z kontrastem</t>
  </si>
  <si>
    <t>MR miednicy z kontrastem</t>
  </si>
  <si>
    <t>MR miednicy z kontrastem (onko.)</t>
  </si>
  <si>
    <t>NFZ.MR JAMY BRZUSZNEJ - WIELOFAZOWE</t>
  </si>
  <si>
    <t>NFZ.MR MIEDNICY MNIEJSZEJ - WIELOFAZOWE</t>
  </si>
  <si>
    <t>NFZ.MRCP</t>
  </si>
  <si>
    <t>Rezonans magnet. jamy brzusznej lub miednicy małej bez kontr. i z kontr.</t>
  </si>
  <si>
    <t>Rezonans Magnetyczny głowy protokół udar</t>
  </si>
  <si>
    <t>MR Ortopedia</t>
  </si>
  <si>
    <t>Rezonans Magnetyczny głowy z kontrastem</t>
  </si>
  <si>
    <t>Rezonans Magnetyczny jamy brzusznej bez kontrastu</t>
  </si>
  <si>
    <t>Rezonans Magnetyczny jamy brzusznej z kontrastem</t>
  </si>
  <si>
    <t>Rezonans Magnetyczny kręgosłupa piersiowego z kontrastem</t>
  </si>
  <si>
    <t>RM  miednicy bez i ze wzmocnieniem kontrastowym</t>
  </si>
  <si>
    <t>RM jamy brzusznej lub miednicy małej bez i z kontrastem</t>
  </si>
  <si>
    <t>RM miednicy, pęcherza, prostaty</t>
  </si>
  <si>
    <t>RM MRCP</t>
  </si>
  <si>
    <t>RM szyi bez i ze wzmocnieniem kontrastowym</t>
  </si>
  <si>
    <t>TK</t>
  </si>
  <si>
    <t>Angio TK - klatki piersiowej</t>
  </si>
  <si>
    <t>TK Angiografia</t>
  </si>
  <si>
    <t>3 okolice anatomiczne</t>
  </si>
  <si>
    <t>Angio TK - naczynia kończyn</t>
  </si>
  <si>
    <t>Angio TK klatki piersiowej – zatorowość</t>
  </si>
  <si>
    <t>Angio TK tętnic mózgowych</t>
  </si>
  <si>
    <t>Angio TK tt. mózgowia</t>
  </si>
  <si>
    <t>Angio TK tt. szyjne</t>
  </si>
  <si>
    <t xml:space="preserve">Angio tt szyjnych i tt mózgowych </t>
  </si>
  <si>
    <t>Angiografia TK, głowy</t>
  </si>
  <si>
    <t>Angiografia TK, tętnice płucne</t>
  </si>
  <si>
    <t>Angiografia TK, tętnice szyjne</t>
  </si>
  <si>
    <t>Angio-TK tętnic mózgowych</t>
  </si>
  <si>
    <t>Angio-TK tętnic mózgowych i szyjnych</t>
  </si>
  <si>
    <t>Angio-TK, głowa</t>
  </si>
  <si>
    <t>TK Zwykłe</t>
  </si>
  <si>
    <t>Angio-TK, jama brzuszna, miednica mniejsza</t>
  </si>
  <si>
    <t>TK Onkologia</t>
  </si>
  <si>
    <t>Angio-TK, tętnice szyjne</t>
  </si>
  <si>
    <t>Bad. TK - Głowa bez kontrastu</t>
  </si>
  <si>
    <t>Bad. TK - Jama brzuszna bez kontrastu i z kontrastem</t>
  </si>
  <si>
    <t>Bad. TK - Klatka piersiowa bez kontrastu</t>
  </si>
  <si>
    <t>Bad. TK - Miednica bez kontrastu</t>
  </si>
  <si>
    <t>Bad. TK - Miednica bez kontrastu i z kontrastem</t>
  </si>
  <si>
    <t>Bad. TK - Odcinek lędźwiowy kręgosłupa bez kontrastu</t>
  </si>
  <si>
    <t>Bad. TK - Odcinek szyjny kręgosłupa bez kontrastu</t>
  </si>
  <si>
    <t>Bad. TK - Szyja - angio</t>
  </si>
  <si>
    <t>Bad. TK - Szyja bez kontrastu</t>
  </si>
  <si>
    <t>Bad. TK - Twarzoczaszka bez kontrastu</t>
  </si>
  <si>
    <t>Badanie KT: Szyja</t>
  </si>
  <si>
    <t>Badanie TK angio głowy ze wzmocnieniem kontrastowym</t>
  </si>
  <si>
    <t>Badanie TK angio tętnic szyjnych</t>
  </si>
  <si>
    <t>Badanie TK głowy</t>
  </si>
  <si>
    <t>Badanie TK głowy bez wzmocnienia konstrastowego</t>
  </si>
  <si>
    <t>Badanie TK jamy brzusznej bez i ze wzmocnieniem kontrastowym - wielofazowe</t>
  </si>
  <si>
    <t>Badanie TK jamy brzusznej i miednicy</t>
  </si>
  <si>
    <t>Badanie TK jamy brzusznej i miednicy dwufazowe z kontrastem</t>
  </si>
  <si>
    <t>Badanie TK klatki piersiowej</t>
  </si>
  <si>
    <t>Badanie TK klatki piersiowej dwufazowe z kontrastem</t>
  </si>
  <si>
    <t>Badanie TK klatki piersiowej, jamy brzusznej i miednicy dwufazowe z kontrastem</t>
  </si>
  <si>
    <t>Badanie TK kręgosłupa lędźwiowego</t>
  </si>
  <si>
    <t>Badanie TK miednicy małej bez i ze wzmocnieniem kontrastowym - wielofazowe</t>
  </si>
  <si>
    <t>Badanie TK twarzoczaszki + C miękkie + klatki piersiowej dwufazowe z kontrastem</t>
  </si>
  <si>
    <t>Badanie TK wielu okolic anatomicznych</t>
  </si>
  <si>
    <t>Badanie TK wielu okolic anatomicznych u pacjenta z urazem wielonarządowym bez kontrastu</t>
  </si>
  <si>
    <t>Badanie TK wielu okolic anatomicznych u pacjenta z urazem wielonarządowym z kontrastem</t>
  </si>
  <si>
    <t>Badanie TK zatok bez wzmocnienia kontrastowego</t>
  </si>
  <si>
    <t>Badanie układu kostnego</t>
  </si>
  <si>
    <t>Badanie wielu okolic anatomicznych (np. kl. pierś+jama brzuszna+miednica) bez kontrastu</t>
  </si>
  <si>
    <t>CT jamy brzusznej i miednicy (bez kontrastu) [88.010 ]</t>
  </si>
  <si>
    <t>CT klatki piersiowej i jamy brzusznej (bez kontrastu)</t>
  </si>
  <si>
    <t>gł+angio gł+tt szyjne</t>
  </si>
  <si>
    <t>HRCT - (tryb PILNY)</t>
  </si>
  <si>
    <t>HRCT klatki piersiowej</t>
  </si>
  <si>
    <t>K.TK J. BRZUSZNEJ I MIEDNICY MNIEJSZEJ</t>
  </si>
  <si>
    <t>K.TK JAMY BRZUSZNEJ</t>
  </si>
  <si>
    <t>K.TK JAMY BRZUSZNEJ I MIEDNICY MNIEJSZEJ</t>
  </si>
  <si>
    <t>K.TK KRĘGOSŁUPA LĘDŹWIOWO-KRZYŻOWEGO</t>
  </si>
  <si>
    <t>K.TK KRĘGOSŁUPA SZYJNEGO</t>
  </si>
  <si>
    <t>K.TK MÓZGOWIA</t>
  </si>
  <si>
    <t>K.TK MÓZGOWIA I KRĘGOSŁUPA SZYJNEGO</t>
  </si>
  <si>
    <t>klp+jb+m</t>
  </si>
  <si>
    <t>klp+jb+m+kontrast</t>
  </si>
  <si>
    <t>NFZ.TK 2 ODCINKI KRĘGOSŁUPA - BEZ KONTRASTU</t>
  </si>
  <si>
    <t>NFZ.TK UDA - Z KONTRASTEM</t>
  </si>
  <si>
    <t>Politrauma</t>
  </si>
  <si>
    <t>5 okolic anatomicznych</t>
  </si>
  <si>
    <t>TK - 2 okolic anatomicznych z kontrastem</t>
  </si>
  <si>
    <t>TK - 2 procedury</t>
  </si>
  <si>
    <t>TK - 5 procedur</t>
  </si>
  <si>
    <t>TK - dwie procedury anatomiczne</t>
  </si>
  <si>
    <t>TK - głowa bez kontrastu</t>
  </si>
  <si>
    <t>TK - głowy</t>
  </si>
  <si>
    <t>TK - j.brzusznej i miednicy bez i ze środkiem kontrastowym</t>
  </si>
  <si>
    <t>TK - jama brzuszna i miednica z kontrastem</t>
  </si>
  <si>
    <t>TK - jamy brzusznej i miednicy bez i z kontrastem</t>
  </si>
  <si>
    <t>TK - klatka piersiowa bez i z kontrastem</t>
  </si>
  <si>
    <t>TK - klatka piersiowa bez kontrastu</t>
  </si>
  <si>
    <t>TK - klatki piersiowej</t>
  </si>
  <si>
    <t>TK - klatki piersiowej bez i ze środkiem kontrastowym</t>
  </si>
  <si>
    <t>TK - klatki piersiowej i jamy brzusznej bez K</t>
  </si>
  <si>
    <t>TK - klatki piersiowej z kontrastem</t>
  </si>
  <si>
    <t>TK - kręgosłup odcinek lędźwiowy</t>
  </si>
  <si>
    <t>TK - kręgosłupa lędźwiowo-krzyżowego bez wz.kontrastowego</t>
  </si>
  <si>
    <t>TK - kręgosłupa odc. L/S</t>
  </si>
  <si>
    <t>TK - kręgosłupa piersiowego bez wz.kontrastowego</t>
  </si>
  <si>
    <t>TK - kręgosłupa szyjnego bez wz.kontrastowego</t>
  </si>
  <si>
    <t>TK - trzech procedur anatomicznych</t>
  </si>
  <si>
    <t>TK 4-okolic ciała bez i z kontrastem (szyja, kl.p, jama brzuszna, miednica)</t>
  </si>
  <si>
    <t>TK angio aorta piersiowa</t>
  </si>
  <si>
    <t>TK angio aorty</t>
  </si>
  <si>
    <t>TK angio aorty piers. + aorty brz. + tt. biodrowych</t>
  </si>
  <si>
    <t>TK angio głowy</t>
  </si>
  <si>
    <t>TK ANGIO GŁOWY</t>
  </si>
  <si>
    <t>TK angio głowy z szyją trombolityczne</t>
  </si>
  <si>
    <t>TK angio jamy brzusznej</t>
  </si>
  <si>
    <t>TK angio jb+angio k. dolnych</t>
  </si>
  <si>
    <t>TK angio klatki piersiowej</t>
  </si>
  <si>
    <t>TK angio klp+angio jb+m</t>
  </si>
  <si>
    <t>TK angio kończyn dolnych</t>
  </si>
  <si>
    <t>TK angio tętnic płucnych</t>
  </si>
  <si>
    <t>TK angio tętnic szyjnych</t>
  </si>
  <si>
    <t>TK Angio TK j.brzusznej</t>
  </si>
  <si>
    <t>TK ANGIO TT SZYJNYCH</t>
  </si>
  <si>
    <t>TK angio tt. szyjnych i tt. mózgowych z kontrastem</t>
  </si>
  <si>
    <t>TK angiografia aorty brzusznej</t>
  </si>
  <si>
    <t>TK angiografia aorty piersiowej</t>
  </si>
  <si>
    <t>TK angiografia głowy</t>
  </si>
  <si>
    <t>TK angiografia głowy i szyi</t>
  </si>
  <si>
    <t>TK angiografia klatki piersiowej</t>
  </si>
  <si>
    <t>TK angiografia szyi</t>
  </si>
  <si>
    <t>TK angiografia tt. Mózgowych [87.03 ]</t>
  </si>
  <si>
    <t>TK brzucha z miednicą bez i z kontrastem</t>
  </si>
  <si>
    <t>TK GŁOWA</t>
  </si>
  <si>
    <t>TK Głowa bez wzmocnienia kontrastowego</t>
  </si>
  <si>
    <t>TK głowy</t>
  </si>
  <si>
    <t>TK głowy (mózgowia) bez kontrastu</t>
  </si>
  <si>
    <t>TK głowy (mózgowia) wielofazowo</t>
  </si>
  <si>
    <t>TK głowy (mózgowia) z kontrastem</t>
  </si>
  <si>
    <t>TK głowy (z kontrastem) [87.03 ]</t>
  </si>
  <si>
    <t>TK głowy bez kontrastu</t>
  </si>
  <si>
    <t>TK GŁOWY BEZ KONTRASTU</t>
  </si>
  <si>
    <t>TK głowy bez kontrastu [87.03 ]</t>
  </si>
  <si>
    <t>Tk głowy bez wzmocnienia kontrastowego</t>
  </si>
  <si>
    <t>TK głowy bez wzmocnienia kontrastowego</t>
  </si>
  <si>
    <t>TK GŁOWY BEZ WZMOCNIENIA KONTRASTOWEGO</t>
  </si>
  <si>
    <t>TK głowy bez wzmocnienia kontrastowego 87.030</t>
  </si>
  <si>
    <t>TK głowy dwufazowe</t>
  </si>
  <si>
    <t>TK głowy i klatki piersiowej przeglądowe</t>
  </si>
  <si>
    <t>TK głowy i kręgosłupa szyjnego</t>
  </si>
  <si>
    <t>TK Głowy i twarzoczaszki - bez kontrastu</t>
  </si>
  <si>
    <t>TK głowy podstawowe</t>
  </si>
  <si>
    <t>TK głowy przeglądowa</t>
  </si>
  <si>
    <t>TK głowy tylko z kontrastem</t>
  </si>
  <si>
    <t>TK głowy z kontrastem</t>
  </si>
  <si>
    <t>TK głowy, klatki piersiowej, jamy brzusznej i miednicy wielofazowe</t>
  </si>
  <si>
    <t>4 okolice anatomiczne</t>
  </si>
  <si>
    <t>TK HRCT</t>
  </si>
  <si>
    <t>TK J. BRZUSZ. + MM</t>
  </si>
  <si>
    <t>TK j.brzusznej i miednicy</t>
  </si>
  <si>
    <t>TK j.brzusznej i miednicy -badanie wielofazowe</t>
  </si>
  <si>
    <t>TK j.brzusznej i miednicy bez i co najmniej dwie fazy ze wzmocnieniem kontrastowym</t>
  </si>
  <si>
    <t>TK j.brzusznej i miednicy przeglądowa</t>
  </si>
  <si>
    <t>TK j.brzusznej i miednicy z kontrastem</t>
  </si>
  <si>
    <t>TK jamy brzusznej + miednica bez i z wzmocnieniem kontrastowym</t>
  </si>
  <si>
    <t>TK jamy brzusznej bez kontrastu</t>
  </si>
  <si>
    <t>TK jamy brzusznej bez kontrastu - kamica układu moczowego</t>
  </si>
  <si>
    <t>TK jamy brzusznej i miednicy małej z kontrastem</t>
  </si>
  <si>
    <t>TK jamy brzusznej i miednicy mniejszej - bez kontrastu</t>
  </si>
  <si>
    <t>TK jamy brzusznej i miednicy z kontrastem</t>
  </si>
  <si>
    <t>TK jamy brzusznej lub miednicy małej bez i ze wzmocnieniem kontrastowym; TK klatki piersiowej bez i ze wzmocnieniem kontrastowym</t>
  </si>
  <si>
    <t>TK jamy brzusznej lub miednicy małej bez kontrastu</t>
  </si>
  <si>
    <t>TK jamy brzusznej lub miednicy małej bez wzmocnienia kontrastowego</t>
  </si>
  <si>
    <t>TK jamy brzusznej lub miednicy mniejszej bez wzmocnienia kontrastowego; TK klatki piersiowej bez wzmocnienia kontrastowego</t>
  </si>
  <si>
    <t>TK jamy brzusznej z kontrastem</t>
  </si>
  <si>
    <t>TK jamy brzusznej z miednica</t>
  </si>
  <si>
    <t>TK KL. PIER.</t>
  </si>
  <si>
    <t>TK KL. PIER. + J. BRZUSZ. + MM + KONTRAST</t>
  </si>
  <si>
    <t>TK KL. PIER. LOW DOSE</t>
  </si>
  <si>
    <t>TK kl. piersiowej + jamy brzusznej  +miednicy (z kontrastem)</t>
  </si>
  <si>
    <t>TK kl.piersiowej bez i ze wzmocnieniem kontrastowym</t>
  </si>
  <si>
    <t>TK kl.piersiowej bez wzmocnienia kontrastowego</t>
  </si>
  <si>
    <t>TK klatki piersiowej</t>
  </si>
  <si>
    <t>TK klatki piersiowej (bez kontrastu) [87.410 ]</t>
  </si>
  <si>
    <t>TK Klatki piersiowej + jamy brzusznej + miednicy wielofazowe</t>
  </si>
  <si>
    <t>TK klatki piersiowej bez i z kontrastem</t>
  </si>
  <si>
    <t>TK KLATKI PIERSIOWEJ bez i z kontrastem</t>
  </si>
  <si>
    <t>TK klatki piersiowej bez i ze wzmocnieniem kontrastowym</t>
  </si>
  <si>
    <t>TK klatki piersiowej bez kontrastu</t>
  </si>
  <si>
    <t>TK klatki piersiowej bez kontrastu i z kontrastem</t>
  </si>
  <si>
    <t>TK klatki piersiowej bez wzmocnienia kontrastowego</t>
  </si>
  <si>
    <t>TK klatki piersiowej i j.brzusznej z kontrastem</t>
  </si>
  <si>
    <t>TK KLATKI PIERSIOWEJ JAMY BRZUSZNEJ I MIEDNICY MNIEJSZEJ BEZ I Z KONTRASTEM</t>
  </si>
  <si>
    <t>TK klatki piersiowej z kontrastem</t>
  </si>
  <si>
    <t>TK klatki piersiowej z kontrastem (onko.)</t>
  </si>
  <si>
    <t>TK klatki piersiowej, j.brzusznej i miednicy</t>
  </si>
  <si>
    <t>TK klatki piersiowej, j.brzusznej i miednicy z kontrastem</t>
  </si>
  <si>
    <t>TK klatki piersiowej, jamy brzusznej i miednicy z kontrastem</t>
  </si>
  <si>
    <t>TK klp</t>
  </si>
  <si>
    <t>TK klp brzucha i miednicy bez kontrastu</t>
  </si>
  <si>
    <t>TK klp brzucha i miednicy z kontrastu</t>
  </si>
  <si>
    <t>TK klp.,  j.b.  przed i po podaniu i.v. kontrastu /88.012 BK/</t>
  </si>
  <si>
    <t>TK kolana lewego</t>
  </si>
  <si>
    <t>TK kości i/lub stawów k.górnej bez kontrastu</t>
  </si>
  <si>
    <t>TK kręgosłupa – odcinek lędźwiowy</t>
  </si>
  <si>
    <t>TK kręgosłupa – odcinek szyjny</t>
  </si>
  <si>
    <t>TK kręgosłupa lędźwiowego przeglądowa</t>
  </si>
  <si>
    <t>TK kręgosłupa lędźwiowo-krzyżowego bez wzmocnienia kontrastowego</t>
  </si>
  <si>
    <t>TK kręgosłupa lędźwiowo-krzyżowego bez wzmocnienia kontrastwego</t>
  </si>
  <si>
    <t>TK kręgosłupa odc. C</t>
  </si>
  <si>
    <t>TK kręgosłupa odc. L/S</t>
  </si>
  <si>
    <t>TK kręgosłupa odc. Th</t>
  </si>
  <si>
    <t>TK kręgosłupa piersiowego bez wzmocnienia kontrastowego</t>
  </si>
  <si>
    <t>TK kręgosłupa szyjnego bez wzmocnienia kontrastowego</t>
  </si>
  <si>
    <t>TK kręgosłupa szyjnego przeglądowa</t>
  </si>
  <si>
    <t>TK miednicy</t>
  </si>
  <si>
    <t>TK piramid kości skroniowych</t>
  </si>
  <si>
    <t>TK ręki prawej</t>
  </si>
  <si>
    <t>TK stawów, kości</t>
  </si>
  <si>
    <t>TK stawu kolanowego bez kontrastu</t>
  </si>
  <si>
    <t>TK stopa - L</t>
  </si>
  <si>
    <t>TK stopy prawej</t>
  </si>
  <si>
    <t>TK szyi</t>
  </si>
  <si>
    <t>TK szyi bez i z kontrastem</t>
  </si>
  <si>
    <t>TK szyi bez i ze wzmocnieniem kontrastowym</t>
  </si>
  <si>
    <t>TK szyi bez kontrastu</t>
  </si>
  <si>
    <t>TK szyi z konrastem</t>
  </si>
  <si>
    <t>TK szyi z kontrastem</t>
  </si>
  <si>
    <t>TK tętnic jamy brzusznej (w tym aorta)</t>
  </si>
  <si>
    <t>TK tkanek miękkich i kości bez kontrastu</t>
  </si>
  <si>
    <t>TK twarzoczaszka bez kontrastu</t>
  </si>
  <si>
    <t>TK twarzoczaszka i szyja z kontrastem</t>
  </si>
  <si>
    <t>TK twarzoczaszka z kontrastem</t>
  </si>
  <si>
    <t>TK twarzoczaszki</t>
  </si>
  <si>
    <t>TK twarzoczaszki bez i z kontrastem</t>
  </si>
  <si>
    <t>TK twarzoczaszki bez kontrastu</t>
  </si>
  <si>
    <t>TK twarzoczaszki bez wzmocnienia kontrastowego</t>
  </si>
  <si>
    <t>TK twarzoczaszki, szyi i klatki piersiowej ze wzmocnieniem</t>
  </si>
  <si>
    <t>TK urografia - z kontrastem</t>
  </si>
  <si>
    <t>TK uszu</t>
  </si>
  <si>
    <t>TK, angio, łuk aorty i tętnice dogłowowe (6.222)</t>
  </si>
  <si>
    <t>TK, angio, tętnice szyjne, bez i z wzmocnieniem kontrastowym (6.221)</t>
  </si>
  <si>
    <t>Tk, całego ciała (uraz wielonarządowy), osoba dorosła (5.193)</t>
  </si>
  <si>
    <t>TK, głowa - mózgowie - badanie bez kontrastu</t>
  </si>
  <si>
    <t>TK, głowa, bez wzmocnienia kontrastowego</t>
  </si>
  <si>
    <t>TK, głowa, bez wzmocnienia kontrastowego (6.209)</t>
  </si>
  <si>
    <t>TK, głowy bez i ze wzmocnieniem kontrastowym</t>
  </si>
  <si>
    <t>TK, jama brzuszna i miednica - badanie bez kontrastu</t>
  </si>
  <si>
    <t>TK, jama brzuszna i miednica - badanie bez kontrastu i z kontrastem</t>
  </si>
  <si>
    <t>TK, jama brzuszna i miednica, bez wzmocnienia kontrastowego (3.070)</t>
  </si>
  <si>
    <t>TK, jamy brzusznej bez i ze wzmocnieniem kontrastowym</t>
  </si>
  <si>
    <t>TK, jamy brzusznej i miednicy bez i ze wzmocnieniem kontrastowym</t>
  </si>
  <si>
    <t>TK, klatka piersiowa, bez i z wzmocnieniem kontrastowym (4.125)</t>
  </si>
  <si>
    <t>TK, klatka piersiowa, bez wzmocnienia kontrastowego</t>
  </si>
  <si>
    <t>TK, klatki piersiowej bez i ze wzmocnieniem kontrastowym</t>
  </si>
  <si>
    <t>TK, kręgosłup szyjny, bez wzmocnienia kontrastowego</t>
  </si>
  <si>
    <t>TK, kręgosłup szyjny, bez wzmocnienia kontrastowego (6.219)</t>
  </si>
  <si>
    <t>TK, miednica mniejsza bez i z wzmocnieniem kontrastowym (3.069)</t>
  </si>
  <si>
    <t>TK, odcinek lędźwiowy kręgosłupa bez wzmocnienia kontrastowego</t>
  </si>
  <si>
    <t>TK, trzech lub więcej okolic anatomicznych - badanie bez kontrastu i z kontrastem</t>
  </si>
  <si>
    <t>TK: badanie głowy  bez środka kontrastowego</t>
  </si>
  <si>
    <t>Tomografia czterech okolic anatomicznych</t>
  </si>
  <si>
    <t>Tomografia dwóch okolic anatomicznych</t>
  </si>
  <si>
    <t>Tomografia komputerowa - głowa (mózgowie) bez kontrastu dożylnego</t>
  </si>
  <si>
    <t>Tomografia komputerowa - głowa (mózgowie) bez kontrastu dożylnego z wtórnym opracowaniem</t>
  </si>
  <si>
    <t>Tomografia komputerowa - głowa (mózgowie) bez kontrastu i z kontrastem dożylnym z wtórnym opracowaniem</t>
  </si>
  <si>
    <t>Tomografia komputerowa - jama brzuszna bez kontrastu dożylnego bez pojenia doustnego z wtórnym opracowaniem</t>
  </si>
  <si>
    <t>Tomografia komputerowa - jama brzuszna i miednica bez kontrastu i z kontrastem dożylnym bez pojenia doustnego z wtórnym opracowa</t>
  </si>
  <si>
    <t>Tomografia komputerowa - kl.piersiowa + jama brzuszna</t>
  </si>
  <si>
    <t>Tomografia komputerowa - klatka piersiowa bez kontrastu i z kontrastem dożylnym w protokole zatorowości z wtórnym opracowaniem</t>
  </si>
  <si>
    <t>Tomografia komputerowa - klatka piersiowa bez kontrastu i z kontrastem dożylnym z wtórnym opracowaniem</t>
  </si>
  <si>
    <t>Tomografia komputerowa - klatka piersiowa HRCT bez kontrastu dożylnego z wtórnym opracowaniem</t>
  </si>
  <si>
    <t>Tomografia komputerowa - twarzoczaszka bez kontrastu dożylnego z wtórnym opracowaniem</t>
  </si>
  <si>
    <t>Tomografia komputerowa - wybrany obszar układu kostnego, kość lub odcinek kości bez kontrastu dożylnego z wtórnym opracowaniem</t>
  </si>
  <si>
    <t>Tomografia komputerowa - wybrany staw lub stawy porównawczo bez kontrastu dożylnego z wtórnym opracowaniem</t>
  </si>
  <si>
    <t>Tomografia komputerowa angio (tętnic) kończyn</t>
  </si>
  <si>
    <t>tomografia komputerowa angio głowy</t>
  </si>
  <si>
    <t>Tomografia Komputerowa głowy</t>
  </si>
  <si>
    <t>Tomografia komputerowa głowy bez kontrastu</t>
  </si>
  <si>
    <t>Tomografia komputerowa jamy brzusznej bez kontrastu</t>
  </si>
  <si>
    <t>Tomografia Komputerowa jamy brzusznej i miednicy</t>
  </si>
  <si>
    <t>Tomografia Komputerowa jamy brzusznej i miednicy bez i z kontrastem</t>
  </si>
  <si>
    <t>Tomografia komputerowa jamy brzusznej i miednicy małej bez kontrastu</t>
  </si>
  <si>
    <t>Tomografia komputerowa jamy brzusznej i miednicy małej z kontrastem</t>
  </si>
  <si>
    <t>Tomografia komputerowa jamy brzusznej z kontrastem</t>
  </si>
  <si>
    <t>Tomografia komputerowa klatki piersiowej bez pontrastu</t>
  </si>
  <si>
    <t>Tomografia komputerowa klatki piersiowej z kontrastem</t>
  </si>
  <si>
    <t>Tomografia Komputerowa klatki piersiowej, jamy brzusznej i miednicy</t>
  </si>
  <si>
    <t>Tomografia Komputerowa klatki piersiowej, jamy brzusznej i miednicy z kontrastem</t>
  </si>
  <si>
    <t>Tomografia Komputerowa kończyny dolnej bez i z kontrastem</t>
  </si>
  <si>
    <t>Tomografia komputerowa kończyny dolnej bez kontrastu</t>
  </si>
  <si>
    <t>Tomografia komputerowa kończyny górnej bez kontrastu</t>
  </si>
  <si>
    <t>Tomografia komputerowa kręgosłupa lędźwiowo-krzyżowego bez kontrastem</t>
  </si>
  <si>
    <t>Tomografia Komputerowa kręgosłupa szyjnego</t>
  </si>
  <si>
    <t>Tomografia komputerowa kręgosłupa szyjnego bez kontrastu</t>
  </si>
  <si>
    <t>Tomografia komputerowa miednicy bez kontrastu</t>
  </si>
  <si>
    <t>Tomografia komputerowa miednicy z kontrastem</t>
  </si>
  <si>
    <t>Tomografia komputerowa szyi z kontrastem</t>
  </si>
  <si>
    <t>Tomografia komputerowa tętnic klatki piersiowej w tym aorta</t>
  </si>
  <si>
    <t>Tomografia trzech okolic anatomicznych</t>
  </si>
  <si>
    <t>Veno-TK żył mózgowych</t>
  </si>
  <si>
    <t xml:space="preserve"> SUMA </t>
  </si>
  <si>
    <t xml:space="preserve"> GOTOWOŚĆ </t>
  </si>
  <si>
    <t xml:space="preserve"> KOREKTA MATUSIAK KRYSTYNA </t>
  </si>
  <si>
    <t xml:space="preserve"> RAZEM </t>
  </si>
  <si>
    <t>Data 1. zatwierdzenia</t>
  </si>
  <si>
    <t>Lekarz</t>
  </si>
  <si>
    <t>Nr badania</t>
  </si>
  <si>
    <t>Data badania (UTC)</t>
  </si>
  <si>
    <t>Priorytet opisu</t>
  </si>
  <si>
    <t>Modalność</t>
  </si>
  <si>
    <t>Procedura</t>
  </si>
  <si>
    <t>Rodzaj procedury rozlicz.</t>
  </si>
  <si>
    <t>Procedura rozlicz.</t>
  </si>
  <si>
    <t>Rola</t>
  </si>
  <si>
    <t>Klient</t>
  </si>
  <si>
    <t>Nr zlecenia</t>
  </si>
  <si>
    <t>Tomasz Bujalski</t>
  </si>
  <si>
    <t>000003788196</t>
  </si>
  <si>
    <t>opis</t>
  </si>
  <si>
    <t>kartuzy</t>
  </si>
  <si>
    <t>ORION@000003788196</t>
  </si>
  <si>
    <t>000003802366</t>
  </si>
  <si>
    <t>ORION@000003802366</t>
  </si>
  <si>
    <t>000003802403</t>
  </si>
  <si>
    <t>ORION@000003802403</t>
  </si>
  <si>
    <t>000003802410</t>
  </si>
  <si>
    <t>ORION@000003802410</t>
  </si>
  <si>
    <t>109396_744</t>
  </si>
  <si>
    <t>tdspzozkolo</t>
  </si>
  <si>
    <t>ESKULAP@109396_744</t>
  </si>
  <si>
    <t>1255387_1547</t>
  </si>
  <si>
    <t>brodnica</t>
  </si>
  <si>
    <t>DICOMIntegration@1255387_1547</t>
  </si>
  <si>
    <t>1283621618</t>
  </si>
  <si>
    <t>tdwszplock</t>
  </si>
  <si>
    <t>INFINITT@1283621618</t>
  </si>
  <si>
    <t>1288474156</t>
  </si>
  <si>
    <t>INFINITT@1288474156</t>
  </si>
  <si>
    <t>1383719-3285864</t>
  </si>
  <si>
    <t>rybnik</t>
  </si>
  <si>
    <t>DICOMIntegrationNEW@1383719-3285864</t>
  </si>
  <si>
    <t>14278972</t>
  </si>
  <si>
    <t>tdpraski</t>
  </si>
  <si>
    <t>PIXEL@14278972</t>
  </si>
  <si>
    <t>1436/TK/2026</t>
  </si>
  <si>
    <t>lapy</t>
  </si>
  <si>
    <t>DICOMIntegration@1436/TK/2026</t>
  </si>
  <si>
    <t>1824033</t>
  </si>
  <si>
    <t>tdscanmedpila</t>
  </si>
  <si>
    <t>DICOMIntegration@1824033</t>
  </si>
  <si>
    <t>2110319-4154049</t>
  </si>
  <si>
    <t>starachowice</t>
  </si>
  <si>
    <t>PIXEL@2110319-4154049</t>
  </si>
  <si>
    <t>232942-2026</t>
  </si>
  <si>
    <t>grajewo</t>
  </si>
  <si>
    <t>OPTIMED@232942-2026</t>
  </si>
  <si>
    <t>266693389</t>
  </si>
  <si>
    <t>klodzko</t>
  </si>
  <si>
    <t>PIXEL@266693389</t>
  </si>
  <si>
    <t>31340638</t>
  </si>
  <si>
    <t>grodzisk</t>
  </si>
  <si>
    <t>CLININET@31340638</t>
  </si>
  <si>
    <t>3422/TK/2026</t>
  </si>
  <si>
    <t>szpitaljaslo</t>
  </si>
  <si>
    <t>ALTERIS@3422/TK/2026</t>
  </si>
  <si>
    <t>3432/TK/2026</t>
  </si>
  <si>
    <t>ALTERIS@3432/TK/2026</t>
  </si>
  <si>
    <t>455/05/2026</t>
  </si>
  <si>
    <t>dzierzoniow</t>
  </si>
  <si>
    <t>DZIERZONIOW@455/05/2026</t>
  </si>
  <si>
    <t>481903</t>
  </si>
  <si>
    <t>szpitalopole</t>
  </si>
  <si>
    <t>ALTERIS@481903</t>
  </si>
  <si>
    <t>481974</t>
  </si>
  <si>
    <t>ALTERIS@481974</t>
  </si>
  <si>
    <t>481987</t>
  </si>
  <si>
    <t>ALTERIS@481987</t>
  </si>
  <si>
    <t>482044</t>
  </si>
  <si>
    <t>ALTERIS@482044</t>
  </si>
  <si>
    <t>496231-1067215</t>
  </si>
  <si>
    <t>tdpionki</t>
  </si>
  <si>
    <t>OPTIMEDNXT@496231-1067215</t>
  </si>
  <si>
    <t>55349.1</t>
  </si>
  <si>
    <t>rodamed</t>
  </si>
  <si>
    <t>DICOMIntegration@55349.1</t>
  </si>
  <si>
    <t>55528.1</t>
  </si>
  <si>
    <t>DICOMIntegration@55528.1</t>
  </si>
  <si>
    <t>86879950</t>
  </si>
  <si>
    <t>scanmed</t>
  </si>
  <si>
    <t>INFINITT@86879950</t>
  </si>
  <si>
    <t>86880000</t>
  </si>
  <si>
    <t>INFINITT@86880000</t>
  </si>
  <si>
    <t>CN12383633</t>
  </si>
  <si>
    <t>bialogard</t>
  </si>
  <si>
    <t>DICOMIntegration@CN12383633</t>
  </si>
  <si>
    <t>CN82507463</t>
  </si>
  <si>
    <t>uskbialystok</t>
  </si>
  <si>
    <t>CLININET@CN82507463</t>
  </si>
  <si>
    <t>CN85589722</t>
  </si>
  <si>
    <t>CLININET@CN85589722</t>
  </si>
  <si>
    <t>CT_26_001350</t>
  </si>
  <si>
    <t>tdzozplonsk</t>
  </si>
  <si>
    <t>DICOMIntegration@CT_26_001350</t>
  </si>
  <si>
    <t>CT_26_001353</t>
  </si>
  <si>
    <t>DICOMIntegration@CT_26_001353</t>
  </si>
  <si>
    <t>CT_26_001361</t>
  </si>
  <si>
    <t>DICOMIntegration@CT_26_001361</t>
  </si>
  <si>
    <t>CT_26_001363</t>
  </si>
  <si>
    <t>DICOMIntegration@CT_26_001363</t>
  </si>
  <si>
    <t>CTPACS</t>
  </si>
  <si>
    <t>spzozmc</t>
  </si>
  <si>
    <t>DICOMIntegration@240168.1</t>
  </si>
  <si>
    <t>TK/26/8379</t>
  </si>
  <si>
    <t>swk</t>
  </si>
  <si>
    <t>SWK/TK/TK/26/8379</t>
  </si>
  <si>
    <t>TK/26/8382</t>
  </si>
  <si>
    <t>SWK/TK/TK/26/8382</t>
  </si>
  <si>
    <t>ZMR/MR/26/1711</t>
  </si>
  <si>
    <t>sm4gliwice</t>
  </si>
  <si>
    <t>TELEDIAGNOSIS@ZMR/MR/26/1711</t>
  </si>
  <si>
    <t>ZMR/MR/26/1715</t>
  </si>
  <si>
    <t>TELEDIAGNOSIS@ZMR/MR/26/1715</t>
  </si>
  <si>
    <t>ZMR/MR/26/1720</t>
  </si>
  <si>
    <t>TELEDIAGNOSIS@ZMR/MR/26/1720</t>
  </si>
  <si>
    <t>1</t>
  </si>
  <si>
    <t>DICOMIntegrationNEW@1</t>
  </si>
  <si>
    <t>1/78458I\S\RIS</t>
  </si>
  <si>
    <t>tworki</t>
  </si>
  <si>
    <t>TWORKI@1/78458I\S\RIS</t>
  </si>
  <si>
    <t>109600_729</t>
  </si>
  <si>
    <t>ESKULAP@109600_729</t>
  </si>
  <si>
    <t>1286799415</t>
  </si>
  <si>
    <t>INFINITT@1286799415</t>
  </si>
  <si>
    <t>1288490446</t>
  </si>
  <si>
    <t>INFINITT@1288490446</t>
  </si>
  <si>
    <t>1754/TK/2026</t>
  </si>
  <si>
    <t>tdpyrzyce</t>
  </si>
  <si>
    <t>ALTERIS@1754/TK/2026</t>
  </si>
  <si>
    <t>214051</t>
  </si>
  <si>
    <t>dcmdolmed</t>
  </si>
  <si>
    <t>INTRARIS@214051</t>
  </si>
  <si>
    <t>23868084</t>
  </si>
  <si>
    <t>tdszpitalchelm</t>
  </si>
  <si>
    <t>DICOMIntegration@23868084</t>
  </si>
  <si>
    <t>242015-2026</t>
  </si>
  <si>
    <t>OPTIMED@242015-2026</t>
  </si>
  <si>
    <t>31479498</t>
  </si>
  <si>
    <t>CLININET@31479498</t>
  </si>
  <si>
    <t>31493847</t>
  </si>
  <si>
    <t>CLININET@31493847</t>
  </si>
  <si>
    <t>31495216</t>
  </si>
  <si>
    <t>CLININET@31495216</t>
  </si>
  <si>
    <t>31495217</t>
  </si>
  <si>
    <t>CLININET@31495217</t>
  </si>
  <si>
    <t>3472/TK/2026</t>
  </si>
  <si>
    <t>ALTERIS@3472/TK/2026</t>
  </si>
  <si>
    <t>3942363-7770502</t>
  </si>
  <si>
    <t>szpitalrydygier</t>
  </si>
  <si>
    <t>OPTIMEDNXT@3942363-7770502</t>
  </si>
  <si>
    <t>481270</t>
  </si>
  <si>
    <t>ALTERIS@481270</t>
  </si>
  <si>
    <t>755/CT/2026</t>
  </si>
  <si>
    <t>wlodawa</t>
  </si>
  <si>
    <t>ALTERIS@755/CT/2026</t>
  </si>
  <si>
    <t>CH01B03000049BA1</t>
  </si>
  <si>
    <t>poddebice</t>
  </si>
  <si>
    <t>DICOMIntegration@CH01B03000049BA1</t>
  </si>
  <si>
    <t>CN10551375</t>
  </si>
  <si>
    <t>szpitalzakopane</t>
  </si>
  <si>
    <t>CLININET@CN10551375</t>
  </si>
  <si>
    <t>CN85710715</t>
  </si>
  <si>
    <t>CLININET@CN85710715</t>
  </si>
  <si>
    <t>CT_26_001388</t>
  </si>
  <si>
    <t>DICOMIntegration@CT_26_001388</t>
  </si>
  <si>
    <t>CT_26_001389</t>
  </si>
  <si>
    <t>DICOMIntegration@CT_26_001389</t>
  </si>
  <si>
    <t>TK/26/1886</t>
  </si>
  <si>
    <t>almed</t>
  </si>
  <si>
    <t>ALM/PR1/TK/26/1886</t>
  </si>
  <si>
    <t>TK/26/3403</t>
  </si>
  <si>
    <t>swp</t>
  </si>
  <si>
    <t>SWP/PTK/TK/26/3403</t>
  </si>
  <si>
    <t>TK/26/8505</t>
  </si>
  <si>
    <t>SWK/TK/TK/26/8505</t>
  </si>
  <si>
    <t>TK/26/8506</t>
  </si>
  <si>
    <t>SWK/TK/TK/26/8506</t>
  </si>
  <si>
    <t>ZMR/MR/26/1721</t>
  </si>
  <si>
    <t>TELEDIAGNOSIS@ZMR/MR/26/1721</t>
  </si>
  <si>
    <t>ZMR/MR/26/1738</t>
  </si>
  <si>
    <t>TELEDIAGNOSIS@ZMR/MR/26/1738</t>
  </si>
  <si>
    <t>1/112402I</t>
  </si>
  <si>
    <t>pczotwock</t>
  </si>
  <si>
    <t>DICOMIntegration@1/112402I</t>
  </si>
  <si>
    <t>109655_755</t>
  </si>
  <si>
    <t>ESKULAP@109655_755</t>
  </si>
  <si>
    <t>1256011_2137</t>
  </si>
  <si>
    <t>DICOMIntegration@1256011_2137</t>
  </si>
  <si>
    <t>14305484</t>
  </si>
  <si>
    <t>PIXEL@14305484</t>
  </si>
  <si>
    <t>2114323-4161427</t>
  </si>
  <si>
    <t>PIXEL@2114323-4161427</t>
  </si>
  <si>
    <t>2114514-4161762</t>
  </si>
  <si>
    <t>PIXEL@2114514-4161762</t>
  </si>
  <si>
    <t>2114530-4161794</t>
  </si>
  <si>
    <t>PIXEL@2114530-4161794</t>
  </si>
  <si>
    <t>2630/TK/26</t>
  </si>
  <si>
    <t>spzozlezajsk</t>
  </si>
  <si>
    <t>ALTERIS@2630/TK/26</t>
  </si>
  <si>
    <t>2632/TK/26</t>
  </si>
  <si>
    <t>ALTERIS@2632/TK/26</t>
  </si>
  <si>
    <t>2634/TK/26</t>
  </si>
  <si>
    <t>ALTERIS@2634/TK/26</t>
  </si>
  <si>
    <t>2635/TK/26</t>
  </si>
  <si>
    <t>ALTERIS@2635/TK/26</t>
  </si>
  <si>
    <t>2636/TK/26</t>
  </si>
  <si>
    <t>ALTERIS@2636/TK/26</t>
  </si>
  <si>
    <t>266884901</t>
  </si>
  <si>
    <t>PIXEL@266884901</t>
  </si>
  <si>
    <t>594993.1</t>
  </si>
  <si>
    <t>szpitallubartow</t>
  </si>
  <si>
    <t>MEDIQUS@594993.1</t>
  </si>
  <si>
    <t>595096.1</t>
  </si>
  <si>
    <t>MEDIQUS@595096.1</t>
  </si>
  <si>
    <t>595097.1</t>
  </si>
  <si>
    <t>MEDIQUS@595097.1</t>
  </si>
  <si>
    <t>774/CT/2026</t>
  </si>
  <si>
    <t>ALTERIS@774/CT/2026</t>
  </si>
  <si>
    <t>86957920</t>
  </si>
  <si>
    <t>INFINITT@86957920</t>
  </si>
  <si>
    <t>CN10553579</t>
  </si>
  <si>
    <t>CLININET@CN10553579</t>
  </si>
  <si>
    <t>CN10553761</t>
  </si>
  <si>
    <t>CLININET@CN10553761</t>
  </si>
  <si>
    <t>CN85707595</t>
  </si>
  <si>
    <t>CLININET@CN85707595</t>
  </si>
  <si>
    <t>CN85811472</t>
  </si>
  <si>
    <t>CLININET@CN85811472</t>
  </si>
  <si>
    <t>CN85812614</t>
  </si>
  <si>
    <t>CLININET@CN85812614</t>
  </si>
  <si>
    <t>CN85813250</t>
  </si>
  <si>
    <t>CLININET@CN85813250</t>
  </si>
  <si>
    <t>CT_26_002349</t>
  </si>
  <si>
    <t>zozsochaczew</t>
  </si>
  <si>
    <t>DIGRA@CT_26_002349</t>
  </si>
  <si>
    <t>INFINITT_PACS</t>
  </si>
  <si>
    <t>tdpoludniowy</t>
  </si>
  <si>
    <t>DICOMIntegration@13141377</t>
  </si>
  <si>
    <t>TK/26/7195</t>
  </si>
  <si>
    <t>zgorzelec</t>
  </si>
  <si>
    <t>ZGR/ZTK/TK/26/7195</t>
  </si>
  <si>
    <t>TK/26/7196</t>
  </si>
  <si>
    <t>ZGR/ZTK/TK/26/7196</t>
  </si>
  <si>
    <t>TK/26/7197</t>
  </si>
  <si>
    <t>ZGR/ZTK/TK/26/7197</t>
  </si>
  <si>
    <t>ZMR/MR/26/1749</t>
  </si>
  <si>
    <t>TELEDIAGNOSIS@ZMR/MR/26/1749</t>
  </si>
  <si>
    <t>1256067_2136</t>
  </si>
  <si>
    <t>DICOMIntegration@1256067_2136</t>
  </si>
  <si>
    <t>1388358-3295351</t>
  </si>
  <si>
    <t>DICOMIntegrationNEW@1388358-3295351</t>
  </si>
  <si>
    <t>1388375-3295390</t>
  </si>
  <si>
    <t>DICOMIntegrationNEW@1388375-3295390</t>
  </si>
  <si>
    <t>31507597</t>
  </si>
  <si>
    <t>CLININET@31507597</t>
  </si>
  <si>
    <t>31507648</t>
  </si>
  <si>
    <t>CLININET@31507648</t>
  </si>
  <si>
    <t>31507982</t>
  </si>
  <si>
    <t>CLININET@31507982</t>
  </si>
  <si>
    <t>31508087</t>
  </si>
  <si>
    <t>CLININET@31508087</t>
  </si>
  <si>
    <t>4355/26/TK</t>
  </si>
  <si>
    <t>spbochnia</t>
  </si>
  <si>
    <t>ALTERIS@4355/26/TK</t>
  </si>
  <si>
    <t>4356/26/TK</t>
  </si>
  <si>
    <t>ALTERIS@4356/26/TK</t>
  </si>
  <si>
    <t>4357/26/TK</t>
  </si>
  <si>
    <t>ALTERIS@4357/26/TK</t>
  </si>
  <si>
    <t>590951816</t>
  </si>
  <si>
    <t>tdspzozsiedlce</t>
  </si>
  <si>
    <t>VIZO@590951816</t>
  </si>
  <si>
    <t>86959103</t>
  </si>
  <si>
    <t>INFINITT@86959103</t>
  </si>
  <si>
    <t>CT_26_001440</t>
  </si>
  <si>
    <t>DICOMIntegration@CT_26_001440</t>
  </si>
  <si>
    <t>CT_26_001441</t>
  </si>
  <si>
    <t>DICOMIntegration@CT_26_001441</t>
  </si>
  <si>
    <t>TK/26/1164</t>
  </si>
  <si>
    <t>zozboleslawiec</t>
  </si>
  <si>
    <t>ZZB/TK/TK/26/1164</t>
  </si>
  <si>
    <t>TK/26/1165</t>
  </si>
  <si>
    <t>ZZB/TK/TK/26/1165</t>
  </si>
  <si>
    <t>TK/26/1166</t>
  </si>
  <si>
    <t>ZZB/TK/TK/26/1166</t>
  </si>
  <si>
    <t>TK/26/5987</t>
  </si>
  <si>
    <t>Bardzo pilny</t>
  </si>
  <si>
    <t>szpitalzawiercie</t>
  </si>
  <si>
    <t>SZP/TK/TK/26/5987</t>
  </si>
  <si>
    <t>TK/26/7211</t>
  </si>
  <si>
    <t>ZGR/ZTK/TK/26/7211</t>
  </si>
  <si>
    <t>1285219227</t>
  </si>
  <si>
    <t>INFINITT@1285219227</t>
  </si>
  <si>
    <t>1286689921</t>
  </si>
  <si>
    <t>INFINITT@1286689921</t>
  </si>
  <si>
    <t>1288420124</t>
  </si>
  <si>
    <t>INFINITT@1288420124</t>
  </si>
  <si>
    <t>130477_630</t>
  </si>
  <si>
    <t>spzozgrodzisk</t>
  </si>
  <si>
    <t>ESKULAP@130477_630</t>
  </si>
  <si>
    <t>1789/TK/2026</t>
  </si>
  <si>
    <t>ALTERIS@1789/TK/2026</t>
  </si>
  <si>
    <t>1940689</t>
  </si>
  <si>
    <t>DICOMIntegration@1940689</t>
  </si>
  <si>
    <t>244639-2026</t>
  </si>
  <si>
    <t>OPTIMED@244639-2026</t>
  </si>
  <si>
    <t>266958241</t>
  </si>
  <si>
    <t>PIXEL@266958241</t>
  </si>
  <si>
    <t>266965311</t>
  </si>
  <si>
    <t>PIXEL@266965311</t>
  </si>
  <si>
    <t>266981846</t>
  </si>
  <si>
    <t>PIXEL@266981846</t>
  </si>
  <si>
    <t>31499222</t>
  </si>
  <si>
    <t>CLININET@31499222</t>
  </si>
  <si>
    <t>31509321</t>
  </si>
  <si>
    <t>CLININET@31509321</t>
  </si>
  <si>
    <t>3786064-7439167</t>
  </si>
  <si>
    <t>OPTIMEDNXT@3786064-7439167</t>
  </si>
  <si>
    <t>3917534-7720749</t>
  </si>
  <si>
    <t>OPTIMEDNXT@3917534-7720749</t>
  </si>
  <si>
    <t>4057560-8005531</t>
  </si>
  <si>
    <t>OPTIMEDNXT@4057560-8005531</t>
  </si>
  <si>
    <t>4248966-8391321</t>
  </si>
  <si>
    <t>OPTIMEDNXT@4248966-8391321</t>
  </si>
  <si>
    <t>482599</t>
  </si>
  <si>
    <t>ALTERIS@482599</t>
  </si>
  <si>
    <t>482600</t>
  </si>
  <si>
    <t>ALTERIS@482600</t>
  </si>
  <si>
    <t>482696</t>
  </si>
  <si>
    <t>ALTERIS@482696</t>
  </si>
  <si>
    <t>482707</t>
  </si>
  <si>
    <t>ALTERIS@482707</t>
  </si>
  <si>
    <t>627867401</t>
  </si>
  <si>
    <t>wsswroclaw</t>
  </si>
  <si>
    <t>DICOMIntegration@627867401</t>
  </si>
  <si>
    <t>84832190</t>
  </si>
  <si>
    <t>INFINITT@84832190</t>
  </si>
  <si>
    <t>84870818</t>
  </si>
  <si>
    <t>INFINITT@84870818</t>
  </si>
  <si>
    <t>85971917</t>
  </si>
  <si>
    <t>INFINITT@85971917</t>
  </si>
  <si>
    <t>86422583</t>
  </si>
  <si>
    <t>INFINITT@86422583</t>
  </si>
  <si>
    <t>86959603</t>
  </si>
  <si>
    <t>INFINITT@86959603</t>
  </si>
  <si>
    <t>86965081</t>
  </si>
  <si>
    <t>tdblachownia</t>
  </si>
  <si>
    <t>INFINITT@86965081</t>
  </si>
  <si>
    <t>910821639S</t>
  </si>
  <si>
    <t>tdksskrakow</t>
  </si>
  <si>
    <t>DICOMIntegration@910821639S</t>
  </si>
  <si>
    <t>940674542S</t>
  </si>
  <si>
    <t>DICOMIntegration@940674542S</t>
  </si>
  <si>
    <t>CH01B03000049CED</t>
  </si>
  <si>
    <t>DICOMIntegration@CH01B03000049CED</t>
  </si>
  <si>
    <t>CN85762090</t>
  </si>
  <si>
    <t>CLININET@CN85762090</t>
  </si>
  <si>
    <t>CN85762094</t>
  </si>
  <si>
    <t>CLININET@CN85762094</t>
  </si>
  <si>
    <t>CN85836864</t>
  </si>
  <si>
    <t>CLININET@CN85836864</t>
  </si>
  <si>
    <t>CT_26_001453</t>
  </si>
  <si>
    <t>DICOMIntegration@CT_26_001453</t>
  </si>
  <si>
    <t>ZMR/MR/26/1735</t>
  </si>
  <si>
    <t>TELEDIAGNOSIS@ZMR/MR/26/1735</t>
  </si>
  <si>
    <t>1256687_2142</t>
  </si>
  <si>
    <t>DICOMIntegration@1256687_2142</t>
  </si>
  <si>
    <t>130664_615</t>
  </si>
  <si>
    <t>ESKULAP@130664_615</t>
  </si>
  <si>
    <t>130665_631</t>
  </si>
  <si>
    <t>ESKULAP@130665_631</t>
  </si>
  <si>
    <t>31493494</t>
  </si>
  <si>
    <t>CLININET@31493494</t>
  </si>
  <si>
    <t>31519086</t>
  </si>
  <si>
    <t>CLININET@31519086</t>
  </si>
  <si>
    <t>4408/26/TK</t>
  </si>
  <si>
    <t>ALTERIS@4408/26/TK</t>
  </si>
  <si>
    <t>4409/26/TK</t>
  </si>
  <si>
    <t>ALTERIS@4409/26/TK</t>
  </si>
  <si>
    <t>4423/26/TK</t>
  </si>
  <si>
    <t>ALTERIS@4423/26/TK</t>
  </si>
  <si>
    <t>4424/26/TK</t>
  </si>
  <si>
    <t>ALTERIS@4424/26/TK</t>
  </si>
  <si>
    <t>482869</t>
  </si>
  <si>
    <t>ALTERIS@482869</t>
  </si>
  <si>
    <t>482915</t>
  </si>
  <si>
    <t>ALTERIS@482915</t>
  </si>
  <si>
    <t>482997</t>
  </si>
  <si>
    <t>ALTERIS@482997</t>
  </si>
  <si>
    <t>483019</t>
  </si>
  <si>
    <t>ALTERIS@483019</t>
  </si>
  <si>
    <t>55862.1</t>
  </si>
  <si>
    <t>DICOMIntegration@55862.1</t>
  </si>
  <si>
    <t>620892102</t>
  </si>
  <si>
    <t>DICOMIntegration@620892102</t>
  </si>
  <si>
    <t>635503690</t>
  </si>
  <si>
    <t>DICOMIntegration@635503690</t>
  </si>
  <si>
    <t>635951542</t>
  </si>
  <si>
    <t>DICOMIntegration@635951542</t>
  </si>
  <si>
    <t>638015186</t>
  </si>
  <si>
    <t>DICOMIntegration@638015186</t>
  </si>
  <si>
    <t>639032691</t>
  </si>
  <si>
    <t>DICOMIntegration@639032691</t>
  </si>
  <si>
    <t>697572492</t>
  </si>
  <si>
    <t>brzesko</t>
  </si>
  <si>
    <t>INFINITT@697572492</t>
  </si>
  <si>
    <t>787/05/2026</t>
  </si>
  <si>
    <t>DZIERZONIOW@787/05/2026</t>
  </si>
  <si>
    <t>CN85753282</t>
  </si>
  <si>
    <t>CLININET@CN85753282</t>
  </si>
  <si>
    <t>CN85769908</t>
  </si>
  <si>
    <t>CLININET@CN85769908</t>
  </si>
  <si>
    <t>CN85769913</t>
  </si>
  <si>
    <t>CLININET@CN85769913</t>
  </si>
  <si>
    <t>TK/26/8471</t>
  </si>
  <si>
    <t>SWK/TK/TK/26/8471</t>
  </si>
  <si>
    <t>TK/26/8622</t>
  </si>
  <si>
    <t>SWK/TK/TK/26/8622</t>
  </si>
  <si>
    <t>TK/26/8655</t>
  </si>
  <si>
    <t>SWK/TK/TK/26/8655</t>
  </si>
  <si>
    <t>ZMR/MR/26/1776</t>
  </si>
  <si>
    <t>TELEDIAGNOSIS@ZMR/MR/26/1776</t>
  </si>
  <si>
    <t>ZMR/MR/26/1777</t>
  </si>
  <si>
    <t>TELEDIAGNOSIS@ZMR/MR/26/1777</t>
  </si>
  <si>
    <t>ZMR/MR/26/1779</t>
  </si>
  <si>
    <t>TELEDIAGNOSIS@ZMR/MR/26/1779</t>
  </si>
  <si>
    <t>110027_729</t>
  </si>
  <si>
    <t>ESKULAP@110027_729</t>
  </si>
  <si>
    <t>1257097_2540</t>
  </si>
  <si>
    <t>DICOMIntegration@1257097_2540</t>
  </si>
  <si>
    <t>130730_647</t>
  </si>
  <si>
    <t>ESKULAP@130730_647</t>
  </si>
  <si>
    <t>1393820-3307320</t>
  </si>
  <si>
    <t>DICOMIntegrationNEW@1393820-3307320</t>
  </si>
  <si>
    <t>1393899-3307495</t>
  </si>
  <si>
    <t>DICOMIntegrationNEW@1393899-3307495</t>
  </si>
  <si>
    <t>1393929-3307567</t>
  </si>
  <si>
    <t>DICOMIntegrationNEW@1393929-3307567</t>
  </si>
  <si>
    <t>1393960-3307629</t>
  </si>
  <si>
    <t>DICOMIntegrationNEW@1393960-3307629</t>
  </si>
  <si>
    <t>1766/26/CT</t>
  </si>
  <si>
    <t>zozswietochlowice</t>
  </si>
  <si>
    <t>ALTERIS@1766/26/CT</t>
  </si>
  <si>
    <t>267228786</t>
  </si>
  <si>
    <t>PIXEL@267228786</t>
  </si>
  <si>
    <t>267228801</t>
  </si>
  <si>
    <t>PIXEL@267228801</t>
  </si>
  <si>
    <t>31375154</t>
  </si>
  <si>
    <t>CLININET@31375154</t>
  </si>
  <si>
    <t>31519583</t>
  </si>
  <si>
    <t>CLININET@31519583</t>
  </si>
  <si>
    <t>4463/26/TK</t>
  </si>
  <si>
    <t>ALTERIS@4463/26/TK</t>
  </si>
  <si>
    <t>479761_2322</t>
  </si>
  <si>
    <t>td7szmw</t>
  </si>
  <si>
    <t>ESKULAP@479761_2322</t>
  </si>
  <si>
    <t>483387</t>
  </si>
  <si>
    <t>ALTERIS@483387</t>
  </si>
  <si>
    <t>483393</t>
  </si>
  <si>
    <t>ALTERIS@483393</t>
  </si>
  <si>
    <t>483395</t>
  </si>
  <si>
    <t>ALTERIS@483395</t>
  </si>
  <si>
    <t>55956.1</t>
  </si>
  <si>
    <t>DICOMIntegration@55956.1</t>
  </si>
  <si>
    <t>647574014</t>
  </si>
  <si>
    <t>DICOMIntegration@647574014</t>
  </si>
  <si>
    <t>697968524</t>
  </si>
  <si>
    <t>INFINITT@697968524</t>
  </si>
  <si>
    <t>872/05/2026</t>
  </si>
  <si>
    <t>DZIERZONIOW@872/05/2026</t>
  </si>
  <si>
    <t>882/05/2026</t>
  </si>
  <si>
    <t>DZIERZONIOW@882/05/2026</t>
  </si>
  <si>
    <t>CN85942188</t>
  </si>
  <si>
    <t>CLININET@CN85942188</t>
  </si>
  <si>
    <t>CN85968488</t>
  </si>
  <si>
    <t>CLININET@CN85968488</t>
  </si>
  <si>
    <t>CT_26_001535</t>
  </si>
  <si>
    <t>DICOMIntegration@CT_26_001535</t>
  </si>
  <si>
    <t>CT_26_001539</t>
  </si>
  <si>
    <t>DICOMIntegration@CT_26_001539</t>
  </si>
  <si>
    <t>CT_26_001542</t>
  </si>
  <si>
    <t>DICOMIntegration@CT_26_001542</t>
  </si>
  <si>
    <t>CT_26_001546</t>
  </si>
  <si>
    <t>DICOMIntegration@CT_26_001546</t>
  </si>
  <si>
    <t>CT_26_001548</t>
  </si>
  <si>
    <t>DICOMIntegration@CT_26_001548</t>
  </si>
  <si>
    <t>CT_26_001549</t>
  </si>
  <si>
    <t>DICOMIntegration@CT_26_001549</t>
  </si>
  <si>
    <t>CT_26_001553</t>
  </si>
  <si>
    <t>DICOMIntegration@CT_26_001553</t>
  </si>
  <si>
    <t>DICOMIntegration@13178835</t>
  </si>
  <si>
    <t>TK/26/6114</t>
  </si>
  <si>
    <t>ZGR/ZTK/TK/26/6114</t>
  </si>
  <si>
    <t>000003810286</t>
  </si>
  <si>
    <t>ORION@000003810286</t>
  </si>
  <si>
    <t>000003810460</t>
  </si>
  <si>
    <t>ORION@000003810460</t>
  </si>
  <si>
    <t>000003810477</t>
  </si>
  <si>
    <t>ORION@000003810477</t>
  </si>
  <si>
    <t>000003810613</t>
  </si>
  <si>
    <t>ORION@000003810613</t>
  </si>
  <si>
    <t>1/112609I</t>
  </si>
  <si>
    <t>konsultacja</t>
  </si>
  <si>
    <t>DICOMIntegration@1/112609I</t>
  </si>
  <si>
    <t>110074_756</t>
  </si>
  <si>
    <t>ESKULAP@110074_756</t>
  </si>
  <si>
    <t>1274285383</t>
  </si>
  <si>
    <t>INFINITT@1274285383</t>
  </si>
  <si>
    <t>1291392108</t>
  </si>
  <si>
    <t>INFINITT@1291392108</t>
  </si>
  <si>
    <t>130827_615</t>
  </si>
  <si>
    <t>ESKULAP@130827_615</t>
  </si>
  <si>
    <t>130833_615</t>
  </si>
  <si>
    <t>ESKULAP@130833_615</t>
  </si>
  <si>
    <t>13579364</t>
  </si>
  <si>
    <t>INFINITT@13579364</t>
  </si>
  <si>
    <t>267237887</t>
  </si>
  <si>
    <t>PIXEL@267237887</t>
  </si>
  <si>
    <t>267261394</t>
  </si>
  <si>
    <t>PIXEL@267261394</t>
  </si>
  <si>
    <t>267265357</t>
  </si>
  <si>
    <t>PIXEL@267265357</t>
  </si>
  <si>
    <t>31537858</t>
  </si>
  <si>
    <t>CLININET@31537858</t>
  </si>
  <si>
    <t>3613/TK/2026</t>
  </si>
  <si>
    <t>ALTERIS@3613/TK/2026</t>
  </si>
  <si>
    <t>3616/TK/2026</t>
  </si>
  <si>
    <t>ALTERIS@3616/TK/2026</t>
  </si>
  <si>
    <t>596592.1</t>
  </si>
  <si>
    <t>MEDIQUS@596592.1</t>
  </si>
  <si>
    <t>596614.1</t>
  </si>
  <si>
    <t>MEDIQUS@596614.1</t>
  </si>
  <si>
    <t>608495878</t>
  </si>
  <si>
    <t>DICOMIntegration@608495878</t>
  </si>
  <si>
    <t>627853969</t>
  </si>
  <si>
    <t>DICOMIntegration@627853969</t>
  </si>
  <si>
    <t>636363011</t>
  </si>
  <si>
    <t>DICOMIntegration@636363011</t>
  </si>
  <si>
    <t>86956328</t>
  </si>
  <si>
    <t>INFINITT@86956328</t>
  </si>
  <si>
    <t>942629199S</t>
  </si>
  <si>
    <t>DICOMIntegration@942629199S</t>
  </si>
  <si>
    <t>CN12426348</t>
  </si>
  <si>
    <t>DICOMIntegration@CN12426348</t>
  </si>
  <si>
    <t>CN12427910</t>
  </si>
  <si>
    <t>DICOMIntegration@CN12427910</t>
  </si>
  <si>
    <t>CN85888986</t>
  </si>
  <si>
    <t>CLININET@CN85888986</t>
  </si>
  <si>
    <t>CN85943879</t>
  </si>
  <si>
    <t>CLININET@CN85943879</t>
  </si>
  <si>
    <t>DICOMIntegration@241389.1</t>
  </si>
  <si>
    <t>TK/24/9454</t>
  </si>
  <si>
    <t>uskpoznan</t>
  </si>
  <si>
    <t>USK/TSP/TK/24/9454</t>
  </si>
  <si>
    <t>TK/26/10165</t>
  </si>
  <si>
    <t>USK/TSP/TK/26/10165</t>
  </si>
  <si>
    <t>TK/26/10166</t>
  </si>
  <si>
    <t>USK/TSP/TK/26/10166</t>
  </si>
  <si>
    <t>TK/26/2052</t>
  </si>
  <si>
    <t>ALM/PR1/TK/26/2052</t>
  </si>
  <si>
    <t>TK/26/2063</t>
  </si>
  <si>
    <t>ALM/PR1/TK/26/2063</t>
  </si>
  <si>
    <t>TK/26/8618</t>
  </si>
  <si>
    <t>SWK/TK/TK/26/8618</t>
  </si>
  <si>
    <t>1272919874</t>
  </si>
  <si>
    <t>INFINITT@1272919874</t>
  </si>
  <si>
    <t>130914_631</t>
  </si>
  <si>
    <t>ESKULAP@130914_631</t>
  </si>
  <si>
    <t>267335219</t>
  </si>
  <si>
    <t>PIXEL@267335219</t>
  </si>
  <si>
    <t>2745/TK/26</t>
  </si>
  <si>
    <t>ALTERIS@2745/TK/26</t>
  </si>
  <si>
    <t>29607809</t>
  </si>
  <si>
    <t>CLININET@29607809</t>
  </si>
  <si>
    <t>31037118</t>
  </si>
  <si>
    <t>CLININET@31037118</t>
  </si>
  <si>
    <t>31380377</t>
  </si>
  <si>
    <t>CLININET@31380377</t>
  </si>
  <si>
    <t>31523482</t>
  </si>
  <si>
    <t>CLININET@31523482</t>
  </si>
  <si>
    <t>31533238</t>
  </si>
  <si>
    <t>CLININET@31533238</t>
  </si>
  <si>
    <t>31537450</t>
  </si>
  <si>
    <t>CLININET@31537450</t>
  </si>
  <si>
    <t>31547474</t>
  </si>
  <si>
    <t>CLININET@31547474</t>
  </si>
  <si>
    <t>31547741</t>
  </si>
  <si>
    <t>CLININET@31547741</t>
  </si>
  <si>
    <t>31548128</t>
  </si>
  <si>
    <t>CLININET@31548128</t>
  </si>
  <si>
    <t>31548356</t>
  </si>
  <si>
    <t>CLININET@31548356</t>
  </si>
  <si>
    <t>31548910</t>
  </si>
  <si>
    <t>CLININET@31548910</t>
  </si>
  <si>
    <t>31549043</t>
  </si>
  <si>
    <t>CLININET@31549043</t>
  </si>
  <si>
    <t>31549287</t>
  </si>
  <si>
    <t>CLININET@31549287</t>
  </si>
  <si>
    <t>31549288</t>
  </si>
  <si>
    <t>CLININET@31549288</t>
  </si>
  <si>
    <t>31549307</t>
  </si>
  <si>
    <t>CLININET@31549307</t>
  </si>
  <si>
    <t>31550711</t>
  </si>
  <si>
    <t>CLININET@31550711</t>
  </si>
  <si>
    <t>31550984</t>
  </si>
  <si>
    <t>CLININET@31550984</t>
  </si>
  <si>
    <t>483731</t>
  </si>
  <si>
    <t>ALTERIS@483731</t>
  </si>
  <si>
    <t>483825</t>
  </si>
  <si>
    <t>ALTERIS@483825</t>
  </si>
  <si>
    <t>483883</t>
  </si>
  <si>
    <t>ALTERIS@483883</t>
  </si>
  <si>
    <t>621734205</t>
  </si>
  <si>
    <t>DICOMIntegration@621734205</t>
  </si>
  <si>
    <t>635766234</t>
  </si>
  <si>
    <t>DICOMIntegration@635766234</t>
  </si>
  <si>
    <t>697640357</t>
  </si>
  <si>
    <t>INFINITT@697640357</t>
  </si>
  <si>
    <t>698142429</t>
  </si>
  <si>
    <t>INFINITT@698142429</t>
  </si>
  <si>
    <t>86571398</t>
  </si>
  <si>
    <t>INFINITT@86571398</t>
  </si>
  <si>
    <t>87128168</t>
  </si>
  <si>
    <t>INFINITT@87128168</t>
  </si>
  <si>
    <t>982/05/2026</t>
  </si>
  <si>
    <t>DZIERZONIOW@982/05/2026</t>
  </si>
  <si>
    <t>CT_26_001598</t>
  </si>
  <si>
    <t>DICOMIntegration@CT_26_001598</t>
  </si>
  <si>
    <t>CT_26_001601</t>
  </si>
  <si>
    <t>DICOMIntegration@CT_26_001601</t>
  </si>
  <si>
    <t>RISHIS-284380266</t>
  </si>
  <si>
    <t>ostrow</t>
  </si>
  <si>
    <t>OSTROW@RISHIS-284380266</t>
  </si>
  <si>
    <t>TK/26/1204</t>
  </si>
  <si>
    <t>grupazdrowie</t>
  </si>
  <si>
    <t>GRP/GZGTK/TK/26/1204</t>
  </si>
  <si>
    <t>TK/26/2061</t>
  </si>
  <si>
    <t>ALM/PR1/TK/26/2061</t>
  </si>
  <si>
    <t>ZMR/MR/26/1615</t>
  </si>
  <si>
    <t>TELEDIAGNOSIS@ZMR/MR/26/1615</t>
  </si>
  <si>
    <t>ZMR/MR/26/1654</t>
  </si>
  <si>
    <t>TELEDIAGNOSIS@ZMR/MR/26/1654</t>
  </si>
  <si>
    <t>ZMR/MR/26/1807</t>
  </si>
  <si>
    <t>TELEDIAGNOSIS@ZMR/MR/26/1807</t>
  </si>
  <si>
    <t>ZMR/MR/26/1810</t>
  </si>
  <si>
    <t>TELEDIAGNOSIS@ZMR/MR/26/1810</t>
  </si>
  <si>
    <t>ZMR/MR/26/1811</t>
  </si>
  <si>
    <t>TELEDIAGNOSIS@ZMR/MR/26/1811</t>
  </si>
  <si>
    <t>ZMR/MR/26/1812</t>
  </si>
  <si>
    <t>TELEDIAGNOSIS@ZMR/MR/26/1812</t>
  </si>
  <si>
    <t>000003813164</t>
  </si>
  <si>
    <t>ORION@000003813164</t>
  </si>
  <si>
    <t>110341_729</t>
  </si>
  <si>
    <t>ESKULAP@110341_729</t>
  </si>
  <si>
    <t>142583</t>
  </si>
  <si>
    <t>tdmilicz</t>
  </si>
  <si>
    <t>DICOMIntegration@142583</t>
  </si>
  <si>
    <t>2125245-4181998</t>
  </si>
  <si>
    <t>PIXEL@2125245-4181998</t>
  </si>
  <si>
    <t>2125263-4182043</t>
  </si>
  <si>
    <t>PIXEL@2125263-4182043</t>
  </si>
  <si>
    <t>2125271-4182079</t>
  </si>
  <si>
    <t>PIXEL@2125271-4182079</t>
  </si>
  <si>
    <t>2125275-4182084</t>
  </si>
  <si>
    <t>PIXEL@2125275-4182084</t>
  </si>
  <si>
    <t>2125279-4182088</t>
  </si>
  <si>
    <t>PIXEL@2125279-4182088</t>
  </si>
  <si>
    <t>2125284-4182102</t>
  </si>
  <si>
    <t>PIXEL@2125284-4182102</t>
  </si>
  <si>
    <t>2125318-4182163</t>
  </si>
  <si>
    <t>PIXEL@2125318-4182163</t>
  </si>
  <si>
    <t>2171/TK/2026</t>
  </si>
  <si>
    <t>dabrowatarnowska</t>
  </si>
  <si>
    <t>DICOMIntegration@2171/TK/2026</t>
  </si>
  <si>
    <t>239334-2026</t>
  </si>
  <si>
    <t>wysmaz</t>
  </si>
  <si>
    <t>DICOMIntegration@239334-2026</t>
  </si>
  <si>
    <t>2796/TK/26</t>
  </si>
  <si>
    <t>ALTERIS@2796/TK/26</t>
  </si>
  <si>
    <t>2797/TK/26</t>
  </si>
  <si>
    <t>ALTERIS@2797/TK/26</t>
  </si>
  <si>
    <t>2798/TK/26</t>
  </si>
  <si>
    <t>ALTERIS@2798/TK/26</t>
  </si>
  <si>
    <t>2799/TK/26</t>
  </si>
  <si>
    <t>ALTERIS@2799/TK/26</t>
  </si>
  <si>
    <t>292335962</t>
  </si>
  <si>
    <t>tdipin</t>
  </si>
  <si>
    <t>DICOMIntegration@292335962</t>
  </si>
  <si>
    <t>418396071</t>
  </si>
  <si>
    <t>spzozswidnica</t>
  </si>
  <si>
    <t>DICOMIntegration@418396071</t>
  </si>
  <si>
    <t>597467.1</t>
  </si>
  <si>
    <t>MEDIQUS@597467.1</t>
  </si>
  <si>
    <t>CN10573990</t>
  </si>
  <si>
    <t>CLININET@CN10573990</t>
  </si>
  <si>
    <t>CN10573991</t>
  </si>
  <si>
    <t>CLININET@CN10573991</t>
  </si>
  <si>
    <t>CN10574081</t>
  </si>
  <si>
    <t>CLININET@CN10574081</t>
  </si>
  <si>
    <t>RISHIS-284517537</t>
  </si>
  <si>
    <t>OSTROW@RISHIS-284517537</t>
  </si>
  <si>
    <t>RISHIS-284518928</t>
  </si>
  <si>
    <t>OSTROW@RISHIS-284518928</t>
  </si>
  <si>
    <t>TK/26/10345</t>
  </si>
  <si>
    <t>USK/TSP/TK/26/10345</t>
  </si>
  <si>
    <t>TK/26/10349</t>
  </si>
  <si>
    <t>USK/TSP/TK/26/10349</t>
  </si>
  <si>
    <t>TK/26/1502</t>
  </si>
  <si>
    <t>ZZB/TK/TK/26/1502</t>
  </si>
  <si>
    <t>TK/26/1503</t>
  </si>
  <si>
    <t>ZZB/TK/TK/26/1503</t>
  </si>
  <si>
    <t>1058/05/2026</t>
  </si>
  <si>
    <t>DZIERZONIOW@1058/05/2026</t>
  </si>
  <si>
    <t>14377909</t>
  </si>
  <si>
    <t>PIXEL@14377909</t>
  </si>
  <si>
    <t>14377972</t>
  </si>
  <si>
    <t>PIXEL@14377972</t>
  </si>
  <si>
    <t>14378084</t>
  </si>
  <si>
    <t>PIXEL@14378084</t>
  </si>
  <si>
    <t>1536/26/CT</t>
  </si>
  <si>
    <t>lubaczow</t>
  </si>
  <si>
    <t>DICOMIntegration@1536/26/CT</t>
  </si>
  <si>
    <t>1537/26/CT</t>
  </si>
  <si>
    <t>DICOMIntegration@1537/26/CT</t>
  </si>
  <si>
    <t>2124950-4181406</t>
  </si>
  <si>
    <t>PIXEL@2124950-4181406</t>
  </si>
  <si>
    <t>240049-2026</t>
  </si>
  <si>
    <t>DICOMIntegration@240049-2026</t>
  </si>
  <si>
    <t>4603/26/TK</t>
  </si>
  <si>
    <t>ALTERIS@4603/26/TK</t>
  </si>
  <si>
    <t>4604/26/TK</t>
  </si>
  <si>
    <t>ALTERIS@4604/26/TK</t>
  </si>
  <si>
    <t>87156729</t>
  </si>
  <si>
    <t>INFINITT@87156729</t>
  </si>
  <si>
    <t>943600677S</t>
  </si>
  <si>
    <t>DICOMIntegration@943600677S</t>
  </si>
  <si>
    <t>CN86036818</t>
  </si>
  <si>
    <t>CLININET@CN86036818</t>
  </si>
  <si>
    <t>CN86036819</t>
  </si>
  <si>
    <t>CLININET@CN86036819</t>
  </si>
  <si>
    <t>TK/26/1517</t>
  </si>
  <si>
    <t>ZZB/TK/TK/26/1517</t>
  </si>
  <si>
    <t>TK/26/1519</t>
  </si>
  <si>
    <t>ZZB/TK/TK/26/1519</t>
  </si>
  <si>
    <t>TK/26/1520</t>
  </si>
  <si>
    <t>ZZB/TK/TK/26/1520</t>
  </si>
  <si>
    <t>TK/26/1522</t>
  </si>
  <si>
    <t>ZZB/TK/TK/26/1522</t>
  </si>
  <si>
    <t>TK/26/3758</t>
  </si>
  <si>
    <t>SWP/PTK/TK/26/3758</t>
  </si>
  <si>
    <t>TK/26/3759</t>
  </si>
  <si>
    <t>SWP/PTK/TK/26/3759</t>
  </si>
  <si>
    <t>TK/26/3760</t>
  </si>
  <si>
    <t>SWP/PTK/TK/26/3760</t>
  </si>
  <si>
    <t>TK/26/3761</t>
  </si>
  <si>
    <t>SWP/PTK/TK/26/3761</t>
  </si>
  <si>
    <t>TK/26/3762</t>
  </si>
  <si>
    <t>SWP/PTK/TK/26/3762</t>
  </si>
  <si>
    <t>TK/26/3763</t>
  </si>
  <si>
    <t>SWP/PTK/TK/26/3763</t>
  </si>
  <si>
    <t>TK/26/6325</t>
  </si>
  <si>
    <t>SZP/TK/TK/26/6325</t>
  </si>
  <si>
    <t>1/112757I</t>
  </si>
  <si>
    <t>DICOMIntegration@1/112757I</t>
  </si>
  <si>
    <t>110459_772</t>
  </si>
  <si>
    <t>ESKULAP@110459_772</t>
  </si>
  <si>
    <t>1258056_2156</t>
  </si>
  <si>
    <t>DICOMIntegration@1258056_2156</t>
  </si>
  <si>
    <t>1258104_2136</t>
  </si>
  <si>
    <t>DICOMIntegration@1258104_2136</t>
  </si>
  <si>
    <t>1258105_2136</t>
  </si>
  <si>
    <t>DICOMIntegration@1258105_2136</t>
  </si>
  <si>
    <t>1258155_2136</t>
  </si>
  <si>
    <t>DICOMIntegration@1258155_2136</t>
  </si>
  <si>
    <t>1258158_2540</t>
  </si>
  <si>
    <t>DICOMIntegration@1258158_2540</t>
  </si>
  <si>
    <t>1292421950</t>
  </si>
  <si>
    <t>INFINITT@1292421950</t>
  </si>
  <si>
    <t>1553/26/CT</t>
  </si>
  <si>
    <t>DICOMIntegration@1553/26/CT</t>
  </si>
  <si>
    <t>1568/TK/2026</t>
  </si>
  <si>
    <t>DICOMIntegration@1568/TK/2026</t>
  </si>
  <si>
    <t>2180/TK/2026</t>
  </si>
  <si>
    <t>DICOMIntegration@2180/TK/2026</t>
  </si>
  <si>
    <t>256709-2026</t>
  </si>
  <si>
    <t>OPTIMED@256709-2026</t>
  </si>
  <si>
    <t>267538313</t>
  </si>
  <si>
    <t>PIXEL@267538313</t>
  </si>
  <si>
    <t>267538534</t>
  </si>
  <si>
    <t>PIXEL@267538534</t>
  </si>
  <si>
    <t>267566090</t>
  </si>
  <si>
    <t>PIXEL@267566090</t>
  </si>
  <si>
    <t>267566591</t>
  </si>
  <si>
    <t>PIXEL@267566591</t>
  </si>
  <si>
    <t>2835/TK/26</t>
  </si>
  <si>
    <t>ALTERIS@2835/TK/26</t>
  </si>
  <si>
    <t>2837/TK/26</t>
  </si>
  <si>
    <t>ALTERIS@2837/TK/26</t>
  </si>
  <si>
    <t>597773.1</t>
  </si>
  <si>
    <t>MEDIQUS@597773.1</t>
  </si>
  <si>
    <t>598035.1</t>
  </si>
  <si>
    <t>MEDIQUS@598035.1</t>
  </si>
  <si>
    <t>598075.1</t>
  </si>
  <si>
    <t>MEDIQUS@598075.1</t>
  </si>
  <si>
    <t>CN86114872</t>
  </si>
  <si>
    <t>CLININET@CN86114872</t>
  </si>
  <si>
    <t>CT_26_001842</t>
  </si>
  <si>
    <t>spzzozsierpc</t>
  </si>
  <si>
    <t>DICOMIntegration@CT_26_001842</t>
  </si>
  <si>
    <t>CT_26_002599</t>
  </si>
  <si>
    <t>DIGRA@CT_26_002599</t>
  </si>
  <si>
    <t>CT_26_002610</t>
  </si>
  <si>
    <t>DIGRA@CT_26_002610</t>
  </si>
  <si>
    <t>CT_26_002612</t>
  </si>
  <si>
    <t>DIGRA@CT_26_002612</t>
  </si>
  <si>
    <t>RISHIS-284642923</t>
  </si>
  <si>
    <t>OSTROW@RISHIS-284642923</t>
  </si>
  <si>
    <t>RISHIS-284684608</t>
  </si>
  <si>
    <t>OSTROW@RISHIS-284684608</t>
  </si>
  <si>
    <t>TK/26/10477</t>
  </si>
  <si>
    <t>USK/TSP/TK/26/10477</t>
  </si>
  <si>
    <t>TK/26/10479</t>
  </si>
  <si>
    <t>USK/TSP/TK/26/10479</t>
  </si>
  <si>
    <t>TK/26/10480</t>
  </si>
  <si>
    <t>USK/TSP/TK/26/10480</t>
  </si>
  <si>
    <t>TK/26/10481</t>
  </si>
  <si>
    <t>USK/TSP/TK/26/10481</t>
  </si>
  <si>
    <t>TK/26/10482</t>
  </si>
  <si>
    <t>USK/TSP/TK/26/10482</t>
  </si>
  <si>
    <t>TK/26/10483</t>
  </si>
  <si>
    <t>USK/TSP/TK/26/10483</t>
  </si>
  <si>
    <t>TK/26/10484</t>
  </si>
  <si>
    <t>USK/TSP/TK/26/10484</t>
  </si>
  <si>
    <t>TK/26/10486</t>
  </si>
  <si>
    <t>USK/TSP/TK/26/10486</t>
  </si>
  <si>
    <t>1292473869</t>
  </si>
  <si>
    <t>INFINITT@1292473869</t>
  </si>
  <si>
    <t>131140_631</t>
  </si>
  <si>
    <t>ESKULAP@131140_631</t>
  </si>
  <si>
    <t>131141_631</t>
  </si>
  <si>
    <t>ESKULAP@131141_631</t>
  </si>
  <si>
    <t>1399156-3318363</t>
  </si>
  <si>
    <t>DICOMIntegrationNEW@1399156-3318363</t>
  </si>
  <si>
    <t>14394110</t>
  </si>
  <si>
    <t>PIXEL@14394110</t>
  </si>
  <si>
    <t>23906245</t>
  </si>
  <si>
    <t>DICOMIntegration@23906245</t>
  </si>
  <si>
    <t>23907360</t>
  </si>
  <si>
    <t>DICOMIntegration@23907360</t>
  </si>
  <si>
    <t>23907418</t>
  </si>
  <si>
    <t>DICOMIntegration@23907418</t>
  </si>
  <si>
    <t>23908953</t>
  </si>
  <si>
    <t>DICOMIntegration@23908953</t>
  </si>
  <si>
    <t>257554-2026</t>
  </si>
  <si>
    <t>OPTIMED@257554-2026</t>
  </si>
  <si>
    <t>267644998</t>
  </si>
  <si>
    <t>PIXEL@267644998</t>
  </si>
  <si>
    <t>484207</t>
  </si>
  <si>
    <t>ALTERIS@484207</t>
  </si>
  <si>
    <t>484422</t>
  </si>
  <si>
    <t>ALTERIS@484422</t>
  </si>
  <si>
    <t>484426</t>
  </si>
  <si>
    <t>ALTERIS@484426</t>
  </si>
  <si>
    <t>484476</t>
  </si>
  <si>
    <t>ALTERIS@484476</t>
  </si>
  <si>
    <t>628616387</t>
  </si>
  <si>
    <t>DICOMIntegration@628616387</t>
  </si>
  <si>
    <t>86300927</t>
  </si>
  <si>
    <t>INFINITT@86300927</t>
  </si>
  <si>
    <t>963241</t>
  </si>
  <si>
    <t>spzozturek</t>
  </si>
  <si>
    <t>DICOMIntegration@963241</t>
  </si>
  <si>
    <t>CH01B03000049C2E</t>
  </si>
  <si>
    <t>DICOMIntegration@CH01B03000049C2E</t>
  </si>
  <si>
    <t>CN85664548</t>
  </si>
  <si>
    <t>CLININET@CN85664548</t>
  </si>
  <si>
    <t>CN86114286</t>
  </si>
  <si>
    <t>CLININET@CN86114286</t>
  </si>
  <si>
    <t>CN86127255</t>
  </si>
  <si>
    <t>CLININET@CN86127255</t>
  </si>
  <si>
    <t>CT_26_001674</t>
  </si>
  <si>
    <t>DICOMIntegration@CT_26_001674</t>
  </si>
  <si>
    <t>CT_26_001678</t>
  </si>
  <si>
    <t>DICOMIntegration@CT_26_001678</t>
  </si>
  <si>
    <t>CT_26_002627</t>
  </si>
  <si>
    <t>DIGRA@CT_26_002627</t>
  </si>
  <si>
    <t>CT_26_002640</t>
  </si>
  <si>
    <t>DIGRA@CT_26_002640</t>
  </si>
  <si>
    <t>CT_26_002641</t>
  </si>
  <si>
    <t>DIGRA@CT_26_002641</t>
  </si>
  <si>
    <t>RISHIS-281420556</t>
  </si>
  <si>
    <t>OSTROW@RISHIS-281420556</t>
  </si>
  <si>
    <t>RISHIS-284229056</t>
  </si>
  <si>
    <t>OSTROW@RISHIS-284229056</t>
  </si>
  <si>
    <t>RISHIS-284616270</t>
  </si>
  <si>
    <t>OSTROW@RISHIS-284616270</t>
  </si>
  <si>
    <t>1/112874I</t>
  </si>
  <si>
    <t>DICOMIntegration@1/112874I</t>
  </si>
  <si>
    <t>1/112875I</t>
  </si>
  <si>
    <t>DICOMIntegration@1/112875I</t>
  </si>
  <si>
    <t>1/112883I</t>
  </si>
  <si>
    <t>DICOMIntegration@1/112883I</t>
  </si>
  <si>
    <t>1000231</t>
  </si>
  <si>
    <t>DZIERZONIOW@1000231</t>
  </si>
  <si>
    <t>1258807_2136</t>
  </si>
  <si>
    <t>DICOMIntegration@1258807_2136</t>
  </si>
  <si>
    <t>1293264592</t>
  </si>
  <si>
    <t>INFINITT@1293264592</t>
  </si>
  <si>
    <t>1404267-3329155</t>
  </si>
  <si>
    <t>DICOMIntegrationNEW@1404267-3329155</t>
  </si>
  <si>
    <t>1404307-3329239</t>
  </si>
  <si>
    <t>DICOMIntegrationNEW@1404307-3329239</t>
  </si>
  <si>
    <t>1404488-3329670</t>
  </si>
  <si>
    <t>DICOMIntegrationNEW@1404488-3329670</t>
  </si>
  <si>
    <t>1404510-3329698</t>
  </si>
  <si>
    <t>DICOMIntegrationNEW@1404510-3329698</t>
  </si>
  <si>
    <t>1896867</t>
  </si>
  <si>
    <t>DICOMIntegration@1896867</t>
  </si>
  <si>
    <t>267792123</t>
  </si>
  <si>
    <t>PIXEL@267792123</t>
  </si>
  <si>
    <t>31580217</t>
  </si>
  <si>
    <t>CLININET@31580217</t>
  </si>
  <si>
    <t>31582183</t>
  </si>
  <si>
    <t>CLININET@31582183</t>
  </si>
  <si>
    <t>31584957</t>
  </si>
  <si>
    <t>CLININET@31584957</t>
  </si>
  <si>
    <t>31585628</t>
  </si>
  <si>
    <t>CLININET@31585628</t>
  </si>
  <si>
    <t>31586999</t>
  </si>
  <si>
    <t>CLININET@31586999</t>
  </si>
  <si>
    <t>31587343</t>
  </si>
  <si>
    <t>CLININET@31587343</t>
  </si>
  <si>
    <t>4746/26/TK</t>
  </si>
  <si>
    <t>ALTERIS@4746/26/TK</t>
  </si>
  <si>
    <t>484913</t>
  </si>
  <si>
    <t>ALTERIS@484913</t>
  </si>
  <si>
    <t>484944</t>
  </si>
  <si>
    <t>ALTERIS@484944</t>
  </si>
  <si>
    <t>484945</t>
  </si>
  <si>
    <t>ALTERIS@484945</t>
  </si>
  <si>
    <t>484951</t>
  </si>
  <si>
    <t>ALTERIS@484951</t>
  </si>
  <si>
    <t>484957</t>
  </si>
  <si>
    <t>ALTERIS@484957</t>
  </si>
  <si>
    <t>484958</t>
  </si>
  <si>
    <t>ALTERIS@484958</t>
  </si>
  <si>
    <t>484960</t>
  </si>
  <si>
    <t>ALTERIS@484960</t>
  </si>
  <si>
    <t>484975</t>
  </si>
  <si>
    <t>ALTERIS@484975</t>
  </si>
  <si>
    <t>944922006A</t>
  </si>
  <si>
    <t>DICOMIntegration@944922006A</t>
  </si>
  <si>
    <t>CN86199551</t>
  </si>
  <si>
    <t>CLININET@CN86199551</t>
  </si>
  <si>
    <t>CT_26_001713</t>
  </si>
  <si>
    <t>DICOMIntegration@CT_26_001713</t>
  </si>
  <si>
    <t>RISHIS-284920392</t>
  </si>
  <si>
    <t>OSTROW@RISHIS-284920392</t>
  </si>
  <si>
    <t>RISHIS-284933284</t>
  </si>
  <si>
    <t>OSTROW@RISHIS-284933284</t>
  </si>
  <si>
    <t>TK/26/10641</t>
  </si>
  <si>
    <t>USK/TSP/TK/26/10641</t>
  </si>
  <si>
    <t>TK/26/10642</t>
  </si>
  <si>
    <t>USK/TSP/TK/26/10642</t>
  </si>
  <si>
    <t>TK/26/10643</t>
  </si>
  <si>
    <t>USK/TSP/TK/26/10643</t>
  </si>
  <si>
    <t>TK/26/10647</t>
  </si>
  <si>
    <t>USK/TSP/TK/26/10647</t>
  </si>
  <si>
    <t>TK/26/10648</t>
  </si>
  <si>
    <t>USK/TSP/TK/26/10648</t>
  </si>
  <si>
    <t>TK/26/10649</t>
  </si>
  <si>
    <t>USK/TSP/TK/26/10649</t>
  </si>
  <si>
    <t>TK/26/10657</t>
  </si>
  <si>
    <t>USK/TSP/TK/26/10657</t>
  </si>
  <si>
    <t>TK/26/7680</t>
  </si>
  <si>
    <t>ZGR/ZTK/TK/26/7680</t>
  </si>
  <si>
    <t>TK/26/7681</t>
  </si>
  <si>
    <t>ZGR/ZTK/TK/26/7681</t>
  </si>
  <si>
    <t>TK/26/7682</t>
  </si>
  <si>
    <t>ZGR/ZTK/TK/26/7682</t>
  </si>
  <si>
    <t>TK/26/7683</t>
  </si>
  <si>
    <t>ZGR/ZTK/TK/26/7683</t>
  </si>
  <si>
    <t>TK/26/7684</t>
  </si>
  <si>
    <t>ZGR/ZTK/TK/26/7684</t>
  </si>
  <si>
    <t>TK/26/9260</t>
  </si>
  <si>
    <t>SWK/TK/TK/26/9260</t>
  </si>
  <si>
    <t>1/112880I</t>
  </si>
  <si>
    <t>DICOMIntegration@1/112880I</t>
  </si>
  <si>
    <t>1000263</t>
  </si>
  <si>
    <t>DZIERZONIOW@1000263</t>
  </si>
  <si>
    <t>1259115_2137</t>
  </si>
  <si>
    <t>DICOMIntegration@1259115_2137</t>
  </si>
  <si>
    <t>1290891916</t>
  </si>
  <si>
    <t>INFINITT@1290891916</t>
  </si>
  <si>
    <t>1291684530</t>
  </si>
  <si>
    <t>INFINITT@1291684530</t>
  </si>
  <si>
    <t>130717_645</t>
  </si>
  <si>
    <t>ESKULAP@130717_645</t>
  </si>
  <si>
    <t>131310_631</t>
  </si>
  <si>
    <t>ESKULAP@131310_631</t>
  </si>
  <si>
    <t>131315_631</t>
  </si>
  <si>
    <t>ESKULAP@131315_631</t>
  </si>
  <si>
    <t>131411_631</t>
  </si>
  <si>
    <t>ESKULAP@131411_631</t>
  </si>
  <si>
    <t>1912/TK/2026</t>
  </si>
  <si>
    <t>ALTERIS@1912/TK/2026</t>
  </si>
  <si>
    <t>1946987</t>
  </si>
  <si>
    <t>DICOMIntegration@1946987</t>
  </si>
  <si>
    <t>267850860</t>
  </si>
  <si>
    <t>PIXEL@267850860</t>
  </si>
  <si>
    <t>31580986</t>
  </si>
  <si>
    <t>CLININET@31580986</t>
  </si>
  <si>
    <t>31586698</t>
  </si>
  <si>
    <t>CLININET@31586698</t>
  </si>
  <si>
    <t>31589855</t>
  </si>
  <si>
    <t>CLININET@31589855</t>
  </si>
  <si>
    <t>485003</t>
  </si>
  <si>
    <t>ALTERIS@485003</t>
  </si>
  <si>
    <t>485007</t>
  </si>
  <si>
    <t>ALTERIS@485007</t>
  </si>
  <si>
    <t>485096</t>
  </si>
  <si>
    <t>ALTERIS@485096</t>
  </si>
  <si>
    <t>485098</t>
  </si>
  <si>
    <t>ALTERIS@485098</t>
  </si>
  <si>
    <t>599213.1</t>
  </si>
  <si>
    <t>MEDIQUS@599213.1</t>
  </si>
  <si>
    <t>83231316</t>
  </si>
  <si>
    <t>INFINITT@83231316</t>
  </si>
  <si>
    <t>CN86097347</t>
  </si>
  <si>
    <t>CLININET@CN86097347</t>
  </si>
  <si>
    <t>CT_26_001669</t>
  </si>
  <si>
    <t>DICOMIntegration@CT_26_001669</t>
  </si>
  <si>
    <t>CT_26_001700</t>
  </si>
  <si>
    <t>DICOMIntegration@CT_26_001700</t>
  </si>
  <si>
    <t>CT_26_001723</t>
  </si>
  <si>
    <t>DICOMIntegration@CT_26_001723</t>
  </si>
  <si>
    <t>CT_26_001734</t>
  </si>
  <si>
    <t>DICOMIntegration@CT_26_001734</t>
  </si>
  <si>
    <t>CT_26_001736</t>
  </si>
  <si>
    <t>DICOMIntegration@CT_26_001736</t>
  </si>
  <si>
    <t>CT_26_002449</t>
  </si>
  <si>
    <t>DIGRA@CT_26_002449</t>
  </si>
  <si>
    <t>CT_26_002676</t>
  </si>
  <si>
    <t>DIGRA@CT_26_002676</t>
  </si>
  <si>
    <t>RISHIS-284880770</t>
  </si>
  <si>
    <t>OSTROW@RISHIS-284880770</t>
  </si>
  <si>
    <t>TK/26/9232</t>
  </si>
  <si>
    <t>SWK/TK/TK/26/9232</t>
  </si>
  <si>
    <t>ZMR/MR/26/1736</t>
  </si>
  <si>
    <t>TELEDIAGNOSIS@ZMR/MR/26/1736</t>
  </si>
  <si>
    <t>1/61191I</t>
  </si>
  <si>
    <t>radiomedica</t>
  </si>
  <si>
    <t>DICOMIntegration@1/61191I</t>
  </si>
  <si>
    <t>110028_728</t>
  </si>
  <si>
    <t>ESKULAP@110028_728</t>
  </si>
  <si>
    <t>110857_729</t>
  </si>
  <si>
    <t>ESKULAP@110857_729</t>
  </si>
  <si>
    <t>1289539461</t>
  </si>
  <si>
    <t>INFINITT@1289539461</t>
  </si>
  <si>
    <t>1291419902</t>
  </si>
  <si>
    <t>INFINITT@1291419902</t>
  </si>
  <si>
    <t>1293658102</t>
  </si>
  <si>
    <t>INFINITT@1293658102</t>
  </si>
  <si>
    <t>131525_615</t>
  </si>
  <si>
    <t>ESKULAP@131525_615</t>
  </si>
  <si>
    <t>1867/TK/2026</t>
  </si>
  <si>
    <t>ALTERIS@1867/TK/2026</t>
  </si>
  <si>
    <t>1941083</t>
  </si>
  <si>
    <t>DICOMIntegration@1941083</t>
  </si>
  <si>
    <t>31591491</t>
  </si>
  <si>
    <t>CLININET@31591491</t>
  </si>
  <si>
    <t>31593633</t>
  </si>
  <si>
    <t>CLININET@31593633</t>
  </si>
  <si>
    <t>31596394</t>
  </si>
  <si>
    <t>CLININET@31596394</t>
  </si>
  <si>
    <t>31596782</t>
  </si>
  <si>
    <t>CLININET@31596782</t>
  </si>
  <si>
    <t>31598371</t>
  </si>
  <si>
    <t>CLININET@31598371</t>
  </si>
  <si>
    <t>31598372</t>
  </si>
  <si>
    <t>CLININET@31598372</t>
  </si>
  <si>
    <t>31598375</t>
  </si>
  <si>
    <t>CLININET@31598375</t>
  </si>
  <si>
    <t>3881/TK/2026</t>
  </si>
  <si>
    <t>ALTERIS@3881/TK/2026</t>
  </si>
  <si>
    <t>485313</t>
  </si>
  <si>
    <t>ALTERIS@485313</t>
  </si>
  <si>
    <t>485328</t>
  </si>
  <si>
    <t>ALTERIS@485328</t>
  </si>
  <si>
    <t>485358</t>
  </si>
  <si>
    <t>ALTERIS@485358</t>
  </si>
  <si>
    <t>56691.1</t>
  </si>
  <si>
    <t>DICOMIntegration@56691.1</t>
  </si>
  <si>
    <t>56757.1</t>
  </si>
  <si>
    <t>DICOMIntegration@56757.1</t>
  </si>
  <si>
    <t>56796.1</t>
  </si>
  <si>
    <t>DICOMIntegration@56796.1</t>
  </si>
  <si>
    <t>74412-186441</t>
  </si>
  <si>
    <t>DICOMIntegration@74412-186441</t>
  </si>
  <si>
    <t>798/05/2026</t>
  </si>
  <si>
    <t>DZIERZONIOW@798/05/2026</t>
  </si>
  <si>
    <t>801/05/2026</t>
  </si>
  <si>
    <t>DZIERZONIOW@801/05/2026</t>
  </si>
  <si>
    <t>83/CT/2026</t>
  </si>
  <si>
    <t>tdkolbuszowa</t>
  </si>
  <si>
    <t>ALTERIS@83/CT/2026</t>
  </si>
  <si>
    <t>85535822</t>
  </si>
  <si>
    <t>INFINITT@85535822</t>
  </si>
  <si>
    <t>87313145</t>
  </si>
  <si>
    <t>INFINITT@87313145</t>
  </si>
  <si>
    <t>CN85875404</t>
  </si>
  <si>
    <t>CLININET@CN85875404</t>
  </si>
  <si>
    <t>CT_26_001763</t>
  </si>
  <si>
    <t>DICOMIntegration@CT_26_001763</t>
  </si>
  <si>
    <t>000003820896</t>
  </si>
  <si>
    <t>ORION@000003820896</t>
  </si>
  <si>
    <t>000003820902</t>
  </si>
  <si>
    <t>ORION@000003820902</t>
  </si>
  <si>
    <t>000003820919</t>
  </si>
  <si>
    <t>ORION@000003820919</t>
  </si>
  <si>
    <t>000003820940</t>
  </si>
  <si>
    <t>ORION@000003820940</t>
  </si>
  <si>
    <t>1408648-3337983</t>
  </si>
  <si>
    <t>DICOMIntegrationNEW@1408648-3337983</t>
  </si>
  <si>
    <t>1623/26/CT</t>
  </si>
  <si>
    <t>DICOMIntegration@1623/26/CT</t>
  </si>
  <si>
    <t>1933/TK/2026</t>
  </si>
  <si>
    <t>ALTERIS@1933/TK/2026</t>
  </si>
  <si>
    <t>1935/TK/2026</t>
  </si>
  <si>
    <t>ALTERIS@1935/TK/2026</t>
  </si>
  <si>
    <t>1936/TK/2026</t>
  </si>
  <si>
    <t>ALTERIS@1936/TK/2026</t>
  </si>
  <si>
    <t>1937/TK/2026</t>
  </si>
  <si>
    <t>ALTERIS@1937/TK/2026</t>
  </si>
  <si>
    <t>23936019</t>
  </si>
  <si>
    <t>DICOMIntegration@23936019</t>
  </si>
  <si>
    <t>23936065</t>
  </si>
  <si>
    <t>DICOMIntegration@23936065</t>
  </si>
  <si>
    <t>31605478</t>
  </si>
  <si>
    <t>CLININET@31605478</t>
  </si>
  <si>
    <t>3918/TK/2026</t>
  </si>
  <si>
    <t>ALTERIS@3918/TK/2026</t>
  </si>
  <si>
    <t>3919/TK/2026</t>
  </si>
  <si>
    <t>ALTERIS@3919/TK/2026</t>
  </si>
  <si>
    <t>3921/TK/2026</t>
  </si>
  <si>
    <t>ALTERIS@3921/TK/2026</t>
  </si>
  <si>
    <t>3922/TK/2026</t>
  </si>
  <si>
    <t>ALTERIS@3922/TK/2026</t>
  </si>
  <si>
    <t>4739234</t>
  </si>
  <si>
    <t>tdzoznidzica</t>
  </si>
  <si>
    <t>DICOMIntegration@4739234</t>
  </si>
  <si>
    <t>650064231</t>
  </si>
  <si>
    <t>DICOMIntegration@650064231</t>
  </si>
  <si>
    <t>946017909S</t>
  </si>
  <si>
    <t>DICOMIntegration@946017909S</t>
  </si>
  <si>
    <t>966105</t>
  </si>
  <si>
    <t>DICOMIntegration@966105</t>
  </si>
  <si>
    <t>CN12478019</t>
  </si>
  <si>
    <t>DICOMIntegration@CN12478019</t>
  </si>
  <si>
    <t>CN2909714</t>
  </si>
  <si>
    <t>nml</t>
  </si>
  <si>
    <t>DICOMIntegration@CN2909714</t>
  </si>
  <si>
    <t>TK/26/1276</t>
  </si>
  <si>
    <t>GRP/GZGTK/TK/26/1276</t>
  </si>
  <si>
    <t>TK/26/2225</t>
  </si>
  <si>
    <t>ALM/PR1/TK/26/2225</t>
  </si>
  <si>
    <t>TK/26/2227</t>
  </si>
  <si>
    <t>ALM/PR1/TK/26/2227</t>
  </si>
  <si>
    <t>TK/26/2228</t>
  </si>
  <si>
    <t>ALM/PR1/TK/26/2228</t>
  </si>
  <si>
    <t>TK/26/2229</t>
  </si>
  <si>
    <t>ALM/PR1/TK/26/2229</t>
  </si>
  <si>
    <t>TK/26/4019</t>
  </si>
  <si>
    <t>SWP/PTK/TK/26/4019</t>
  </si>
  <si>
    <t>TK/26/4020</t>
  </si>
  <si>
    <t xml:space="preserve"> </t>
  </si>
  <si>
    <t>SWP/PTK/TK/26/4020</t>
  </si>
  <si>
    <t>TK/26/4021</t>
  </si>
  <si>
    <t>SWP/PTK/TK/26/4021</t>
  </si>
  <si>
    <t>TK/26/4026</t>
  </si>
  <si>
    <t>SWP/PTK/TK/26/4026</t>
  </si>
  <si>
    <t>TK/26/4027</t>
  </si>
  <si>
    <t>SWP/PTK/TK/26/4027</t>
  </si>
  <si>
    <t>TK/26/7785</t>
  </si>
  <si>
    <t>ZGR/ZTK/TK/26/7785</t>
  </si>
  <si>
    <t>1000397</t>
  </si>
  <si>
    <t>DZIERZONIOW@1000397</t>
  </si>
  <si>
    <t>1259927_2156</t>
  </si>
  <si>
    <t>DICOMIntegration@1259927_2156</t>
  </si>
  <si>
    <t>1259976_2136</t>
  </si>
  <si>
    <t>DICOMIntegration@1259976_2136</t>
  </si>
  <si>
    <t>131569_630</t>
  </si>
  <si>
    <t>ESKULAP@131569_630</t>
  </si>
  <si>
    <t>1636/26/CT</t>
  </si>
  <si>
    <t>DICOMIntegration@1636/26/CT</t>
  </si>
  <si>
    <t>2307/TK/2026</t>
  </si>
  <si>
    <t>DICOMIntegration@2307/TK/2026</t>
  </si>
  <si>
    <t>267346-2026</t>
  </si>
  <si>
    <t>OPTIMED@267346-2026</t>
  </si>
  <si>
    <t>268089306</t>
  </si>
  <si>
    <t>PIXEL@268089306</t>
  </si>
  <si>
    <t>268091010</t>
  </si>
  <si>
    <t>PIXEL@268091010</t>
  </si>
  <si>
    <t>268091219</t>
  </si>
  <si>
    <t>PIXEL@268091219</t>
  </si>
  <si>
    <t>31610194</t>
  </si>
  <si>
    <t>CLININET@31610194</t>
  </si>
  <si>
    <t>31610672</t>
  </si>
  <si>
    <t>CLININET@31610672</t>
  </si>
  <si>
    <t>31610857</t>
  </si>
  <si>
    <t>CLININET@31610857</t>
  </si>
  <si>
    <t>31612702</t>
  </si>
  <si>
    <t>CLININET@31612702</t>
  </si>
  <si>
    <t>4723/26/TK</t>
  </si>
  <si>
    <t>ALTERIS@4723/26/TK</t>
  </si>
  <si>
    <t>485655</t>
  </si>
  <si>
    <t>ALTERIS@485655</t>
  </si>
  <si>
    <t>485739</t>
  </si>
  <si>
    <t>ALTERIS@485739</t>
  </si>
  <si>
    <t>485754</t>
  </si>
  <si>
    <t>ALTERIS@485754</t>
  </si>
  <si>
    <t>485756</t>
  </si>
  <si>
    <t>ALTERIS@485756</t>
  </si>
  <si>
    <t>485768</t>
  </si>
  <si>
    <t>ALTERIS@485768</t>
  </si>
  <si>
    <t>600109.1</t>
  </si>
  <si>
    <t>MEDIQUS@600109.1</t>
  </si>
  <si>
    <t>600169.1</t>
  </si>
  <si>
    <t>MEDIQUS@600169.1</t>
  </si>
  <si>
    <t>CH01B0300004A11B</t>
  </si>
  <si>
    <t>DICOMIntegration@CH01B0300004A11B</t>
  </si>
  <si>
    <t>CH01B0300004A1B9</t>
  </si>
  <si>
    <t>DICOMIntegration@CH01B0300004A1B9</t>
  </si>
  <si>
    <t>CN10595930</t>
  </si>
  <si>
    <t>CLININET@CN10595930</t>
  </si>
  <si>
    <t>CN2910413</t>
  </si>
  <si>
    <t>DICOMIntegration@CN2910413</t>
  </si>
  <si>
    <t>CN86246521</t>
  </si>
  <si>
    <t>CLININET@CN86246521</t>
  </si>
  <si>
    <t>CT_26_001809</t>
  </si>
  <si>
    <t>DICOMIntegration@CT_26_001809</t>
  </si>
  <si>
    <t>CT_26_002783</t>
  </si>
  <si>
    <t>DIGRA@CT_26_002783</t>
  </si>
  <si>
    <t>CT_26_002785</t>
  </si>
  <si>
    <t>DIGRA@CT_26_002785</t>
  </si>
  <si>
    <t>CT_26_002786</t>
  </si>
  <si>
    <t>DIGRA@CT_26_002786</t>
  </si>
  <si>
    <t>CT_26_002789</t>
  </si>
  <si>
    <t>DIGRA@CT_26_002789</t>
  </si>
  <si>
    <t>CT_26_002793</t>
  </si>
  <si>
    <t>DIGRA@CT_26_002793</t>
  </si>
  <si>
    <t>DICOMIntegration@242244.1</t>
  </si>
  <si>
    <t>TK/26/7695</t>
  </si>
  <si>
    <t>ZGR/ZTK/TK/26/7695</t>
  </si>
  <si>
    <t>TK/26/7696</t>
  </si>
  <si>
    <t>ZGR/ZTK/TK/26/7696</t>
  </si>
  <si>
    <t>TK/26/7697</t>
  </si>
  <si>
    <t>ZGR/ZTK/TK/26/7697</t>
  </si>
  <si>
    <t>1/113057I</t>
  </si>
  <si>
    <t>DICOMIntegration@1/113057I</t>
  </si>
  <si>
    <t>111057_756</t>
  </si>
  <si>
    <t>ESKULAP@111057_756</t>
  </si>
  <si>
    <t>1260206_2156</t>
  </si>
  <si>
    <t>DICOMIntegration@1260206_2156</t>
  </si>
  <si>
    <t>1285599456</t>
  </si>
  <si>
    <t>INFINITT@1285599456</t>
  </si>
  <si>
    <t>131628_615</t>
  </si>
  <si>
    <t>ESKULAP@131628_615</t>
  </si>
  <si>
    <t>131628_642</t>
  </si>
  <si>
    <t>ESKULAP@131628_642</t>
  </si>
  <si>
    <t>131628_661</t>
  </si>
  <si>
    <t>ESKULAP@131628_661</t>
  </si>
  <si>
    <t>131630_647</t>
  </si>
  <si>
    <t>ESKULAP@131630_647</t>
  </si>
  <si>
    <t>131710_631</t>
  </si>
  <si>
    <t>ESKULAP@131710_631</t>
  </si>
  <si>
    <t>14466658</t>
  </si>
  <si>
    <t>PIXEL@14466658</t>
  </si>
  <si>
    <t>1677/TK/2026</t>
  </si>
  <si>
    <t>DICOMIntegration@1677/TK/2026</t>
  </si>
  <si>
    <t>2039/CT2/2026</t>
  </si>
  <si>
    <t>komed</t>
  </si>
  <si>
    <t>DICOMIntegration@2039/CT2/2026</t>
  </si>
  <si>
    <t>268148624</t>
  </si>
  <si>
    <t>PIXEL@268148624</t>
  </si>
  <si>
    <t>268148663</t>
  </si>
  <si>
    <t>PIXEL@268148663</t>
  </si>
  <si>
    <t>485800</t>
  </si>
  <si>
    <t>ALTERIS@485800</t>
  </si>
  <si>
    <t>485929</t>
  </si>
  <si>
    <t>ALTERIS@485929</t>
  </si>
  <si>
    <t>485964</t>
  </si>
  <si>
    <t>ALTERIS@485964</t>
  </si>
  <si>
    <t>486022</t>
  </si>
  <si>
    <t>ALTERIS@486022</t>
  </si>
  <si>
    <t>486044</t>
  </si>
  <si>
    <t>ALTERIS@486044</t>
  </si>
  <si>
    <t>4951/26/TK</t>
  </si>
  <si>
    <t>ALTERIS@4951/26/TK</t>
  </si>
  <si>
    <t>4952/26/TK</t>
  </si>
  <si>
    <t>ALTERIS@4952/26/TK</t>
  </si>
  <si>
    <t>56749.1</t>
  </si>
  <si>
    <t>DICOMIntegration@56749.1</t>
  </si>
  <si>
    <t>CN12477082</t>
  </si>
  <si>
    <t>DICOMIntegration@CN12477082</t>
  </si>
  <si>
    <t>CN12488708</t>
  </si>
  <si>
    <t>DICOMIntegration@CN12488708</t>
  </si>
  <si>
    <t>CN6620987</t>
  </si>
  <si>
    <t>tdonkologiaradom</t>
  </si>
  <si>
    <t>DICOMIntegration@CN6620987</t>
  </si>
  <si>
    <t>CN6621018</t>
  </si>
  <si>
    <t>DICOMIntegration@CN6621018</t>
  </si>
  <si>
    <t>CN86294704</t>
  </si>
  <si>
    <t>CLININET@CN86294704</t>
  </si>
  <si>
    <t>CT_26_001857</t>
  </si>
  <si>
    <t>DICOMIntegration@CT_26_001857</t>
  </si>
  <si>
    <t>MR_26_002539</t>
  </si>
  <si>
    <t>DIGRA@MR_26_002539</t>
  </si>
  <si>
    <t>TK/26/11103</t>
  </si>
  <si>
    <t>USK/TSP/TK/26/11103</t>
  </si>
  <si>
    <t>TK/26/11104</t>
  </si>
  <si>
    <t>USK/TSP/TK/26/11104</t>
  </si>
  <si>
    <t>111331_736</t>
  </si>
  <si>
    <t>ESKULAP@111331_736</t>
  </si>
  <si>
    <t>1415379-3352221</t>
  </si>
  <si>
    <t>DICOMIntegrationNEW@1415379-3352221</t>
  </si>
  <si>
    <t>1415497-3352513</t>
  </si>
  <si>
    <t>DICOMIntegrationNEW@1415497-3352513</t>
  </si>
  <si>
    <t>1415526-3352597</t>
  </si>
  <si>
    <t>DICOMIntegrationNEW@1415526-3352597</t>
  </si>
  <si>
    <t>1415529-3352614</t>
  </si>
  <si>
    <t>DICOMIntegrationNEW@1415529-3352614</t>
  </si>
  <si>
    <t>1415544-3352643</t>
  </si>
  <si>
    <t>DICOMIntegrationNEW@1415544-3352643</t>
  </si>
  <si>
    <t>1415579-3352695</t>
  </si>
  <si>
    <t>DICOMIntegrationNEW@1415579-3352695</t>
  </si>
  <si>
    <t>1415595-3352731</t>
  </si>
  <si>
    <t>DICOMIntegrationNEW@1415595-3352731</t>
  </si>
  <si>
    <t>1415627-3352838</t>
  </si>
  <si>
    <t>DICOMIntegrationNEW@1415627-3352838</t>
  </si>
  <si>
    <t>1415670-3352899</t>
  </si>
  <si>
    <t>DICOMIntegrationNEW@1415670-3352899</t>
  </si>
  <si>
    <t>23956101</t>
  </si>
  <si>
    <t>DICOMIntegration@23956101</t>
  </si>
  <si>
    <t>268340071</t>
  </si>
  <si>
    <t>PIXEL@268340071</t>
  </si>
  <si>
    <t>268342564</t>
  </si>
  <si>
    <t>PIXEL@268342564</t>
  </si>
  <si>
    <t>31633247</t>
  </si>
  <si>
    <t>CLININET@31633247</t>
  </si>
  <si>
    <t>31633252</t>
  </si>
  <si>
    <t>CLININET@31633252</t>
  </si>
  <si>
    <t>31633487</t>
  </si>
  <si>
    <t>CLININET@31633487</t>
  </si>
  <si>
    <t>482203_2322</t>
  </si>
  <si>
    <t>ESKULAP@482203_2322</t>
  </si>
  <si>
    <t>486446</t>
  </si>
  <si>
    <t>ALTERIS@486446</t>
  </si>
  <si>
    <t>486448</t>
  </si>
  <si>
    <t>ALTERIS@486448</t>
  </si>
  <si>
    <t>4994/26/TK</t>
  </si>
  <si>
    <t>ALTERIS@4994/26/TK</t>
  </si>
  <si>
    <t>530039_1593</t>
  </si>
  <si>
    <t>sokolow</t>
  </si>
  <si>
    <t>ESKULAP@530039_1593</t>
  </si>
  <si>
    <t>601341.1</t>
  </si>
  <si>
    <t>MEDIQUS@601341.1</t>
  </si>
  <si>
    <t>700546645</t>
  </si>
  <si>
    <t>INFINITT@700546645</t>
  </si>
  <si>
    <t>944329868A</t>
  </si>
  <si>
    <t>DICOMIntegration@944329868A</t>
  </si>
  <si>
    <t>967319</t>
  </si>
  <si>
    <t>DICOMIntegration@967319</t>
  </si>
  <si>
    <t>968596</t>
  </si>
  <si>
    <t>DICOMIntegration@968596</t>
  </si>
  <si>
    <t>CN10603437</t>
  </si>
  <si>
    <t>CLININET@CN10603437</t>
  </si>
  <si>
    <t>CN10603438</t>
  </si>
  <si>
    <t>CLININET@CN10603438</t>
  </si>
  <si>
    <t>CN10603448</t>
  </si>
  <si>
    <t>CLININET@CN10603448</t>
  </si>
  <si>
    <t>CN10603449</t>
  </si>
  <si>
    <t>CLININET@CN10603449</t>
  </si>
  <si>
    <t>CN86435947</t>
  </si>
  <si>
    <t>CLININET@CN86435947</t>
  </si>
  <si>
    <t>CT_26_001911</t>
  </si>
  <si>
    <t>DICOMIntegration@CT_26_001911</t>
  </si>
  <si>
    <t>CT_26_001923</t>
  </si>
  <si>
    <t>DICOMIntegration@CT_26_001923</t>
  </si>
  <si>
    <t>CT_26_001925</t>
  </si>
  <si>
    <t>DICOMIntegration@CT_26_001925</t>
  </si>
  <si>
    <t>CT_26_001927</t>
  </si>
  <si>
    <t>DICOMIntegration@CT_26_001927</t>
  </si>
  <si>
    <t>CT_26_002886</t>
  </si>
  <si>
    <t>DIGRA@CT_26_002886</t>
  </si>
  <si>
    <t>CT_26_002890</t>
  </si>
  <si>
    <t>DIGRA@CT_26_002890</t>
  </si>
  <si>
    <t>CT_26_002894</t>
  </si>
  <si>
    <t>DIGRA@CT_26_002894</t>
  </si>
  <si>
    <t>TK/26/7964</t>
  </si>
  <si>
    <t>ZGR/ZTK/TK/26/7964</t>
  </si>
  <si>
    <t>TK/26/7965</t>
  </si>
  <si>
    <t>ZGR/ZTK/TK/26/7965</t>
  </si>
  <si>
    <t>TK/26/7966</t>
  </si>
  <si>
    <t>ZGR/ZTK/TK/26/7966</t>
  </si>
  <si>
    <t>TK/26/7967</t>
  </si>
  <si>
    <t>ZGR/ZTK/TK/26/7967</t>
  </si>
  <si>
    <t>000003814185</t>
  </si>
  <si>
    <t>ORION@000003814185</t>
  </si>
  <si>
    <t>000003825808</t>
  </si>
  <si>
    <t>ORION@000003825808</t>
  </si>
  <si>
    <t>1000534</t>
  </si>
  <si>
    <t>DZIERZONIOW@1000534</t>
  </si>
  <si>
    <t>1412461-3346401</t>
  </si>
  <si>
    <t>DICOMIntegrationNEW@1412461-3346401</t>
  </si>
  <si>
    <t>1414208-3349837</t>
  </si>
  <si>
    <t>DICOMIntegrationNEW@1414208-3349837</t>
  </si>
  <si>
    <t>14490053</t>
  </si>
  <si>
    <t>PIXEL@14490053</t>
  </si>
  <si>
    <t>268306216</t>
  </si>
  <si>
    <t>PIXEL@268306216</t>
  </si>
  <si>
    <t>268369844</t>
  </si>
  <si>
    <t>PIXEL@268369844</t>
  </si>
  <si>
    <t>268401382</t>
  </si>
  <si>
    <t>PIXEL@268401382</t>
  </si>
  <si>
    <t>276778-2026</t>
  </si>
  <si>
    <t>OPTIMED@276778-2026</t>
  </si>
  <si>
    <t>31635687</t>
  </si>
  <si>
    <t>CLININET@31635687</t>
  </si>
  <si>
    <t>4003/TK/2026</t>
  </si>
  <si>
    <t>ALTERIS@4003/TK/2026</t>
  </si>
  <si>
    <t>601556.1</t>
  </si>
  <si>
    <t>MEDIQUS@601556.1</t>
  </si>
  <si>
    <t>699941294</t>
  </si>
  <si>
    <t>INFINITT@699941294</t>
  </si>
  <si>
    <t>700580524</t>
  </si>
  <si>
    <t>INFINITT@700580524</t>
  </si>
  <si>
    <t>84520418</t>
  </si>
  <si>
    <t>INFINITT@84520418</t>
  </si>
  <si>
    <t>85663569</t>
  </si>
  <si>
    <t>INFINITT@85663569</t>
  </si>
  <si>
    <t>947384461S</t>
  </si>
  <si>
    <t>DICOMIntegration@947384461S</t>
  </si>
  <si>
    <t>CN10606051</t>
  </si>
  <si>
    <t>CLININET@CN10606051</t>
  </si>
  <si>
    <t>CN10606469</t>
  </si>
  <si>
    <t>CLININET@CN10606469</t>
  </si>
  <si>
    <t>CN10606470</t>
  </si>
  <si>
    <t>CLININET@CN10606470</t>
  </si>
  <si>
    <t>CN10606959</t>
  </si>
  <si>
    <t>CLININET@CN10606959</t>
  </si>
  <si>
    <t>CN86434524</t>
  </si>
  <si>
    <t>CLININET@CN86434524</t>
  </si>
  <si>
    <t>CN86464177</t>
  </si>
  <si>
    <t>CLININET@CN86464177</t>
  </si>
  <si>
    <t>CT_26_001825</t>
  </si>
  <si>
    <t>DICOMIntegration@CT_26_001825</t>
  </si>
  <si>
    <t>CT_26_001919</t>
  </si>
  <si>
    <t>DICOMIntegration@CT_26_001919</t>
  </si>
  <si>
    <t>CT_26_001933</t>
  </si>
  <si>
    <t>DICOMIntegration@CT_26_001933</t>
  </si>
  <si>
    <t>CT_26_001936</t>
  </si>
  <si>
    <t>DICOMIntegration@CT_26_001936</t>
  </si>
  <si>
    <t>CT_26_001938</t>
  </si>
  <si>
    <t>DICOMIntegration@CT_26_001938</t>
  </si>
  <si>
    <t>CT_26_001939</t>
  </si>
  <si>
    <t>DICOMIntegration@CT_26_001939</t>
  </si>
  <si>
    <t>CT_26_001943</t>
  </si>
  <si>
    <t>DICOMIntegration@CT_26_001943</t>
  </si>
  <si>
    <t>TK/26/9681</t>
  </si>
  <si>
    <t>SWK/TK/TK/26/9681</t>
  </si>
  <si>
    <t>000003818541</t>
  </si>
  <si>
    <t>ORION@000003818541</t>
  </si>
  <si>
    <t>1294698454</t>
  </si>
  <si>
    <t>INFINITT@1294698454</t>
  </si>
  <si>
    <t>132108_631</t>
  </si>
  <si>
    <t>ESKULAP@132108_631</t>
  </si>
  <si>
    <t>2077/CT2/2026</t>
  </si>
  <si>
    <t>DICOMIntegration@2077/CT2/2026</t>
  </si>
  <si>
    <t>232/CTk/2026</t>
  </si>
  <si>
    <t>tdspectrum</t>
  </si>
  <si>
    <t>ALTERIS@232/CTk/2026</t>
  </si>
  <si>
    <t>268465305</t>
  </si>
  <si>
    <t>PIXEL@268465305</t>
  </si>
  <si>
    <t>268475168</t>
  </si>
  <si>
    <t>PIXEL@268475168</t>
  </si>
  <si>
    <t>30781283</t>
  </si>
  <si>
    <t>CLININET@30781283</t>
  </si>
  <si>
    <t>31282721</t>
  </si>
  <si>
    <t>CLININET@31282721</t>
  </si>
  <si>
    <t>31635506</t>
  </si>
  <si>
    <t>CLININET@31635506</t>
  </si>
  <si>
    <t>31638283</t>
  </si>
  <si>
    <t>CLININET@31638283</t>
  </si>
  <si>
    <t>31644500</t>
  </si>
  <si>
    <t>CLININET@31644500</t>
  </si>
  <si>
    <t>31645243</t>
  </si>
  <si>
    <t>CLININET@31645243</t>
  </si>
  <si>
    <t>31645502</t>
  </si>
  <si>
    <t>CLININET@31645502</t>
  </si>
  <si>
    <t>4097/TK/2026</t>
  </si>
  <si>
    <t>ALTERIS@4097/TK/2026</t>
  </si>
  <si>
    <t>4098/TK/2026</t>
  </si>
  <si>
    <t>ALTERIS@4098/TK/2026</t>
  </si>
  <si>
    <t>460478_2525</t>
  </si>
  <si>
    <t>ESKULAP@460478_2525</t>
  </si>
  <si>
    <t>486885</t>
  </si>
  <si>
    <t>ALTERIS@486885</t>
  </si>
  <si>
    <t>486952</t>
  </si>
  <si>
    <t>ALTERIS@486952</t>
  </si>
  <si>
    <t>5044/26/TK</t>
  </si>
  <si>
    <t>ALTERIS@5044/26/TK</t>
  </si>
  <si>
    <t>840/CT/2026</t>
  </si>
  <si>
    <t>ALTERIS@840/CT/2026</t>
  </si>
  <si>
    <t>852/CT/2026</t>
  </si>
  <si>
    <t>ALTERIS@852/CT/2026</t>
  </si>
  <si>
    <t>85693867</t>
  </si>
  <si>
    <t>INFINITT@85693867</t>
  </si>
  <si>
    <t>87018639</t>
  </si>
  <si>
    <t>INFINITT@87018639</t>
  </si>
  <si>
    <t>947716955S</t>
  </si>
  <si>
    <t>DICOMIntegration@947716955S</t>
  </si>
  <si>
    <t>947742363S</t>
  </si>
  <si>
    <t>DICOMIntegration@947742363S</t>
  </si>
  <si>
    <t>968339</t>
  </si>
  <si>
    <t>DICOMIntegration@968339</t>
  </si>
  <si>
    <t>CN12492648</t>
  </si>
  <si>
    <t>DICOMIntegration@CN12492648</t>
  </si>
  <si>
    <t>CT_26_001974</t>
  </si>
  <si>
    <t>DICOMIntegration@CT_26_001974</t>
  </si>
  <si>
    <t>CT_26_002939</t>
  </si>
  <si>
    <t>DIGRA@CT_26_002939</t>
  </si>
  <si>
    <t>TK/26/2321</t>
  </si>
  <si>
    <t>ALM/PR1/TK/26/2321</t>
  </si>
  <si>
    <t>TK/26/9753</t>
  </si>
  <si>
    <t>SWK/TK/TK/26/9753</t>
  </si>
  <si>
    <t>TK/26/9793</t>
  </si>
  <si>
    <t>SWK/TK/TK/26/9793</t>
  </si>
  <si>
    <t>000003828595</t>
  </si>
  <si>
    <t>ORION@000003828595</t>
  </si>
  <si>
    <t>111590_755</t>
  </si>
  <si>
    <t>ESKULAP@111590_755</t>
  </si>
  <si>
    <t>1296023861</t>
  </si>
  <si>
    <t>INFINITT@1296023861</t>
  </si>
  <si>
    <t>1735/TK/2026</t>
  </si>
  <si>
    <t>DICOMIntegration@1735/TK/2026</t>
  </si>
  <si>
    <t>1736/TK/2026</t>
  </si>
  <si>
    <t>DICOMIntegration@1736/TK/2026</t>
  </si>
  <si>
    <t>2146951-4222879</t>
  </si>
  <si>
    <t>PIXEL@2146951-4222879</t>
  </si>
  <si>
    <t>2147207-4223352</t>
  </si>
  <si>
    <t>PIXEL@2147207-4223352</t>
  </si>
  <si>
    <t>23970017</t>
  </si>
  <si>
    <t>DICOMIntegration@23970017</t>
  </si>
  <si>
    <t>268565933</t>
  </si>
  <si>
    <t>PIXEL@268565933</t>
  </si>
  <si>
    <t>31653192</t>
  </si>
  <si>
    <t>CLININET@31653192</t>
  </si>
  <si>
    <t>31653193</t>
  </si>
  <si>
    <t>CLININET@31653193</t>
  </si>
  <si>
    <t>31653194</t>
  </si>
  <si>
    <t>CLININET@31653194</t>
  </si>
  <si>
    <t>31653490</t>
  </si>
  <si>
    <t>CLININET@31653490</t>
  </si>
  <si>
    <t>31653757</t>
  </si>
  <si>
    <t>CLININET@31653757</t>
  </si>
  <si>
    <t>3217010</t>
  </si>
  <si>
    <t>tdsmswinoujscie</t>
  </si>
  <si>
    <t>MEDICOM53@3217010</t>
  </si>
  <si>
    <t>487101</t>
  </si>
  <si>
    <t>ALTERIS@487101</t>
  </si>
  <si>
    <t>5098/26/TK</t>
  </si>
  <si>
    <t>ALTERIS@5098/26/TK</t>
  </si>
  <si>
    <t>602339.1</t>
  </si>
  <si>
    <t>MEDIQUS@602339.1</t>
  </si>
  <si>
    <t>651867720</t>
  </si>
  <si>
    <t>DICOMIntegration@651867720</t>
  </si>
  <si>
    <t>651869666</t>
  </si>
  <si>
    <t>DICOMIntegration@651869666</t>
  </si>
  <si>
    <t>948597674S</t>
  </si>
  <si>
    <t>DICOMIntegration@948597674S</t>
  </si>
  <si>
    <t>CN10612909</t>
  </si>
  <si>
    <t>CLININET@CN10612909</t>
  </si>
  <si>
    <t>CN10612971</t>
  </si>
  <si>
    <t>CLININET@CN10612971</t>
  </si>
  <si>
    <t>TK/26/2165</t>
  </si>
  <si>
    <t>ZZB/TK/TK/26/2165</t>
  </si>
  <si>
    <t>TK/26/3808</t>
  </si>
  <si>
    <t>mswiapoznan</t>
  </si>
  <si>
    <t>MSW/TK/TK/26/3808</t>
  </si>
  <si>
    <t>TK/26/3809</t>
  </si>
  <si>
    <t>MSW/TK/TK/26/3809</t>
  </si>
  <si>
    <t>TK/26/3810</t>
  </si>
  <si>
    <t>MSW/TK/TK/26/3810</t>
  </si>
  <si>
    <t>TK/26/4264</t>
  </si>
  <si>
    <t>SWP/PTK/TK/26/4264</t>
  </si>
  <si>
    <t>TK/26/4266</t>
  </si>
  <si>
    <t>SWP/PTK/TK/26/4266</t>
  </si>
  <si>
    <t>TK/26/4268</t>
  </si>
  <si>
    <t>SWP/PTK/TK/26/4268</t>
  </si>
  <si>
    <t>TK/26/4269</t>
  </si>
  <si>
    <t>SWP/PTK/TK/26/4269</t>
  </si>
  <si>
    <t>TK/26/4270</t>
  </si>
  <si>
    <t>SWP/PTK/TK/26/4270</t>
  </si>
  <si>
    <t>TK/26/4271</t>
  </si>
  <si>
    <t>SWP/PTK/TK/26/4271</t>
  </si>
  <si>
    <t>TK/26/4272</t>
  </si>
  <si>
    <t>SWP/PTK/TK/26/4272</t>
  </si>
  <si>
    <t>TK/26/4273</t>
  </si>
  <si>
    <t>SWP/PTK/TK/26/4273</t>
  </si>
  <si>
    <t>TK/26/4274</t>
  </si>
  <si>
    <t>SWP/PTK/TK/26/4274</t>
  </si>
  <si>
    <t>TK/26/4276</t>
  </si>
  <si>
    <t>SWP/PTK/TK/26/4276</t>
  </si>
  <si>
    <t>TK/26/9926</t>
  </si>
  <si>
    <t>SWK/TK/TK/26/9926</t>
  </si>
  <si>
    <t>Count = 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</si>
</sst>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zł&quot;_-;\-* #,##0.00\ &quot;zł&quot;_-;_-* &quot;-&quot;??\ &quot;zł&quot;_-;_-@_-"/>
    <numFmt numFmtId="165" formatCode="#0&quot; zł&quot;;\-#0&quot; zł&quot;;#0&quot; zł&quot;"/>
    <numFmt numFmtId="166" formatCode="#0;\-#0;#0"/>
    <numFmt numFmtId="167" formatCode="#0.00&quot; zł&quot;;\-#0.00&quot; zł&quot;;#0.00&quot; zł&quot;"/>
    <numFmt numFmtId="168" formatCode="dd\.mm\.yyyy"/>
    <numFmt numFmtId="169" formatCode="#0&quot; ¤&quot;;\-#0&quot; ¤&quot;;#0&quot; ¤&quot;"/>
    <numFmt numFmtId="170" formatCode="_(* #,##0.00\ &quot;zł&quot;_);_(* \(#,##0.00\ &quot;zł&quot;\);_(* &quot;-&quot;??\ &quot;zł&quot;_);_(@_)"/>
  </numFmts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  <font>
      <b/>
      <sz val="11"/>
      <color rgb="FFFFFFFF"/>
      <name val="Calibri"/>
      <family val="2"/>
      <charset val="238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7E6E6"/>
        <bgColor rgb="FFE7E6E6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46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1" fillId="4" borderId="0" xfId="3"/>
    <xf numFmtId="0" fontId="1" fillId="3" borderId="0" xfId="2"/>
    <xf numFmtId="0" fontId="1" fillId="2" borderId="0" xfId="1"/>
    <xf numFmtId="0" fontId="1" fillId="5" borderId="0" xfId="4"/>
    <xf numFmtId="0" fontId="1" fillId="7" borderId="0" xfId="6"/>
    <xf numFmtId="170" fontId="1" fillId="4" borderId="0" xfId="3" applyNumberFormat="1"/>
    <xf numFmtId="170" fontId="1" fillId="3" borderId="0" xfId="2" applyNumberFormat="1"/>
    <xf numFmtId="170" fontId="1" fillId="2" borderId="0" xfId="1" applyNumberFormat="1"/>
    <xf numFmtId="170" fontId="1" fillId="5" borderId="0" xfId="4" applyNumberFormat="1"/>
    <xf numFmtId="170" fontId="1" fillId="7" borderId="0" xfId="6" applyNumberFormat="1"/>
    <xf numFmtId="0" fontId="1" fillId="6" borderId="0" xfId="5"/>
    <xf numFmtId="170" fontId="1" fillId="6" borderId="0" xfId="5" applyNumberFormat="1"/>
    <xf numFmtId="166" fontId="1" fillId="6" borderId="0" xfId="5" applyNumberFormat="1"/>
    <xf numFmtId="0" fontId="2" fillId="6" borderId="0" xfId="5" applyFont="1"/>
    <xf numFmtId="0" fontId="3" fillId="8" borderId="0" xfId="0" applyFont="1" applyFill="1"/>
    <xf numFmtId="0" fontId="0" fillId="9" borderId="0" xfId="0" applyFill="1"/>
    <xf numFmtId="170" fontId="0" fillId="9" borderId="0" xfId="0" applyNumberFormat="1" applyFill="1"/>
    <xf numFmtId="166" fontId="0" fillId="9" borderId="0" xfId="0" applyNumberFormat="1" applyFill="1"/>
    <xf numFmtId="0" fontId="0" fillId="10" borderId="0" xfId="0" applyFill="1"/>
    <xf numFmtId="170" fontId="0" fillId="10" borderId="0" xfId="0" applyNumberFormat="1" applyFill="1"/>
    <xf numFmtId="166" fontId="0" fillId="10" borderId="0" xfId="0" applyNumberFormat="1" applyFill="1"/>
    <xf numFmtId="0" fontId="0" fillId="11" borderId="0" xfId="0" applyFill="1"/>
    <xf numFmtId="170" fontId="0" fillId="11" borderId="0" xfId="0" applyNumberFormat="1" applyFill="1"/>
    <xf numFmtId="166" fontId="0" fillId="11" borderId="0" xfId="0" applyNumberFormat="1" applyFill="1"/>
    <xf numFmtId="0" fontId="0" fillId="12" borderId="0" xfId="0" applyFill="1"/>
    <xf numFmtId="170" fontId="0" fillId="12" borderId="0" xfId="0" applyNumberFormat="1" applyFill="1"/>
    <xf numFmtId="166" fontId="0" fillId="12" borderId="0" xfId="0" applyNumberFormat="1" applyFill="1"/>
    <xf numFmtId="0" fontId="0" fillId="13" borderId="0" xfId="0" applyFill="1"/>
    <xf numFmtId="170" fontId="0" fillId="13" borderId="0" xfId="0" applyNumberFormat="1" applyFill="1"/>
    <xf numFmtId="166" fontId="0" fillId="13" borderId="0" xfId="0" applyNumberFormat="1" applyFill="1"/>
    <xf numFmtId="0" fontId="0" fillId="14" borderId="0" xfId="0" applyFill="1"/>
    <xf numFmtId="170" fontId="0" fillId="14" borderId="0" xfId="0" applyNumberFormat="1" applyFill="1"/>
    <xf numFmtId="166" fontId="0" fillId="14" borderId="0" xfId="0" applyNumberFormat="1" applyFill="1"/>
    <xf numFmtId="0" fontId="0" fillId="15" borderId="0" xfId="0" applyFill="1"/>
    <xf numFmtId="170" fontId="0" fillId="15" borderId="0" xfId="0" applyNumberFormat="1" applyFill="1"/>
    <xf numFmtId="166" fontId="0" fillId="15" borderId="0" xfId="0" applyNumberFormat="1" applyFill="1"/>
    <xf numFmtId="164" fontId="0" fillId="0" borderId="0" xfId="0" applyNumberFormat="1"/>
    <xf numFmtId="164" fontId="2" fillId="6" borderId="0" xfId="5" applyNumberFormat="1" applyFont="1"/>
    <xf numFmtId="164" fontId="3" fillId="8" borderId="0" xfId="0" applyNumberFormat="1" applyFont="1" applyFill="1"/>
    <xf numFmtId="0" fontId="2" fillId="6" borderId="0" xfId="5" applyFont="1" applyAlignment="1">
      <alignment wrapText="1"/>
    </xf>
  </cellXfs>
  <cellStyles count="7">
    <cellStyle name="Akcent 1" xfId="1" builtinId="29"/>
    <cellStyle name="Akcent 2" xfId="2" builtinId="33"/>
    <cellStyle name="Akcent 3" xfId="3" builtinId="37"/>
    <cellStyle name="Akcent 4" xfId="4" builtinId="41"/>
    <cellStyle name="Akcent 5" xfId="5" builtinId="45"/>
    <cellStyle name="Akcent 6" xfId="6" builtinId="49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376"/>
  <sheetViews>
    <sheetView tabSelected="1" topLeftCell="A356" workbookViewId="0">
      <selection activeCell="E376" sqref="E376"/>
    </sheetView>
  </sheetViews>
  <sheetFormatPr defaultRowHeight="14.65"/>
  <cols>
    <col min="1" max="2" width="12.7109375" customWidth="1"/>
    <col min="3" max="3" width="24.5703125" customWidth="1"/>
    <col min="4" max="4" width="21.85546875" bestFit="1" customWidth="1"/>
    <col min="5" max="5" width="20.85546875" style="1" customWidth="1"/>
    <col min="6" max="8" width="12.7109375" style="2" customWidth="1"/>
    <col min="9" max="9" width="12.7109375" style="3" customWidth="1"/>
    <col min="10" max="10" width="12.7109375" style="1" customWidth="1"/>
    <col min="11" max="13" width="12.7109375" style="2" customWidth="1"/>
    <col min="14" max="14" width="12.7109375" style="3" customWidth="1"/>
    <col min="15" max="15" width="12.7109375" style="1" customWidth="1"/>
    <col min="16" max="18" width="12.7109375" style="2" customWidth="1"/>
    <col min="19" max="19" width="12.7109375" style="3" customWidth="1"/>
    <col min="20" max="20" width="12.7109375" style="1" customWidth="1"/>
    <col min="21" max="23" width="12.7109375" style="2" customWidth="1"/>
    <col min="24" max="24" width="12.7109375" style="3" customWidth="1"/>
    <col min="25" max="25" width="12.7109375" style="1" customWidth="1"/>
    <col min="26" max="28" width="12.7109375" style="2" customWidth="1"/>
    <col min="29" max="29" width="12.7109375" style="3" customWidth="1"/>
  </cols>
  <sheetData>
    <row r="1" spans="1:41">
      <c r="E1" s="11" t="s">
        <v>0</v>
      </c>
      <c r="F1" s="6" t="s">
        <v>0</v>
      </c>
      <c r="G1" s="6" t="s">
        <v>1</v>
      </c>
      <c r="H1" s="6" t="s">
        <v>2</v>
      </c>
      <c r="I1" s="11" t="s">
        <v>0</v>
      </c>
      <c r="J1" s="12" t="s">
        <v>3</v>
      </c>
      <c r="K1" s="7" t="s">
        <v>3</v>
      </c>
      <c r="L1" s="7" t="s">
        <v>1</v>
      </c>
      <c r="M1" s="7" t="s">
        <v>2</v>
      </c>
      <c r="N1" s="12" t="s">
        <v>3</v>
      </c>
      <c r="O1" s="13" t="s">
        <v>4</v>
      </c>
      <c r="P1" s="8" t="s">
        <v>4</v>
      </c>
      <c r="Q1" s="8" t="s">
        <v>1</v>
      </c>
      <c r="R1" s="8" t="s">
        <v>2</v>
      </c>
      <c r="S1" s="13" t="s">
        <v>4</v>
      </c>
      <c r="T1" s="14" t="s">
        <v>5</v>
      </c>
      <c r="U1" s="9" t="s">
        <v>5</v>
      </c>
      <c r="V1" s="9" t="s">
        <v>1</v>
      </c>
      <c r="W1" s="9" t="s">
        <v>2</v>
      </c>
      <c r="X1" s="14" t="s">
        <v>5</v>
      </c>
      <c r="Y1" s="15" t="s">
        <v>6</v>
      </c>
      <c r="Z1" s="10" t="s">
        <v>6</v>
      </c>
      <c r="AA1" s="10" t="s">
        <v>1</v>
      </c>
      <c r="AB1" s="10" t="s">
        <v>2</v>
      </c>
      <c r="AC1" s="15" t="s">
        <v>6</v>
      </c>
    </row>
    <row r="2" spans="1:41">
      <c r="E2" s="11" t="s">
        <v>7</v>
      </c>
      <c r="F2" s="6" t="s">
        <v>8</v>
      </c>
      <c r="G2" s="6"/>
      <c r="H2" s="6"/>
      <c r="I2" s="11" t="s">
        <v>9</v>
      </c>
      <c r="J2" s="12" t="s">
        <v>7</v>
      </c>
      <c r="K2" s="7" t="s">
        <v>8</v>
      </c>
      <c r="L2" s="7"/>
      <c r="M2" s="7"/>
      <c r="N2" s="12" t="s">
        <v>9</v>
      </c>
      <c r="O2" s="13" t="s">
        <v>7</v>
      </c>
      <c r="P2" s="8" t="s">
        <v>8</v>
      </c>
      <c r="Q2" s="8"/>
      <c r="R2" s="8"/>
      <c r="S2" s="13" t="s">
        <v>9</v>
      </c>
      <c r="T2" s="14" t="s">
        <v>7</v>
      </c>
      <c r="U2" s="9" t="s">
        <v>8</v>
      </c>
      <c r="V2" s="9"/>
      <c r="W2" s="9"/>
      <c r="X2" s="14" t="s">
        <v>9</v>
      </c>
      <c r="Y2" s="15" t="s">
        <v>7</v>
      </c>
      <c r="Z2" s="10" t="s">
        <v>8</v>
      </c>
      <c r="AA2" s="10"/>
      <c r="AB2" s="10"/>
      <c r="AC2" s="15" t="s">
        <v>9</v>
      </c>
    </row>
    <row r="3" spans="1:41">
      <c r="A3" s="21" t="s">
        <v>10</v>
      </c>
      <c r="B3" s="21" t="s">
        <v>11</v>
      </c>
      <c r="C3" s="21" t="s">
        <v>12</v>
      </c>
      <c r="D3" s="21" t="s">
        <v>13</v>
      </c>
      <c r="E3" s="22">
        <v>170</v>
      </c>
      <c r="F3" s="21"/>
      <c r="G3" s="23">
        <v>1</v>
      </c>
      <c r="H3" s="23">
        <v>0</v>
      </c>
      <c r="I3" s="22">
        <f t="shared" ref="I3:I66" si="0">E3*H3</f>
        <v>0</v>
      </c>
      <c r="J3" s="22">
        <v>170</v>
      </c>
      <c r="K3" s="21"/>
      <c r="L3" s="23">
        <v>1</v>
      </c>
      <c r="M3" s="23">
        <v>0</v>
      </c>
      <c r="N3" s="22">
        <f t="shared" ref="N3:N66" si="1">J3*M3</f>
        <v>0</v>
      </c>
      <c r="O3" s="22">
        <v>170</v>
      </c>
      <c r="P3" s="21"/>
      <c r="Q3" s="23">
        <v>1</v>
      </c>
      <c r="R3" s="23">
        <v>0</v>
      </c>
      <c r="S3" s="22">
        <f t="shared" ref="S3:S66" si="2">O3*R3</f>
        <v>0</v>
      </c>
      <c r="T3" s="22">
        <v>170</v>
      </c>
      <c r="U3" s="21"/>
      <c r="V3" s="23">
        <v>1</v>
      </c>
      <c r="W3" s="23">
        <v>0</v>
      </c>
      <c r="X3" s="22">
        <f t="shared" ref="X3:X66" si="3">T3*W3</f>
        <v>0</v>
      </c>
      <c r="Y3" s="22">
        <v>170</v>
      </c>
      <c r="Z3" s="23">
        <v>1</v>
      </c>
      <c r="AA3" s="23">
        <v>1</v>
      </c>
      <c r="AB3" s="23">
        <v>1</v>
      </c>
      <c r="AC3" s="22">
        <f t="shared" ref="AC3:AC66" si="4">Y3*AB3</f>
        <v>170</v>
      </c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</row>
    <row r="4" spans="1:41">
      <c r="A4" s="24" t="s">
        <v>10</v>
      </c>
      <c r="B4" s="24" t="s">
        <v>14</v>
      </c>
      <c r="C4" s="24" t="s">
        <v>12</v>
      </c>
      <c r="D4" s="24" t="s">
        <v>13</v>
      </c>
      <c r="E4" s="25">
        <v>170</v>
      </c>
      <c r="F4" s="24"/>
      <c r="G4" s="26">
        <v>1</v>
      </c>
      <c r="H4" s="26">
        <v>0</v>
      </c>
      <c r="I4" s="25">
        <f t="shared" si="0"/>
        <v>0</v>
      </c>
      <c r="J4" s="25">
        <v>170</v>
      </c>
      <c r="K4" s="24"/>
      <c r="L4" s="26">
        <v>1</v>
      </c>
      <c r="M4" s="26">
        <v>0</v>
      </c>
      <c r="N4" s="25">
        <f t="shared" si="1"/>
        <v>0</v>
      </c>
      <c r="O4" s="25">
        <v>170</v>
      </c>
      <c r="P4" s="24"/>
      <c r="Q4" s="26">
        <v>1</v>
      </c>
      <c r="R4" s="26">
        <v>0</v>
      </c>
      <c r="S4" s="25">
        <f t="shared" si="2"/>
        <v>0</v>
      </c>
      <c r="T4" s="25">
        <v>170</v>
      </c>
      <c r="U4" s="24"/>
      <c r="V4" s="26">
        <v>1</v>
      </c>
      <c r="W4" s="26">
        <v>0</v>
      </c>
      <c r="X4" s="25">
        <f t="shared" si="3"/>
        <v>0</v>
      </c>
      <c r="Y4" s="25">
        <v>170</v>
      </c>
      <c r="Z4" s="26">
        <v>1</v>
      </c>
      <c r="AA4" s="26">
        <v>1</v>
      </c>
      <c r="AB4" s="26">
        <v>1</v>
      </c>
      <c r="AC4" s="25">
        <f t="shared" si="4"/>
        <v>170</v>
      </c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</row>
    <row r="5" spans="1:41">
      <c r="A5" s="27" t="s">
        <v>10</v>
      </c>
      <c r="B5" s="27" t="s">
        <v>14</v>
      </c>
      <c r="C5" s="27" t="s">
        <v>15</v>
      </c>
      <c r="D5" s="27" t="s">
        <v>13</v>
      </c>
      <c r="E5" s="28">
        <v>170</v>
      </c>
      <c r="F5" s="27"/>
      <c r="G5" s="29">
        <v>1</v>
      </c>
      <c r="H5" s="29">
        <v>0</v>
      </c>
      <c r="I5" s="28">
        <f t="shared" si="0"/>
        <v>0</v>
      </c>
      <c r="J5" s="28">
        <v>170</v>
      </c>
      <c r="K5" s="27"/>
      <c r="L5" s="29">
        <v>1</v>
      </c>
      <c r="M5" s="29">
        <v>0</v>
      </c>
      <c r="N5" s="28">
        <f t="shared" si="1"/>
        <v>0</v>
      </c>
      <c r="O5" s="28">
        <v>115</v>
      </c>
      <c r="P5" s="27"/>
      <c r="Q5" s="29">
        <v>1</v>
      </c>
      <c r="R5" s="29">
        <v>0</v>
      </c>
      <c r="S5" s="28">
        <f t="shared" si="2"/>
        <v>0</v>
      </c>
      <c r="T5" s="28">
        <v>170</v>
      </c>
      <c r="U5" s="27"/>
      <c r="V5" s="29">
        <v>1</v>
      </c>
      <c r="W5" s="29">
        <v>0</v>
      </c>
      <c r="X5" s="28">
        <f t="shared" si="3"/>
        <v>0</v>
      </c>
      <c r="Y5" s="28">
        <v>170</v>
      </c>
      <c r="Z5" s="29">
        <v>2</v>
      </c>
      <c r="AA5" s="29">
        <v>1</v>
      </c>
      <c r="AB5" s="29">
        <v>2</v>
      </c>
      <c r="AC5" s="28">
        <f t="shared" si="4"/>
        <v>340</v>
      </c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</row>
    <row r="6" spans="1:41">
      <c r="A6" s="21" t="s">
        <v>10</v>
      </c>
      <c r="B6" s="21" t="s">
        <v>16</v>
      </c>
      <c r="C6" s="21" t="s">
        <v>17</v>
      </c>
      <c r="D6" s="21" t="s">
        <v>13</v>
      </c>
      <c r="E6" s="22">
        <v>170</v>
      </c>
      <c r="F6" s="21"/>
      <c r="G6" s="23">
        <v>1</v>
      </c>
      <c r="H6" s="23">
        <v>0</v>
      </c>
      <c r="I6" s="22">
        <f t="shared" si="0"/>
        <v>0</v>
      </c>
      <c r="J6" s="22">
        <v>170</v>
      </c>
      <c r="K6" s="23">
        <v>1</v>
      </c>
      <c r="L6" s="23">
        <v>1</v>
      </c>
      <c r="M6" s="23">
        <v>1</v>
      </c>
      <c r="N6" s="22">
        <f t="shared" si="1"/>
        <v>170</v>
      </c>
      <c r="O6" s="22">
        <v>170</v>
      </c>
      <c r="P6" s="21"/>
      <c r="Q6" s="23">
        <v>1</v>
      </c>
      <c r="R6" s="23">
        <v>0</v>
      </c>
      <c r="S6" s="22">
        <f t="shared" si="2"/>
        <v>0</v>
      </c>
      <c r="T6" s="22">
        <v>170</v>
      </c>
      <c r="U6" s="21"/>
      <c r="V6" s="23">
        <v>1</v>
      </c>
      <c r="W6" s="23">
        <v>0</v>
      </c>
      <c r="X6" s="22">
        <f t="shared" si="3"/>
        <v>0</v>
      </c>
      <c r="Y6" s="22">
        <v>170</v>
      </c>
      <c r="Z6" s="21"/>
      <c r="AA6" s="23">
        <v>1</v>
      </c>
      <c r="AB6" s="23">
        <v>0</v>
      </c>
      <c r="AC6" s="22">
        <f t="shared" si="4"/>
        <v>0</v>
      </c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>
      <c r="A7" s="21" t="s">
        <v>10</v>
      </c>
      <c r="B7" s="21" t="s">
        <v>18</v>
      </c>
      <c r="C7" s="21" t="s">
        <v>12</v>
      </c>
      <c r="D7" s="21" t="s">
        <v>13</v>
      </c>
      <c r="E7" s="22">
        <v>170</v>
      </c>
      <c r="F7" s="21"/>
      <c r="G7" s="23">
        <v>1</v>
      </c>
      <c r="H7" s="23">
        <v>0</v>
      </c>
      <c r="I7" s="22">
        <f t="shared" si="0"/>
        <v>0</v>
      </c>
      <c r="J7" s="22">
        <v>170</v>
      </c>
      <c r="K7" s="23">
        <v>1</v>
      </c>
      <c r="L7" s="23">
        <v>1</v>
      </c>
      <c r="M7" s="23">
        <v>1</v>
      </c>
      <c r="N7" s="22">
        <f t="shared" si="1"/>
        <v>170</v>
      </c>
      <c r="O7" s="22">
        <v>170</v>
      </c>
      <c r="P7" s="21"/>
      <c r="Q7" s="23">
        <v>1</v>
      </c>
      <c r="R7" s="23">
        <v>0</v>
      </c>
      <c r="S7" s="22">
        <f t="shared" si="2"/>
        <v>0</v>
      </c>
      <c r="T7" s="22">
        <v>170</v>
      </c>
      <c r="U7" s="21"/>
      <c r="V7" s="23">
        <v>1</v>
      </c>
      <c r="W7" s="23">
        <v>0</v>
      </c>
      <c r="X7" s="22">
        <f t="shared" si="3"/>
        <v>0</v>
      </c>
      <c r="Y7" s="22">
        <v>170</v>
      </c>
      <c r="Z7" s="21"/>
      <c r="AA7" s="23">
        <v>1</v>
      </c>
      <c r="AB7" s="23">
        <v>0</v>
      </c>
      <c r="AC7" s="22">
        <f t="shared" si="4"/>
        <v>0</v>
      </c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</row>
    <row r="8" spans="1:41">
      <c r="A8" s="30" t="s">
        <v>10</v>
      </c>
      <c r="B8" s="30" t="s">
        <v>19</v>
      </c>
      <c r="C8" s="30" t="s">
        <v>20</v>
      </c>
      <c r="D8" s="30" t="s">
        <v>13</v>
      </c>
      <c r="E8" s="31">
        <v>115</v>
      </c>
      <c r="F8" s="30"/>
      <c r="G8" s="32">
        <v>1</v>
      </c>
      <c r="H8" s="32">
        <v>0</v>
      </c>
      <c r="I8" s="31">
        <f t="shared" si="0"/>
        <v>0</v>
      </c>
      <c r="J8" s="31">
        <v>115</v>
      </c>
      <c r="K8" s="30"/>
      <c r="L8" s="32">
        <v>1</v>
      </c>
      <c r="M8" s="32">
        <v>0</v>
      </c>
      <c r="N8" s="31">
        <f t="shared" si="1"/>
        <v>0</v>
      </c>
      <c r="O8" s="31">
        <v>115</v>
      </c>
      <c r="P8" s="30"/>
      <c r="Q8" s="32">
        <v>1</v>
      </c>
      <c r="R8" s="32">
        <v>0</v>
      </c>
      <c r="S8" s="31">
        <f t="shared" si="2"/>
        <v>0</v>
      </c>
      <c r="T8" s="31">
        <v>115</v>
      </c>
      <c r="U8" s="32">
        <v>1</v>
      </c>
      <c r="V8" s="32">
        <v>1</v>
      </c>
      <c r="W8" s="32">
        <v>1</v>
      </c>
      <c r="X8" s="31">
        <f t="shared" si="3"/>
        <v>115</v>
      </c>
      <c r="Y8" s="31">
        <v>115</v>
      </c>
      <c r="Z8" s="30"/>
      <c r="AA8" s="32">
        <v>1</v>
      </c>
      <c r="AB8" s="32">
        <v>0</v>
      </c>
      <c r="AC8" s="31">
        <f t="shared" si="4"/>
        <v>0</v>
      </c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>
      <c r="A9" s="21" t="s">
        <v>10</v>
      </c>
      <c r="B9" s="21" t="s">
        <v>21</v>
      </c>
      <c r="C9" s="21" t="s">
        <v>17</v>
      </c>
      <c r="D9" s="21" t="s">
        <v>13</v>
      </c>
      <c r="E9" s="22">
        <v>170</v>
      </c>
      <c r="F9" s="21"/>
      <c r="G9" s="23">
        <v>1</v>
      </c>
      <c r="H9" s="23">
        <v>0</v>
      </c>
      <c r="I9" s="22">
        <f t="shared" si="0"/>
        <v>0</v>
      </c>
      <c r="J9" s="22">
        <v>170</v>
      </c>
      <c r="K9" s="21"/>
      <c r="L9" s="23">
        <v>1</v>
      </c>
      <c r="M9" s="23">
        <v>0</v>
      </c>
      <c r="N9" s="22">
        <f t="shared" si="1"/>
        <v>0</v>
      </c>
      <c r="O9" s="22">
        <v>170</v>
      </c>
      <c r="P9" s="21"/>
      <c r="Q9" s="23">
        <v>1</v>
      </c>
      <c r="R9" s="23">
        <v>0</v>
      </c>
      <c r="S9" s="22">
        <f t="shared" si="2"/>
        <v>0</v>
      </c>
      <c r="T9" s="22">
        <v>170</v>
      </c>
      <c r="U9" s="21"/>
      <c r="V9" s="23">
        <v>1</v>
      </c>
      <c r="W9" s="23">
        <v>0</v>
      </c>
      <c r="X9" s="22">
        <f t="shared" si="3"/>
        <v>0</v>
      </c>
      <c r="Y9" s="22">
        <v>170</v>
      </c>
      <c r="Z9" s="23">
        <v>1</v>
      </c>
      <c r="AA9" s="23">
        <v>1</v>
      </c>
      <c r="AB9" s="23">
        <v>1</v>
      </c>
      <c r="AC9" s="22">
        <f t="shared" si="4"/>
        <v>170</v>
      </c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</row>
    <row r="10" spans="1:41">
      <c r="A10" s="30" t="s">
        <v>10</v>
      </c>
      <c r="B10" s="30" t="s">
        <v>22</v>
      </c>
      <c r="C10" s="30" t="s">
        <v>12</v>
      </c>
      <c r="D10" s="30" t="s">
        <v>13</v>
      </c>
      <c r="E10" s="31">
        <v>115</v>
      </c>
      <c r="F10" s="30"/>
      <c r="G10" s="32">
        <v>1</v>
      </c>
      <c r="H10" s="32">
        <v>0</v>
      </c>
      <c r="I10" s="31">
        <f t="shared" si="0"/>
        <v>0</v>
      </c>
      <c r="J10" s="31">
        <v>115</v>
      </c>
      <c r="K10" s="30"/>
      <c r="L10" s="32">
        <v>1</v>
      </c>
      <c r="M10" s="32">
        <v>0</v>
      </c>
      <c r="N10" s="31">
        <f t="shared" si="1"/>
        <v>0</v>
      </c>
      <c r="O10" s="31">
        <v>115</v>
      </c>
      <c r="P10" s="30"/>
      <c r="Q10" s="32">
        <v>1</v>
      </c>
      <c r="R10" s="32">
        <v>0</v>
      </c>
      <c r="S10" s="31">
        <f t="shared" si="2"/>
        <v>0</v>
      </c>
      <c r="T10" s="31">
        <v>115</v>
      </c>
      <c r="U10" s="32">
        <v>1</v>
      </c>
      <c r="V10" s="32">
        <v>1</v>
      </c>
      <c r="W10" s="32">
        <v>1</v>
      </c>
      <c r="X10" s="31">
        <f t="shared" si="3"/>
        <v>115</v>
      </c>
      <c r="Y10" s="31">
        <v>115</v>
      </c>
      <c r="Z10" s="30"/>
      <c r="AA10" s="32">
        <v>1</v>
      </c>
      <c r="AB10" s="32">
        <v>0</v>
      </c>
      <c r="AC10" s="31">
        <f t="shared" si="4"/>
        <v>0</v>
      </c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>
      <c r="A11" s="24" t="s">
        <v>10</v>
      </c>
      <c r="B11" s="24" t="s">
        <v>23</v>
      </c>
      <c r="C11" s="24" t="s">
        <v>12</v>
      </c>
      <c r="D11" s="24" t="s">
        <v>13</v>
      </c>
      <c r="E11" s="25">
        <v>170</v>
      </c>
      <c r="F11" s="24"/>
      <c r="G11" s="26">
        <v>1</v>
      </c>
      <c r="H11" s="26">
        <v>0</v>
      </c>
      <c r="I11" s="25">
        <f t="shared" si="0"/>
        <v>0</v>
      </c>
      <c r="J11" s="25">
        <v>170</v>
      </c>
      <c r="K11" s="24"/>
      <c r="L11" s="26">
        <v>1</v>
      </c>
      <c r="M11" s="26">
        <v>0</v>
      </c>
      <c r="N11" s="25">
        <f t="shared" si="1"/>
        <v>0</v>
      </c>
      <c r="O11" s="25">
        <v>170</v>
      </c>
      <c r="P11" s="24"/>
      <c r="Q11" s="26">
        <v>1</v>
      </c>
      <c r="R11" s="26">
        <v>0</v>
      </c>
      <c r="S11" s="25">
        <f t="shared" si="2"/>
        <v>0</v>
      </c>
      <c r="T11" s="25">
        <v>170</v>
      </c>
      <c r="U11" s="24"/>
      <c r="V11" s="26">
        <v>1</v>
      </c>
      <c r="W11" s="26">
        <v>0</v>
      </c>
      <c r="X11" s="25">
        <f t="shared" si="3"/>
        <v>0</v>
      </c>
      <c r="Y11" s="25">
        <v>170</v>
      </c>
      <c r="Z11" s="26">
        <v>2</v>
      </c>
      <c r="AA11" s="26">
        <v>1</v>
      </c>
      <c r="AB11" s="26">
        <v>2</v>
      </c>
      <c r="AC11" s="25">
        <f t="shared" si="4"/>
        <v>340</v>
      </c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</row>
    <row r="12" spans="1:41">
      <c r="A12" s="27" t="s">
        <v>10</v>
      </c>
      <c r="B12" s="27" t="s">
        <v>23</v>
      </c>
      <c r="C12" s="27" t="s">
        <v>15</v>
      </c>
      <c r="D12" s="27" t="s">
        <v>13</v>
      </c>
      <c r="E12" s="28">
        <v>170</v>
      </c>
      <c r="F12" s="27"/>
      <c r="G12" s="29">
        <v>1</v>
      </c>
      <c r="H12" s="29">
        <v>0</v>
      </c>
      <c r="I12" s="28">
        <f t="shared" si="0"/>
        <v>0</v>
      </c>
      <c r="J12" s="28">
        <v>170</v>
      </c>
      <c r="K12" s="27"/>
      <c r="L12" s="29">
        <v>1</v>
      </c>
      <c r="M12" s="29">
        <v>0</v>
      </c>
      <c r="N12" s="28">
        <f t="shared" si="1"/>
        <v>0</v>
      </c>
      <c r="O12" s="28">
        <v>115</v>
      </c>
      <c r="P12" s="27"/>
      <c r="Q12" s="29">
        <v>1</v>
      </c>
      <c r="R12" s="29">
        <v>0</v>
      </c>
      <c r="S12" s="28">
        <f t="shared" si="2"/>
        <v>0</v>
      </c>
      <c r="T12" s="28">
        <v>170</v>
      </c>
      <c r="U12" s="27"/>
      <c r="V12" s="29">
        <v>1</v>
      </c>
      <c r="W12" s="29">
        <v>0</v>
      </c>
      <c r="X12" s="28">
        <f t="shared" si="3"/>
        <v>0</v>
      </c>
      <c r="Y12" s="28">
        <v>170</v>
      </c>
      <c r="Z12" s="29">
        <v>2</v>
      </c>
      <c r="AA12" s="29">
        <v>1</v>
      </c>
      <c r="AB12" s="29">
        <v>2</v>
      </c>
      <c r="AC12" s="28">
        <f t="shared" si="4"/>
        <v>340</v>
      </c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</row>
    <row r="13" spans="1:41">
      <c r="A13" s="27" t="s">
        <v>10</v>
      </c>
      <c r="B13" s="27" t="s">
        <v>24</v>
      </c>
      <c r="C13" s="27" t="s">
        <v>15</v>
      </c>
      <c r="D13" s="27" t="s">
        <v>13</v>
      </c>
      <c r="E13" s="28">
        <v>170</v>
      </c>
      <c r="F13" s="27"/>
      <c r="G13" s="29">
        <v>1</v>
      </c>
      <c r="H13" s="29">
        <v>0</v>
      </c>
      <c r="I13" s="28">
        <f t="shared" si="0"/>
        <v>0</v>
      </c>
      <c r="J13" s="28">
        <v>170</v>
      </c>
      <c r="K13" s="27"/>
      <c r="L13" s="29">
        <v>1</v>
      </c>
      <c r="M13" s="29">
        <v>0</v>
      </c>
      <c r="N13" s="28">
        <f t="shared" si="1"/>
        <v>0</v>
      </c>
      <c r="O13" s="28">
        <v>115</v>
      </c>
      <c r="P13" s="27"/>
      <c r="Q13" s="29">
        <v>1</v>
      </c>
      <c r="R13" s="29">
        <v>0</v>
      </c>
      <c r="S13" s="28">
        <f t="shared" si="2"/>
        <v>0</v>
      </c>
      <c r="T13" s="28">
        <v>170</v>
      </c>
      <c r="U13" s="27"/>
      <c r="V13" s="29">
        <v>1</v>
      </c>
      <c r="W13" s="29">
        <v>0</v>
      </c>
      <c r="X13" s="28">
        <f t="shared" si="3"/>
        <v>0</v>
      </c>
      <c r="Y13" s="28">
        <v>170</v>
      </c>
      <c r="Z13" s="29">
        <v>2</v>
      </c>
      <c r="AA13" s="29">
        <v>1</v>
      </c>
      <c r="AB13" s="29">
        <v>2</v>
      </c>
      <c r="AC13" s="28">
        <f t="shared" si="4"/>
        <v>340</v>
      </c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</row>
    <row r="14" spans="1:41">
      <c r="A14" s="30" t="s">
        <v>10</v>
      </c>
      <c r="B14" s="30" t="s">
        <v>25</v>
      </c>
      <c r="C14" s="30" t="s">
        <v>20</v>
      </c>
      <c r="D14" s="30" t="s">
        <v>13</v>
      </c>
      <c r="E14" s="31">
        <v>115</v>
      </c>
      <c r="F14" s="30"/>
      <c r="G14" s="32">
        <v>1</v>
      </c>
      <c r="H14" s="32">
        <v>0</v>
      </c>
      <c r="I14" s="31">
        <f t="shared" si="0"/>
        <v>0</v>
      </c>
      <c r="J14" s="31">
        <v>115</v>
      </c>
      <c r="K14" s="30"/>
      <c r="L14" s="32">
        <v>1</v>
      </c>
      <c r="M14" s="32">
        <v>0</v>
      </c>
      <c r="N14" s="31">
        <f t="shared" si="1"/>
        <v>0</v>
      </c>
      <c r="O14" s="31">
        <v>115</v>
      </c>
      <c r="P14" s="30"/>
      <c r="Q14" s="32">
        <v>1</v>
      </c>
      <c r="R14" s="32">
        <v>0</v>
      </c>
      <c r="S14" s="31">
        <f t="shared" si="2"/>
        <v>0</v>
      </c>
      <c r="T14" s="31">
        <v>115</v>
      </c>
      <c r="U14" s="30"/>
      <c r="V14" s="32">
        <v>1</v>
      </c>
      <c r="W14" s="32">
        <v>0</v>
      </c>
      <c r="X14" s="31">
        <f t="shared" si="3"/>
        <v>0</v>
      </c>
      <c r="Y14" s="31">
        <v>115</v>
      </c>
      <c r="Z14" s="32">
        <v>1</v>
      </c>
      <c r="AA14" s="32">
        <v>1</v>
      </c>
      <c r="AB14" s="32">
        <v>1</v>
      </c>
      <c r="AC14" s="31">
        <f t="shared" si="4"/>
        <v>115</v>
      </c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>
      <c r="A15" s="30" t="s">
        <v>10</v>
      </c>
      <c r="B15" s="30" t="s">
        <v>26</v>
      </c>
      <c r="C15" s="30" t="s">
        <v>20</v>
      </c>
      <c r="D15" s="30" t="s">
        <v>13</v>
      </c>
      <c r="E15" s="31">
        <v>115</v>
      </c>
      <c r="F15" s="30"/>
      <c r="G15" s="32">
        <v>1</v>
      </c>
      <c r="H15" s="32">
        <v>0</v>
      </c>
      <c r="I15" s="31">
        <f t="shared" si="0"/>
        <v>0</v>
      </c>
      <c r="J15" s="31">
        <v>115</v>
      </c>
      <c r="K15" s="32">
        <v>1</v>
      </c>
      <c r="L15" s="32">
        <v>1</v>
      </c>
      <c r="M15" s="32">
        <v>1</v>
      </c>
      <c r="N15" s="31">
        <f t="shared" si="1"/>
        <v>115</v>
      </c>
      <c r="O15" s="31">
        <v>115</v>
      </c>
      <c r="P15" s="32">
        <v>7</v>
      </c>
      <c r="Q15" s="32">
        <v>1</v>
      </c>
      <c r="R15" s="32">
        <v>7</v>
      </c>
      <c r="S15" s="31">
        <f t="shared" si="2"/>
        <v>805</v>
      </c>
      <c r="T15" s="31">
        <v>115</v>
      </c>
      <c r="U15" s="30"/>
      <c r="V15" s="32">
        <v>1</v>
      </c>
      <c r="W15" s="32">
        <v>0</v>
      </c>
      <c r="X15" s="31">
        <f t="shared" si="3"/>
        <v>0</v>
      </c>
      <c r="Y15" s="31">
        <v>115</v>
      </c>
      <c r="Z15" s="30"/>
      <c r="AA15" s="32">
        <v>1</v>
      </c>
      <c r="AB15" s="32">
        <v>0</v>
      </c>
      <c r="AC15" s="31">
        <f t="shared" si="4"/>
        <v>0</v>
      </c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>
      <c r="A16" s="30" t="s">
        <v>10</v>
      </c>
      <c r="B16" s="30" t="s">
        <v>27</v>
      </c>
      <c r="C16" s="30" t="s">
        <v>20</v>
      </c>
      <c r="D16" s="30" t="s">
        <v>13</v>
      </c>
      <c r="E16" s="31">
        <v>115</v>
      </c>
      <c r="F16" s="30"/>
      <c r="G16" s="32">
        <v>1</v>
      </c>
      <c r="H16" s="32">
        <v>0</v>
      </c>
      <c r="I16" s="31">
        <f t="shared" si="0"/>
        <v>0</v>
      </c>
      <c r="J16" s="31">
        <v>115</v>
      </c>
      <c r="K16" s="32">
        <v>1</v>
      </c>
      <c r="L16" s="32">
        <v>1</v>
      </c>
      <c r="M16" s="32">
        <v>1</v>
      </c>
      <c r="N16" s="31">
        <f t="shared" si="1"/>
        <v>115</v>
      </c>
      <c r="O16" s="31">
        <v>115</v>
      </c>
      <c r="P16" s="30"/>
      <c r="Q16" s="32">
        <v>1</v>
      </c>
      <c r="R16" s="32">
        <v>0</v>
      </c>
      <c r="S16" s="31">
        <f t="shared" si="2"/>
        <v>0</v>
      </c>
      <c r="T16" s="31">
        <v>115</v>
      </c>
      <c r="U16" s="30"/>
      <c r="V16" s="32">
        <v>1</v>
      </c>
      <c r="W16" s="32">
        <v>0</v>
      </c>
      <c r="X16" s="31">
        <f t="shared" si="3"/>
        <v>0</v>
      </c>
      <c r="Y16" s="31">
        <v>115</v>
      </c>
      <c r="Z16" s="30"/>
      <c r="AA16" s="32">
        <v>1</v>
      </c>
      <c r="AB16" s="32">
        <v>0</v>
      </c>
      <c r="AC16" s="31">
        <f t="shared" si="4"/>
        <v>0</v>
      </c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>
      <c r="A17" s="30" t="s">
        <v>10</v>
      </c>
      <c r="B17" s="30" t="s">
        <v>28</v>
      </c>
      <c r="C17" s="30" t="s">
        <v>20</v>
      </c>
      <c r="D17" s="30" t="s">
        <v>29</v>
      </c>
      <c r="E17" s="31">
        <v>115</v>
      </c>
      <c r="F17" s="30"/>
      <c r="G17" s="32">
        <v>2</v>
      </c>
      <c r="H17" s="32">
        <v>0</v>
      </c>
      <c r="I17" s="31">
        <f t="shared" si="0"/>
        <v>0</v>
      </c>
      <c r="J17" s="31">
        <v>115</v>
      </c>
      <c r="K17" s="30"/>
      <c r="L17" s="32">
        <v>2</v>
      </c>
      <c r="M17" s="32">
        <v>0</v>
      </c>
      <c r="N17" s="31">
        <f t="shared" si="1"/>
        <v>0</v>
      </c>
      <c r="O17" s="31">
        <v>115</v>
      </c>
      <c r="P17" s="30"/>
      <c r="Q17" s="32">
        <v>2</v>
      </c>
      <c r="R17" s="32">
        <v>0</v>
      </c>
      <c r="S17" s="31">
        <f t="shared" si="2"/>
        <v>0</v>
      </c>
      <c r="T17" s="31">
        <v>115</v>
      </c>
      <c r="U17" s="30"/>
      <c r="V17" s="32">
        <v>2</v>
      </c>
      <c r="W17" s="32">
        <v>0</v>
      </c>
      <c r="X17" s="31">
        <f t="shared" si="3"/>
        <v>0</v>
      </c>
      <c r="Y17" s="31">
        <v>115</v>
      </c>
      <c r="Z17" s="32">
        <v>1</v>
      </c>
      <c r="AA17" s="32">
        <v>2</v>
      </c>
      <c r="AB17" s="32">
        <v>2</v>
      </c>
      <c r="AC17" s="31">
        <f t="shared" si="4"/>
        <v>230</v>
      </c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>
      <c r="A18" s="27" t="s">
        <v>10</v>
      </c>
      <c r="B18" s="27" t="s">
        <v>30</v>
      </c>
      <c r="C18" s="27" t="s">
        <v>15</v>
      </c>
      <c r="D18" s="27" t="s">
        <v>13</v>
      </c>
      <c r="E18" s="28">
        <v>170</v>
      </c>
      <c r="F18" s="27"/>
      <c r="G18" s="29">
        <v>1</v>
      </c>
      <c r="H18" s="29">
        <v>0</v>
      </c>
      <c r="I18" s="28">
        <f t="shared" si="0"/>
        <v>0</v>
      </c>
      <c r="J18" s="28">
        <v>170</v>
      </c>
      <c r="K18" s="27"/>
      <c r="L18" s="29">
        <v>1</v>
      </c>
      <c r="M18" s="29">
        <v>0</v>
      </c>
      <c r="N18" s="28">
        <f t="shared" si="1"/>
        <v>0</v>
      </c>
      <c r="O18" s="28">
        <v>115</v>
      </c>
      <c r="P18" s="27"/>
      <c r="Q18" s="29">
        <v>1</v>
      </c>
      <c r="R18" s="29">
        <v>0</v>
      </c>
      <c r="S18" s="28">
        <f t="shared" si="2"/>
        <v>0</v>
      </c>
      <c r="T18" s="28">
        <v>170</v>
      </c>
      <c r="U18" s="27"/>
      <c r="V18" s="29">
        <v>1</v>
      </c>
      <c r="W18" s="29">
        <v>0</v>
      </c>
      <c r="X18" s="28">
        <f t="shared" si="3"/>
        <v>0</v>
      </c>
      <c r="Y18" s="28">
        <v>170</v>
      </c>
      <c r="Z18" s="29">
        <v>1</v>
      </c>
      <c r="AA18" s="29">
        <v>1</v>
      </c>
      <c r="AB18" s="29">
        <v>1</v>
      </c>
      <c r="AC18" s="28">
        <f t="shared" si="4"/>
        <v>170</v>
      </c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</row>
    <row r="19" spans="1:41">
      <c r="A19" s="27" t="s">
        <v>10</v>
      </c>
      <c r="B19" s="27" t="s">
        <v>31</v>
      </c>
      <c r="C19" s="27" t="s">
        <v>15</v>
      </c>
      <c r="D19" s="27" t="s">
        <v>13</v>
      </c>
      <c r="E19" s="28">
        <v>170</v>
      </c>
      <c r="F19" s="27"/>
      <c r="G19" s="29">
        <v>1</v>
      </c>
      <c r="H19" s="29">
        <v>0</v>
      </c>
      <c r="I19" s="28">
        <f t="shared" si="0"/>
        <v>0</v>
      </c>
      <c r="J19" s="28">
        <v>170</v>
      </c>
      <c r="K19" s="27"/>
      <c r="L19" s="29">
        <v>1</v>
      </c>
      <c r="M19" s="29">
        <v>0</v>
      </c>
      <c r="N19" s="28">
        <f t="shared" si="1"/>
        <v>0</v>
      </c>
      <c r="O19" s="28">
        <v>115</v>
      </c>
      <c r="P19" s="27"/>
      <c r="Q19" s="29">
        <v>1</v>
      </c>
      <c r="R19" s="29">
        <v>0</v>
      </c>
      <c r="S19" s="28">
        <f t="shared" si="2"/>
        <v>0</v>
      </c>
      <c r="T19" s="28">
        <v>170</v>
      </c>
      <c r="U19" s="27"/>
      <c r="V19" s="29">
        <v>1</v>
      </c>
      <c r="W19" s="29">
        <v>0</v>
      </c>
      <c r="X19" s="28">
        <f t="shared" si="3"/>
        <v>0</v>
      </c>
      <c r="Y19" s="28">
        <v>170</v>
      </c>
      <c r="Z19" s="29">
        <v>2</v>
      </c>
      <c r="AA19" s="29">
        <v>1</v>
      </c>
      <c r="AB19" s="29">
        <v>2</v>
      </c>
      <c r="AC19" s="28">
        <f t="shared" si="4"/>
        <v>340</v>
      </c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</row>
    <row r="20" spans="1:41">
      <c r="A20" s="24" t="s">
        <v>10</v>
      </c>
      <c r="B20" s="24" t="s">
        <v>32</v>
      </c>
      <c r="C20" s="24" t="s">
        <v>12</v>
      </c>
      <c r="D20" s="24" t="s">
        <v>13</v>
      </c>
      <c r="E20" s="25">
        <v>170</v>
      </c>
      <c r="F20" s="24"/>
      <c r="G20" s="26">
        <v>1</v>
      </c>
      <c r="H20" s="26">
        <v>0</v>
      </c>
      <c r="I20" s="25">
        <f t="shared" si="0"/>
        <v>0</v>
      </c>
      <c r="J20" s="25">
        <v>170</v>
      </c>
      <c r="K20" s="26">
        <v>2</v>
      </c>
      <c r="L20" s="26">
        <v>1</v>
      </c>
      <c r="M20" s="26">
        <v>2</v>
      </c>
      <c r="N20" s="25">
        <f t="shared" si="1"/>
        <v>340</v>
      </c>
      <c r="O20" s="25">
        <v>170</v>
      </c>
      <c r="P20" s="24"/>
      <c r="Q20" s="26">
        <v>1</v>
      </c>
      <c r="R20" s="26">
        <v>0</v>
      </c>
      <c r="S20" s="25">
        <f t="shared" si="2"/>
        <v>0</v>
      </c>
      <c r="T20" s="25">
        <v>170</v>
      </c>
      <c r="U20" s="24"/>
      <c r="V20" s="26">
        <v>1</v>
      </c>
      <c r="W20" s="26">
        <v>0</v>
      </c>
      <c r="X20" s="25">
        <f t="shared" si="3"/>
        <v>0</v>
      </c>
      <c r="Y20" s="25">
        <v>170</v>
      </c>
      <c r="Z20" s="26">
        <v>2</v>
      </c>
      <c r="AA20" s="26">
        <v>1</v>
      </c>
      <c r="AB20" s="26">
        <v>2</v>
      </c>
      <c r="AC20" s="25">
        <f t="shared" si="4"/>
        <v>340</v>
      </c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</row>
    <row r="21" spans="1:41">
      <c r="A21" s="27" t="s">
        <v>10</v>
      </c>
      <c r="B21" s="27" t="s">
        <v>32</v>
      </c>
      <c r="C21" s="27" t="s">
        <v>15</v>
      </c>
      <c r="D21" s="27" t="s">
        <v>13</v>
      </c>
      <c r="E21" s="28">
        <v>170</v>
      </c>
      <c r="F21" s="27"/>
      <c r="G21" s="29">
        <v>1</v>
      </c>
      <c r="H21" s="29">
        <v>0</v>
      </c>
      <c r="I21" s="28">
        <f t="shared" si="0"/>
        <v>0</v>
      </c>
      <c r="J21" s="28">
        <v>170</v>
      </c>
      <c r="K21" s="29">
        <v>1</v>
      </c>
      <c r="L21" s="29">
        <v>1</v>
      </c>
      <c r="M21" s="29">
        <v>1</v>
      </c>
      <c r="N21" s="28">
        <f t="shared" si="1"/>
        <v>170</v>
      </c>
      <c r="O21" s="28">
        <v>115</v>
      </c>
      <c r="P21" s="27"/>
      <c r="Q21" s="29">
        <v>1</v>
      </c>
      <c r="R21" s="29">
        <v>0</v>
      </c>
      <c r="S21" s="28">
        <f t="shared" si="2"/>
        <v>0</v>
      </c>
      <c r="T21" s="28">
        <v>170</v>
      </c>
      <c r="U21" s="27"/>
      <c r="V21" s="29">
        <v>1</v>
      </c>
      <c r="W21" s="29">
        <v>0</v>
      </c>
      <c r="X21" s="28">
        <f t="shared" si="3"/>
        <v>0</v>
      </c>
      <c r="Y21" s="28">
        <v>170</v>
      </c>
      <c r="Z21" s="27"/>
      <c r="AA21" s="29">
        <v>1</v>
      </c>
      <c r="AB21" s="29">
        <v>0</v>
      </c>
      <c r="AC21" s="28">
        <f t="shared" si="4"/>
        <v>0</v>
      </c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</row>
    <row r="22" spans="1:41">
      <c r="A22" s="30" t="s">
        <v>10</v>
      </c>
      <c r="B22" s="30" t="s">
        <v>33</v>
      </c>
      <c r="C22" s="30" t="s">
        <v>20</v>
      </c>
      <c r="D22" s="30" t="s">
        <v>13</v>
      </c>
      <c r="E22" s="31">
        <v>115</v>
      </c>
      <c r="F22" s="30"/>
      <c r="G22" s="32">
        <v>1</v>
      </c>
      <c r="H22" s="32">
        <v>0</v>
      </c>
      <c r="I22" s="31">
        <f t="shared" si="0"/>
        <v>0</v>
      </c>
      <c r="J22" s="31">
        <v>115</v>
      </c>
      <c r="K22" s="32">
        <v>2</v>
      </c>
      <c r="L22" s="32">
        <v>1</v>
      </c>
      <c r="M22" s="32">
        <v>2</v>
      </c>
      <c r="N22" s="31">
        <f t="shared" si="1"/>
        <v>230</v>
      </c>
      <c r="O22" s="31">
        <v>115</v>
      </c>
      <c r="P22" s="30"/>
      <c r="Q22" s="32">
        <v>1</v>
      </c>
      <c r="R22" s="32">
        <v>0</v>
      </c>
      <c r="S22" s="31">
        <f t="shared" si="2"/>
        <v>0</v>
      </c>
      <c r="T22" s="31">
        <v>115</v>
      </c>
      <c r="U22" s="30"/>
      <c r="V22" s="32">
        <v>1</v>
      </c>
      <c r="W22" s="32">
        <v>0</v>
      </c>
      <c r="X22" s="31">
        <f t="shared" si="3"/>
        <v>0</v>
      </c>
      <c r="Y22" s="31">
        <v>115</v>
      </c>
      <c r="Z22" s="30"/>
      <c r="AA22" s="32">
        <v>1</v>
      </c>
      <c r="AB22" s="32">
        <v>0</v>
      </c>
      <c r="AC22" s="31">
        <f t="shared" si="4"/>
        <v>0</v>
      </c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24" t="s">
        <v>10</v>
      </c>
      <c r="B23" s="24" t="s">
        <v>34</v>
      </c>
      <c r="C23" s="24" t="s">
        <v>12</v>
      </c>
      <c r="D23" s="24" t="s">
        <v>13</v>
      </c>
      <c r="E23" s="25">
        <v>170</v>
      </c>
      <c r="F23" s="24"/>
      <c r="G23" s="26">
        <v>1</v>
      </c>
      <c r="H23" s="26">
        <v>0</v>
      </c>
      <c r="I23" s="25">
        <f t="shared" si="0"/>
        <v>0</v>
      </c>
      <c r="J23" s="25">
        <v>170</v>
      </c>
      <c r="K23" s="24"/>
      <c r="L23" s="26">
        <v>1</v>
      </c>
      <c r="M23" s="26">
        <v>0</v>
      </c>
      <c r="N23" s="25">
        <f t="shared" si="1"/>
        <v>0</v>
      </c>
      <c r="O23" s="25">
        <v>170</v>
      </c>
      <c r="P23" s="24"/>
      <c r="Q23" s="26">
        <v>1</v>
      </c>
      <c r="R23" s="26">
        <v>0</v>
      </c>
      <c r="S23" s="25">
        <f t="shared" si="2"/>
        <v>0</v>
      </c>
      <c r="T23" s="25">
        <v>170</v>
      </c>
      <c r="U23" s="24"/>
      <c r="V23" s="26">
        <v>1</v>
      </c>
      <c r="W23" s="26">
        <v>0</v>
      </c>
      <c r="X23" s="25">
        <f t="shared" si="3"/>
        <v>0</v>
      </c>
      <c r="Y23" s="25">
        <v>170</v>
      </c>
      <c r="Z23" s="26">
        <v>1</v>
      </c>
      <c r="AA23" s="26">
        <v>1</v>
      </c>
      <c r="AB23" s="26">
        <v>1</v>
      </c>
      <c r="AC23" s="25">
        <f t="shared" si="4"/>
        <v>170</v>
      </c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</row>
    <row r="24" spans="1:41">
      <c r="A24" s="24" t="s">
        <v>10</v>
      </c>
      <c r="B24" s="24" t="s">
        <v>35</v>
      </c>
      <c r="C24" s="24" t="s">
        <v>12</v>
      </c>
      <c r="D24" s="24" t="s">
        <v>13</v>
      </c>
      <c r="E24" s="25">
        <v>170</v>
      </c>
      <c r="F24" s="24"/>
      <c r="G24" s="26">
        <v>1</v>
      </c>
      <c r="H24" s="26">
        <v>0</v>
      </c>
      <c r="I24" s="25">
        <f t="shared" si="0"/>
        <v>0</v>
      </c>
      <c r="J24" s="25">
        <v>170</v>
      </c>
      <c r="K24" s="24"/>
      <c r="L24" s="26">
        <v>1</v>
      </c>
      <c r="M24" s="26">
        <v>0</v>
      </c>
      <c r="N24" s="25">
        <f t="shared" si="1"/>
        <v>0</v>
      </c>
      <c r="O24" s="25">
        <v>170</v>
      </c>
      <c r="P24" s="24"/>
      <c r="Q24" s="26">
        <v>1</v>
      </c>
      <c r="R24" s="26">
        <v>0</v>
      </c>
      <c r="S24" s="25">
        <f t="shared" si="2"/>
        <v>0</v>
      </c>
      <c r="T24" s="25">
        <v>170</v>
      </c>
      <c r="U24" s="24"/>
      <c r="V24" s="26">
        <v>1</v>
      </c>
      <c r="W24" s="26">
        <v>0</v>
      </c>
      <c r="X24" s="25">
        <f t="shared" si="3"/>
        <v>0</v>
      </c>
      <c r="Y24" s="25">
        <v>170</v>
      </c>
      <c r="Z24" s="26">
        <v>1</v>
      </c>
      <c r="AA24" s="26">
        <v>1</v>
      </c>
      <c r="AB24" s="26">
        <v>1</v>
      </c>
      <c r="AC24" s="25">
        <f t="shared" si="4"/>
        <v>170</v>
      </c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</row>
    <row r="25" spans="1:41">
      <c r="A25" s="27" t="s">
        <v>10</v>
      </c>
      <c r="B25" s="27" t="s">
        <v>35</v>
      </c>
      <c r="C25" s="27" t="s">
        <v>15</v>
      </c>
      <c r="D25" s="27" t="s">
        <v>13</v>
      </c>
      <c r="E25" s="28">
        <v>170</v>
      </c>
      <c r="F25" s="27"/>
      <c r="G25" s="29">
        <v>1</v>
      </c>
      <c r="H25" s="29">
        <v>0</v>
      </c>
      <c r="I25" s="28">
        <f t="shared" si="0"/>
        <v>0</v>
      </c>
      <c r="J25" s="28">
        <v>170</v>
      </c>
      <c r="K25" s="27"/>
      <c r="L25" s="29">
        <v>1</v>
      </c>
      <c r="M25" s="29">
        <v>0</v>
      </c>
      <c r="N25" s="28">
        <f t="shared" si="1"/>
        <v>0</v>
      </c>
      <c r="O25" s="28">
        <v>115</v>
      </c>
      <c r="P25" s="27"/>
      <c r="Q25" s="29">
        <v>1</v>
      </c>
      <c r="R25" s="29">
        <v>0</v>
      </c>
      <c r="S25" s="28">
        <f t="shared" si="2"/>
        <v>0</v>
      </c>
      <c r="T25" s="28">
        <v>170</v>
      </c>
      <c r="U25" s="27"/>
      <c r="V25" s="29">
        <v>1</v>
      </c>
      <c r="W25" s="29">
        <v>0</v>
      </c>
      <c r="X25" s="28">
        <f t="shared" si="3"/>
        <v>0</v>
      </c>
      <c r="Y25" s="28">
        <v>170</v>
      </c>
      <c r="Z25" s="29">
        <v>10</v>
      </c>
      <c r="AA25" s="29">
        <v>1</v>
      </c>
      <c r="AB25" s="29">
        <v>10</v>
      </c>
      <c r="AC25" s="28">
        <f t="shared" si="4"/>
        <v>1700</v>
      </c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</row>
    <row r="26" spans="1:41">
      <c r="A26" s="27" t="s">
        <v>10</v>
      </c>
      <c r="B26" s="27" t="s">
        <v>36</v>
      </c>
      <c r="C26" s="27" t="s">
        <v>15</v>
      </c>
      <c r="D26" s="27" t="s">
        <v>13</v>
      </c>
      <c r="E26" s="28">
        <v>170</v>
      </c>
      <c r="F26" s="27"/>
      <c r="G26" s="29">
        <v>1</v>
      </c>
      <c r="H26" s="29">
        <v>0</v>
      </c>
      <c r="I26" s="28">
        <f t="shared" si="0"/>
        <v>0</v>
      </c>
      <c r="J26" s="28">
        <v>170</v>
      </c>
      <c r="K26" s="27"/>
      <c r="L26" s="29">
        <v>1</v>
      </c>
      <c r="M26" s="29">
        <v>0</v>
      </c>
      <c r="N26" s="28">
        <f t="shared" si="1"/>
        <v>0</v>
      </c>
      <c r="O26" s="28">
        <v>115</v>
      </c>
      <c r="P26" s="27"/>
      <c r="Q26" s="29">
        <v>1</v>
      </c>
      <c r="R26" s="29">
        <v>0</v>
      </c>
      <c r="S26" s="28">
        <f t="shared" si="2"/>
        <v>0</v>
      </c>
      <c r="T26" s="28">
        <v>170</v>
      </c>
      <c r="U26" s="27"/>
      <c r="V26" s="29">
        <v>1</v>
      </c>
      <c r="W26" s="29">
        <v>0</v>
      </c>
      <c r="X26" s="28">
        <f t="shared" si="3"/>
        <v>0</v>
      </c>
      <c r="Y26" s="28">
        <v>170</v>
      </c>
      <c r="Z26" s="29">
        <v>1</v>
      </c>
      <c r="AA26" s="29">
        <v>1</v>
      </c>
      <c r="AB26" s="29">
        <v>1</v>
      </c>
      <c r="AC26" s="28">
        <f t="shared" si="4"/>
        <v>170</v>
      </c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</row>
    <row r="27" spans="1:41">
      <c r="A27" s="24" t="s">
        <v>10</v>
      </c>
      <c r="B27" s="24" t="s">
        <v>37</v>
      </c>
      <c r="C27" s="24" t="s">
        <v>12</v>
      </c>
      <c r="D27" s="24" t="s">
        <v>13</v>
      </c>
      <c r="E27" s="25">
        <v>170</v>
      </c>
      <c r="F27" s="24"/>
      <c r="G27" s="26">
        <v>1</v>
      </c>
      <c r="H27" s="26">
        <v>0</v>
      </c>
      <c r="I27" s="25">
        <f t="shared" si="0"/>
        <v>0</v>
      </c>
      <c r="J27" s="25">
        <v>170</v>
      </c>
      <c r="K27" s="24"/>
      <c r="L27" s="26">
        <v>1</v>
      </c>
      <c r="M27" s="26">
        <v>0</v>
      </c>
      <c r="N27" s="25">
        <f t="shared" si="1"/>
        <v>0</v>
      </c>
      <c r="O27" s="25">
        <v>170</v>
      </c>
      <c r="P27" s="24"/>
      <c r="Q27" s="26">
        <v>1</v>
      </c>
      <c r="R27" s="26">
        <v>0</v>
      </c>
      <c r="S27" s="25">
        <f t="shared" si="2"/>
        <v>0</v>
      </c>
      <c r="T27" s="25">
        <v>170</v>
      </c>
      <c r="U27" s="24"/>
      <c r="V27" s="26">
        <v>1</v>
      </c>
      <c r="W27" s="26">
        <v>0</v>
      </c>
      <c r="X27" s="25">
        <f t="shared" si="3"/>
        <v>0</v>
      </c>
      <c r="Y27" s="25">
        <v>170</v>
      </c>
      <c r="Z27" s="26">
        <v>1</v>
      </c>
      <c r="AA27" s="26">
        <v>1</v>
      </c>
      <c r="AB27" s="26">
        <v>1</v>
      </c>
      <c r="AC27" s="25">
        <f t="shared" si="4"/>
        <v>170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</row>
    <row r="28" spans="1:41">
      <c r="A28" s="27" t="s">
        <v>10</v>
      </c>
      <c r="B28" s="27" t="s">
        <v>37</v>
      </c>
      <c r="C28" s="27" t="s">
        <v>15</v>
      </c>
      <c r="D28" s="27" t="s">
        <v>13</v>
      </c>
      <c r="E28" s="28">
        <v>170</v>
      </c>
      <c r="F28" s="27"/>
      <c r="G28" s="29">
        <v>1</v>
      </c>
      <c r="H28" s="29">
        <v>0</v>
      </c>
      <c r="I28" s="28">
        <f t="shared" si="0"/>
        <v>0</v>
      </c>
      <c r="J28" s="28">
        <v>170</v>
      </c>
      <c r="K28" s="27"/>
      <c r="L28" s="29">
        <v>1</v>
      </c>
      <c r="M28" s="29">
        <v>0</v>
      </c>
      <c r="N28" s="28">
        <f t="shared" si="1"/>
        <v>0</v>
      </c>
      <c r="O28" s="28">
        <v>115</v>
      </c>
      <c r="P28" s="27"/>
      <c r="Q28" s="29">
        <v>1</v>
      </c>
      <c r="R28" s="29">
        <v>0</v>
      </c>
      <c r="S28" s="28">
        <f t="shared" si="2"/>
        <v>0</v>
      </c>
      <c r="T28" s="28">
        <v>170</v>
      </c>
      <c r="U28" s="27"/>
      <c r="V28" s="29">
        <v>1</v>
      </c>
      <c r="W28" s="29">
        <v>0</v>
      </c>
      <c r="X28" s="28">
        <f t="shared" si="3"/>
        <v>0</v>
      </c>
      <c r="Y28" s="28">
        <v>170</v>
      </c>
      <c r="Z28" s="29">
        <v>2</v>
      </c>
      <c r="AA28" s="29">
        <v>1</v>
      </c>
      <c r="AB28" s="29">
        <v>2</v>
      </c>
      <c r="AC28" s="28">
        <f t="shared" si="4"/>
        <v>340</v>
      </c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</row>
    <row r="29" spans="1:41">
      <c r="A29" s="24" t="s">
        <v>10</v>
      </c>
      <c r="B29" s="24" t="s">
        <v>38</v>
      </c>
      <c r="C29" s="24" t="s">
        <v>12</v>
      </c>
      <c r="D29" s="24" t="s">
        <v>13</v>
      </c>
      <c r="E29" s="25">
        <v>170</v>
      </c>
      <c r="F29" s="24"/>
      <c r="G29" s="26">
        <v>1</v>
      </c>
      <c r="H29" s="26">
        <v>0</v>
      </c>
      <c r="I29" s="25">
        <f t="shared" si="0"/>
        <v>0</v>
      </c>
      <c r="J29" s="25">
        <v>170</v>
      </c>
      <c r="K29" s="24"/>
      <c r="L29" s="26">
        <v>1</v>
      </c>
      <c r="M29" s="26">
        <v>0</v>
      </c>
      <c r="N29" s="25">
        <f t="shared" si="1"/>
        <v>0</v>
      </c>
      <c r="O29" s="25">
        <v>170</v>
      </c>
      <c r="P29" s="24"/>
      <c r="Q29" s="26">
        <v>1</v>
      </c>
      <c r="R29" s="26">
        <v>0</v>
      </c>
      <c r="S29" s="25">
        <f t="shared" si="2"/>
        <v>0</v>
      </c>
      <c r="T29" s="25">
        <v>170</v>
      </c>
      <c r="U29" s="24"/>
      <c r="V29" s="26">
        <v>1</v>
      </c>
      <c r="W29" s="26">
        <v>0</v>
      </c>
      <c r="X29" s="25">
        <f t="shared" si="3"/>
        <v>0</v>
      </c>
      <c r="Y29" s="25">
        <v>170</v>
      </c>
      <c r="Z29" s="26">
        <v>1</v>
      </c>
      <c r="AA29" s="26">
        <v>1</v>
      </c>
      <c r="AB29" s="26">
        <v>1</v>
      </c>
      <c r="AC29" s="25">
        <f t="shared" si="4"/>
        <v>170</v>
      </c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</row>
    <row r="30" spans="1:41">
      <c r="A30" s="27" t="s">
        <v>10</v>
      </c>
      <c r="B30" s="27" t="s">
        <v>38</v>
      </c>
      <c r="C30" s="27" t="s">
        <v>15</v>
      </c>
      <c r="D30" s="27" t="s">
        <v>13</v>
      </c>
      <c r="E30" s="28">
        <v>170</v>
      </c>
      <c r="F30" s="27"/>
      <c r="G30" s="29">
        <v>1</v>
      </c>
      <c r="H30" s="29">
        <v>0</v>
      </c>
      <c r="I30" s="28">
        <f t="shared" si="0"/>
        <v>0</v>
      </c>
      <c r="J30" s="28">
        <v>170</v>
      </c>
      <c r="K30" s="27"/>
      <c r="L30" s="29">
        <v>1</v>
      </c>
      <c r="M30" s="29">
        <v>0</v>
      </c>
      <c r="N30" s="28">
        <f t="shared" si="1"/>
        <v>0</v>
      </c>
      <c r="O30" s="28">
        <v>115</v>
      </c>
      <c r="P30" s="27"/>
      <c r="Q30" s="29">
        <v>1</v>
      </c>
      <c r="R30" s="29">
        <v>0</v>
      </c>
      <c r="S30" s="28">
        <f t="shared" si="2"/>
        <v>0</v>
      </c>
      <c r="T30" s="28">
        <v>170</v>
      </c>
      <c r="U30" s="27"/>
      <c r="V30" s="29">
        <v>1</v>
      </c>
      <c r="W30" s="29">
        <v>0</v>
      </c>
      <c r="X30" s="28">
        <f t="shared" si="3"/>
        <v>0</v>
      </c>
      <c r="Y30" s="28">
        <v>170</v>
      </c>
      <c r="Z30" s="29">
        <v>1</v>
      </c>
      <c r="AA30" s="29">
        <v>1</v>
      </c>
      <c r="AB30" s="29">
        <v>1</v>
      </c>
      <c r="AC30" s="28">
        <f t="shared" si="4"/>
        <v>170</v>
      </c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</row>
    <row r="31" spans="1:41">
      <c r="A31" s="27" t="s">
        <v>10</v>
      </c>
      <c r="B31" s="27" t="s">
        <v>38</v>
      </c>
      <c r="C31" s="27" t="s">
        <v>15</v>
      </c>
      <c r="D31" s="27" t="s">
        <v>29</v>
      </c>
      <c r="E31" s="28">
        <v>170</v>
      </c>
      <c r="F31" s="27"/>
      <c r="G31" s="29">
        <v>2</v>
      </c>
      <c r="H31" s="29">
        <v>0</v>
      </c>
      <c r="I31" s="28">
        <f t="shared" si="0"/>
        <v>0</v>
      </c>
      <c r="J31" s="28">
        <v>170</v>
      </c>
      <c r="K31" s="27"/>
      <c r="L31" s="29">
        <v>2</v>
      </c>
      <c r="M31" s="29">
        <v>0</v>
      </c>
      <c r="N31" s="28">
        <f t="shared" si="1"/>
        <v>0</v>
      </c>
      <c r="O31" s="28">
        <v>115</v>
      </c>
      <c r="P31" s="27"/>
      <c r="Q31" s="29">
        <v>2</v>
      </c>
      <c r="R31" s="29">
        <v>0</v>
      </c>
      <c r="S31" s="28">
        <f t="shared" si="2"/>
        <v>0</v>
      </c>
      <c r="T31" s="28">
        <v>170</v>
      </c>
      <c r="U31" s="27"/>
      <c r="V31" s="29">
        <v>2</v>
      </c>
      <c r="W31" s="29">
        <v>0</v>
      </c>
      <c r="X31" s="28">
        <f t="shared" si="3"/>
        <v>0</v>
      </c>
      <c r="Y31" s="28">
        <v>170</v>
      </c>
      <c r="Z31" s="29">
        <v>1</v>
      </c>
      <c r="AA31" s="29">
        <v>2</v>
      </c>
      <c r="AB31" s="29">
        <v>2</v>
      </c>
      <c r="AC31" s="28">
        <f t="shared" si="4"/>
        <v>340</v>
      </c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</row>
    <row r="32" spans="1:41">
      <c r="A32" s="24" t="s">
        <v>10</v>
      </c>
      <c r="B32" s="24" t="s">
        <v>39</v>
      </c>
      <c r="C32" s="24" t="s">
        <v>12</v>
      </c>
      <c r="D32" s="24" t="s">
        <v>13</v>
      </c>
      <c r="E32" s="25">
        <v>170</v>
      </c>
      <c r="F32" s="24"/>
      <c r="G32" s="26">
        <v>1</v>
      </c>
      <c r="H32" s="26">
        <v>0</v>
      </c>
      <c r="I32" s="25">
        <f t="shared" si="0"/>
        <v>0</v>
      </c>
      <c r="J32" s="25">
        <v>170</v>
      </c>
      <c r="K32" s="24"/>
      <c r="L32" s="26">
        <v>1</v>
      </c>
      <c r="M32" s="26">
        <v>0</v>
      </c>
      <c r="N32" s="25">
        <f t="shared" si="1"/>
        <v>0</v>
      </c>
      <c r="O32" s="25">
        <v>170</v>
      </c>
      <c r="P32" s="24"/>
      <c r="Q32" s="26">
        <v>1</v>
      </c>
      <c r="R32" s="26">
        <v>0</v>
      </c>
      <c r="S32" s="25">
        <f t="shared" si="2"/>
        <v>0</v>
      </c>
      <c r="T32" s="25">
        <v>170</v>
      </c>
      <c r="U32" s="24"/>
      <c r="V32" s="26">
        <v>1</v>
      </c>
      <c r="W32" s="26">
        <v>0</v>
      </c>
      <c r="X32" s="25">
        <f t="shared" si="3"/>
        <v>0</v>
      </c>
      <c r="Y32" s="25">
        <v>170</v>
      </c>
      <c r="Z32" s="26">
        <v>1</v>
      </c>
      <c r="AA32" s="26">
        <v>1</v>
      </c>
      <c r="AB32" s="26">
        <v>1</v>
      </c>
      <c r="AC32" s="25">
        <f t="shared" si="4"/>
        <v>170</v>
      </c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</row>
    <row r="33" spans="1:41">
      <c r="A33" s="24" t="s">
        <v>10</v>
      </c>
      <c r="B33" s="24" t="s">
        <v>40</v>
      </c>
      <c r="C33" s="24" t="s">
        <v>12</v>
      </c>
      <c r="D33" s="24" t="s">
        <v>13</v>
      </c>
      <c r="E33" s="25">
        <v>170</v>
      </c>
      <c r="F33" s="24"/>
      <c r="G33" s="26">
        <v>1</v>
      </c>
      <c r="H33" s="26">
        <v>0</v>
      </c>
      <c r="I33" s="25">
        <f t="shared" si="0"/>
        <v>0</v>
      </c>
      <c r="J33" s="25">
        <v>170</v>
      </c>
      <c r="K33" s="24"/>
      <c r="L33" s="26">
        <v>1</v>
      </c>
      <c r="M33" s="26">
        <v>0</v>
      </c>
      <c r="N33" s="25">
        <f t="shared" si="1"/>
        <v>0</v>
      </c>
      <c r="O33" s="25">
        <v>170</v>
      </c>
      <c r="P33" s="24"/>
      <c r="Q33" s="26">
        <v>1</v>
      </c>
      <c r="R33" s="26">
        <v>0</v>
      </c>
      <c r="S33" s="25">
        <f t="shared" si="2"/>
        <v>0</v>
      </c>
      <c r="T33" s="25">
        <v>170</v>
      </c>
      <c r="U33" s="26">
        <v>4</v>
      </c>
      <c r="V33" s="26">
        <v>1</v>
      </c>
      <c r="W33" s="26">
        <v>4</v>
      </c>
      <c r="X33" s="25">
        <f t="shared" si="3"/>
        <v>680</v>
      </c>
      <c r="Y33" s="25">
        <v>170</v>
      </c>
      <c r="Z33" s="24"/>
      <c r="AA33" s="26">
        <v>1</v>
      </c>
      <c r="AB33" s="26">
        <v>0</v>
      </c>
      <c r="AC33" s="25">
        <f t="shared" si="4"/>
        <v>0</v>
      </c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</row>
    <row r="34" spans="1:41">
      <c r="A34" s="27" t="s">
        <v>10</v>
      </c>
      <c r="B34" s="27" t="s">
        <v>40</v>
      </c>
      <c r="C34" s="27" t="s">
        <v>15</v>
      </c>
      <c r="D34" s="27" t="s">
        <v>13</v>
      </c>
      <c r="E34" s="28">
        <v>170</v>
      </c>
      <c r="F34" s="27"/>
      <c r="G34" s="29">
        <v>1</v>
      </c>
      <c r="H34" s="29">
        <v>0</v>
      </c>
      <c r="I34" s="28">
        <f t="shared" si="0"/>
        <v>0</v>
      </c>
      <c r="J34" s="28">
        <v>170</v>
      </c>
      <c r="K34" s="27"/>
      <c r="L34" s="29">
        <v>1</v>
      </c>
      <c r="M34" s="29">
        <v>0</v>
      </c>
      <c r="N34" s="28">
        <f t="shared" si="1"/>
        <v>0</v>
      </c>
      <c r="O34" s="28">
        <v>115</v>
      </c>
      <c r="P34" s="27"/>
      <c r="Q34" s="29">
        <v>1</v>
      </c>
      <c r="R34" s="29">
        <v>0</v>
      </c>
      <c r="S34" s="28">
        <f t="shared" si="2"/>
        <v>0</v>
      </c>
      <c r="T34" s="28">
        <v>170</v>
      </c>
      <c r="U34" s="29">
        <v>2</v>
      </c>
      <c r="V34" s="29">
        <v>1</v>
      </c>
      <c r="W34" s="29">
        <v>2</v>
      </c>
      <c r="X34" s="28">
        <f t="shared" si="3"/>
        <v>340</v>
      </c>
      <c r="Y34" s="28">
        <v>170</v>
      </c>
      <c r="Z34" s="27"/>
      <c r="AA34" s="29">
        <v>1</v>
      </c>
      <c r="AB34" s="29">
        <v>0</v>
      </c>
      <c r="AC34" s="28">
        <f t="shared" si="4"/>
        <v>0</v>
      </c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</row>
    <row r="35" spans="1:41">
      <c r="A35" s="30" t="s">
        <v>10</v>
      </c>
      <c r="B35" s="30" t="s">
        <v>41</v>
      </c>
      <c r="C35" s="30" t="s">
        <v>20</v>
      </c>
      <c r="D35" s="30" t="s">
        <v>13</v>
      </c>
      <c r="E35" s="31">
        <v>115</v>
      </c>
      <c r="F35" s="30"/>
      <c r="G35" s="32">
        <v>1</v>
      </c>
      <c r="H35" s="32">
        <v>0</v>
      </c>
      <c r="I35" s="31">
        <f t="shared" si="0"/>
        <v>0</v>
      </c>
      <c r="J35" s="31">
        <v>115</v>
      </c>
      <c r="K35" s="32">
        <v>1</v>
      </c>
      <c r="L35" s="32">
        <v>1</v>
      </c>
      <c r="M35" s="32">
        <v>1</v>
      </c>
      <c r="N35" s="31">
        <f t="shared" si="1"/>
        <v>115</v>
      </c>
      <c r="O35" s="31">
        <v>115</v>
      </c>
      <c r="P35" s="30"/>
      <c r="Q35" s="32">
        <v>1</v>
      </c>
      <c r="R35" s="32">
        <v>0</v>
      </c>
      <c r="S35" s="31">
        <f t="shared" si="2"/>
        <v>0</v>
      </c>
      <c r="T35" s="31">
        <v>115</v>
      </c>
      <c r="U35" s="30"/>
      <c r="V35" s="32">
        <v>1</v>
      </c>
      <c r="W35" s="32">
        <v>0</v>
      </c>
      <c r="X35" s="31">
        <f t="shared" si="3"/>
        <v>0</v>
      </c>
      <c r="Y35" s="31">
        <v>115</v>
      </c>
      <c r="Z35" s="30"/>
      <c r="AA35" s="32">
        <v>1</v>
      </c>
      <c r="AB35" s="32">
        <v>0</v>
      </c>
      <c r="AC35" s="31">
        <f t="shared" si="4"/>
        <v>0</v>
      </c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 t="s">
        <v>10</v>
      </c>
      <c r="B36" s="30" t="s">
        <v>41</v>
      </c>
      <c r="C36" s="30" t="s">
        <v>42</v>
      </c>
      <c r="D36" s="30" t="s">
        <v>13</v>
      </c>
      <c r="E36" s="31">
        <v>115</v>
      </c>
      <c r="F36" s="30"/>
      <c r="G36" s="32">
        <v>1</v>
      </c>
      <c r="H36" s="32">
        <v>0</v>
      </c>
      <c r="I36" s="31">
        <f t="shared" si="0"/>
        <v>0</v>
      </c>
      <c r="J36" s="31">
        <v>115</v>
      </c>
      <c r="K36" s="32">
        <v>1</v>
      </c>
      <c r="L36" s="32">
        <v>1</v>
      </c>
      <c r="M36" s="32">
        <v>1</v>
      </c>
      <c r="N36" s="31">
        <f t="shared" si="1"/>
        <v>115</v>
      </c>
      <c r="O36" s="31">
        <v>115</v>
      </c>
      <c r="P36" s="30"/>
      <c r="Q36" s="32">
        <v>1</v>
      </c>
      <c r="R36" s="32">
        <v>0</v>
      </c>
      <c r="S36" s="31">
        <f t="shared" si="2"/>
        <v>0</v>
      </c>
      <c r="T36" s="31">
        <v>115</v>
      </c>
      <c r="U36" s="30"/>
      <c r="V36" s="32">
        <v>1</v>
      </c>
      <c r="W36" s="32">
        <v>0</v>
      </c>
      <c r="X36" s="31">
        <f t="shared" si="3"/>
        <v>0</v>
      </c>
      <c r="Y36" s="31">
        <v>115</v>
      </c>
      <c r="Z36" s="30"/>
      <c r="AA36" s="32">
        <v>1</v>
      </c>
      <c r="AB36" s="32">
        <v>0</v>
      </c>
      <c r="AC36" s="31">
        <f t="shared" si="4"/>
        <v>0</v>
      </c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 t="s">
        <v>10</v>
      </c>
      <c r="B37" s="30" t="s">
        <v>43</v>
      </c>
      <c r="C37" s="30" t="s">
        <v>20</v>
      </c>
      <c r="D37" s="30" t="s">
        <v>13</v>
      </c>
      <c r="E37" s="31">
        <v>115</v>
      </c>
      <c r="F37" s="30"/>
      <c r="G37" s="32">
        <v>1</v>
      </c>
      <c r="H37" s="32">
        <v>0</v>
      </c>
      <c r="I37" s="31">
        <f t="shared" si="0"/>
        <v>0</v>
      </c>
      <c r="J37" s="31">
        <v>115</v>
      </c>
      <c r="K37" s="32">
        <v>4</v>
      </c>
      <c r="L37" s="32">
        <v>1</v>
      </c>
      <c r="M37" s="32">
        <v>4</v>
      </c>
      <c r="N37" s="31">
        <f t="shared" si="1"/>
        <v>460</v>
      </c>
      <c r="O37" s="31">
        <v>115</v>
      </c>
      <c r="P37" s="30"/>
      <c r="Q37" s="32">
        <v>1</v>
      </c>
      <c r="R37" s="32">
        <v>0</v>
      </c>
      <c r="S37" s="31">
        <f t="shared" si="2"/>
        <v>0</v>
      </c>
      <c r="T37" s="31">
        <v>115</v>
      </c>
      <c r="U37" s="30"/>
      <c r="V37" s="32">
        <v>1</v>
      </c>
      <c r="W37" s="32">
        <v>0</v>
      </c>
      <c r="X37" s="31">
        <f t="shared" si="3"/>
        <v>0</v>
      </c>
      <c r="Y37" s="31">
        <v>115</v>
      </c>
      <c r="Z37" s="30"/>
      <c r="AA37" s="32">
        <v>1</v>
      </c>
      <c r="AB37" s="32">
        <v>0</v>
      </c>
      <c r="AC37" s="31">
        <f t="shared" si="4"/>
        <v>0</v>
      </c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24" t="s">
        <v>10</v>
      </c>
      <c r="B38" s="24" t="s">
        <v>44</v>
      </c>
      <c r="C38" s="24" t="s">
        <v>12</v>
      </c>
      <c r="D38" s="24" t="s">
        <v>13</v>
      </c>
      <c r="E38" s="25">
        <v>170</v>
      </c>
      <c r="F38" s="24"/>
      <c r="G38" s="26">
        <v>1</v>
      </c>
      <c r="H38" s="26">
        <v>0</v>
      </c>
      <c r="I38" s="25">
        <f t="shared" si="0"/>
        <v>0</v>
      </c>
      <c r="J38" s="25">
        <v>170</v>
      </c>
      <c r="K38" s="26">
        <v>1</v>
      </c>
      <c r="L38" s="26">
        <v>1</v>
      </c>
      <c r="M38" s="26">
        <v>1</v>
      </c>
      <c r="N38" s="25">
        <f t="shared" si="1"/>
        <v>170</v>
      </c>
      <c r="O38" s="25">
        <v>170</v>
      </c>
      <c r="P38" s="24"/>
      <c r="Q38" s="26">
        <v>1</v>
      </c>
      <c r="R38" s="26">
        <v>0</v>
      </c>
      <c r="S38" s="25">
        <f t="shared" si="2"/>
        <v>0</v>
      </c>
      <c r="T38" s="25">
        <v>170</v>
      </c>
      <c r="U38" s="24"/>
      <c r="V38" s="26">
        <v>1</v>
      </c>
      <c r="W38" s="26">
        <v>0</v>
      </c>
      <c r="X38" s="25">
        <f t="shared" si="3"/>
        <v>0</v>
      </c>
      <c r="Y38" s="25">
        <v>170</v>
      </c>
      <c r="Z38" s="24"/>
      <c r="AA38" s="26">
        <v>1</v>
      </c>
      <c r="AB38" s="26">
        <v>0</v>
      </c>
      <c r="AC38" s="25">
        <f t="shared" si="4"/>
        <v>0</v>
      </c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</row>
    <row r="39" spans="1:41">
      <c r="A39" s="24" t="s">
        <v>10</v>
      </c>
      <c r="B39" s="24" t="s">
        <v>45</v>
      </c>
      <c r="C39" s="24" t="s">
        <v>12</v>
      </c>
      <c r="D39" s="24" t="s">
        <v>13</v>
      </c>
      <c r="E39" s="25">
        <v>170</v>
      </c>
      <c r="F39" s="24"/>
      <c r="G39" s="26">
        <v>1</v>
      </c>
      <c r="H39" s="26">
        <v>0</v>
      </c>
      <c r="I39" s="25">
        <f t="shared" si="0"/>
        <v>0</v>
      </c>
      <c r="J39" s="25">
        <v>170</v>
      </c>
      <c r="K39" s="26">
        <v>3</v>
      </c>
      <c r="L39" s="26">
        <v>1</v>
      </c>
      <c r="M39" s="26">
        <v>3</v>
      </c>
      <c r="N39" s="25">
        <f t="shared" si="1"/>
        <v>510</v>
      </c>
      <c r="O39" s="25">
        <v>170</v>
      </c>
      <c r="P39" s="24"/>
      <c r="Q39" s="26">
        <v>1</v>
      </c>
      <c r="R39" s="26">
        <v>0</v>
      </c>
      <c r="S39" s="25">
        <f t="shared" si="2"/>
        <v>0</v>
      </c>
      <c r="T39" s="25">
        <v>170</v>
      </c>
      <c r="U39" s="24"/>
      <c r="V39" s="26">
        <v>1</v>
      </c>
      <c r="W39" s="26">
        <v>0</v>
      </c>
      <c r="X39" s="25">
        <f t="shared" si="3"/>
        <v>0</v>
      </c>
      <c r="Y39" s="25">
        <v>170</v>
      </c>
      <c r="Z39" s="26">
        <v>1</v>
      </c>
      <c r="AA39" s="26">
        <v>1</v>
      </c>
      <c r="AB39" s="26">
        <v>1</v>
      </c>
      <c r="AC39" s="25">
        <f t="shared" si="4"/>
        <v>170</v>
      </c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</row>
    <row r="40" spans="1:41">
      <c r="A40" s="30" t="s">
        <v>10</v>
      </c>
      <c r="B40" s="30" t="s">
        <v>46</v>
      </c>
      <c r="C40" s="30" t="s">
        <v>20</v>
      </c>
      <c r="D40" s="30" t="s">
        <v>13</v>
      </c>
      <c r="E40" s="31">
        <v>115</v>
      </c>
      <c r="F40" s="30"/>
      <c r="G40" s="32">
        <v>1</v>
      </c>
      <c r="H40" s="32">
        <v>0</v>
      </c>
      <c r="I40" s="31">
        <f t="shared" si="0"/>
        <v>0</v>
      </c>
      <c r="J40" s="31">
        <v>115</v>
      </c>
      <c r="K40" s="32">
        <v>1</v>
      </c>
      <c r="L40" s="32">
        <v>1</v>
      </c>
      <c r="M40" s="32">
        <v>1</v>
      </c>
      <c r="N40" s="31">
        <f t="shared" si="1"/>
        <v>115</v>
      </c>
      <c r="O40" s="31">
        <v>115</v>
      </c>
      <c r="P40" s="30"/>
      <c r="Q40" s="32">
        <v>1</v>
      </c>
      <c r="R40" s="32">
        <v>0</v>
      </c>
      <c r="S40" s="31">
        <f t="shared" si="2"/>
        <v>0</v>
      </c>
      <c r="T40" s="31">
        <v>115</v>
      </c>
      <c r="U40" s="30"/>
      <c r="V40" s="32">
        <v>1</v>
      </c>
      <c r="W40" s="32">
        <v>0</v>
      </c>
      <c r="X40" s="31">
        <f t="shared" si="3"/>
        <v>0</v>
      </c>
      <c r="Y40" s="31">
        <v>115</v>
      </c>
      <c r="Z40" s="30"/>
      <c r="AA40" s="32">
        <v>1</v>
      </c>
      <c r="AB40" s="32">
        <v>0</v>
      </c>
      <c r="AC40" s="31">
        <f t="shared" si="4"/>
        <v>0</v>
      </c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24" t="s">
        <v>10</v>
      </c>
      <c r="B41" s="24" t="s">
        <v>47</v>
      </c>
      <c r="C41" s="24" t="s">
        <v>12</v>
      </c>
      <c r="D41" s="24" t="s">
        <v>13</v>
      </c>
      <c r="E41" s="25">
        <v>170</v>
      </c>
      <c r="F41" s="24"/>
      <c r="G41" s="26">
        <v>1</v>
      </c>
      <c r="H41" s="26">
        <v>0</v>
      </c>
      <c r="I41" s="25">
        <f t="shared" si="0"/>
        <v>0</v>
      </c>
      <c r="J41" s="25">
        <v>170</v>
      </c>
      <c r="K41" s="24"/>
      <c r="L41" s="26">
        <v>1</v>
      </c>
      <c r="M41" s="26">
        <v>0</v>
      </c>
      <c r="N41" s="25">
        <f t="shared" si="1"/>
        <v>0</v>
      </c>
      <c r="O41" s="25">
        <v>170</v>
      </c>
      <c r="P41" s="24"/>
      <c r="Q41" s="26">
        <v>1</v>
      </c>
      <c r="R41" s="26">
        <v>0</v>
      </c>
      <c r="S41" s="25">
        <f t="shared" si="2"/>
        <v>0</v>
      </c>
      <c r="T41" s="25">
        <v>170</v>
      </c>
      <c r="U41" s="24"/>
      <c r="V41" s="26">
        <v>1</v>
      </c>
      <c r="W41" s="26">
        <v>0</v>
      </c>
      <c r="X41" s="25">
        <f t="shared" si="3"/>
        <v>0</v>
      </c>
      <c r="Y41" s="25">
        <v>170</v>
      </c>
      <c r="Z41" s="26">
        <v>1</v>
      </c>
      <c r="AA41" s="26">
        <v>1</v>
      </c>
      <c r="AB41" s="26">
        <v>1</v>
      </c>
      <c r="AC41" s="25">
        <f t="shared" si="4"/>
        <v>170</v>
      </c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</row>
    <row r="42" spans="1:41">
      <c r="A42" s="24" t="s">
        <v>10</v>
      </c>
      <c r="B42" s="24" t="s">
        <v>48</v>
      </c>
      <c r="C42" s="24" t="s">
        <v>12</v>
      </c>
      <c r="D42" s="24" t="s">
        <v>13</v>
      </c>
      <c r="E42" s="25">
        <v>170</v>
      </c>
      <c r="F42" s="24"/>
      <c r="G42" s="26">
        <v>1</v>
      </c>
      <c r="H42" s="26">
        <v>0</v>
      </c>
      <c r="I42" s="25">
        <f t="shared" si="0"/>
        <v>0</v>
      </c>
      <c r="J42" s="25">
        <v>170</v>
      </c>
      <c r="K42" s="24"/>
      <c r="L42" s="26">
        <v>1</v>
      </c>
      <c r="M42" s="26">
        <v>0</v>
      </c>
      <c r="N42" s="25">
        <f t="shared" si="1"/>
        <v>0</v>
      </c>
      <c r="O42" s="25">
        <v>170</v>
      </c>
      <c r="P42" s="24"/>
      <c r="Q42" s="26">
        <v>1</v>
      </c>
      <c r="R42" s="26">
        <v>0</v>
      </c>
      <c r="S42" s="25">
        <f t="shared" si="2"/>
        <v>0</v>
      </c>
      <c r="T42" s="25">
        <v>170</v>
      </c>
      <c r="U42" s="24"/>
      <c r="V42" s="26">
        <v>1</v>
      </c>
      <c r="W42" s="26">
        <v>0</v>
      </c>
      <c r="X42" s="25">
        <f t="shared" si="3"/>
        <v>0</v>
      </c>
      <c r="Y42" s="25">
        <v>170</v>
      </c>
      <c r="Z42" s="26">
        <v>1</v>
      </c>
      <c r="AA42" s="26">
        <v>1</v>
      </c>
      <c r="AB42" s="26">
        <v>1</v>
      </c>
      <c r="AC42" s="25">
        <f t="shared" si="4"/>
        <v>170</v>
      </c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</row>
    <row r="43" spans="1:41">
      <c r="A43" s="24" t="s">
        <v>10</v>
      </c>
      <c r="B43" s="24" t="s">
        <v>49</v>
      </c>
      <c r="C43" s="24" t="s">
        <v>12</v>
      </c>
      <c r="D43" s="24" t="s">
        <v>13</v>
      </c>
      <c r="E43" s="25">
        <v>170</v>
      </c>
      <c r="F43" s="24"/>
      <c r="G43" s="26">
        <v>1</v>
      </c>
      <c r="H43" s="26">
        <v>0</v>
      </c>
      <c r="I43" s="25">
        <f t="shared" si="0"/>
        <v>0</v>
      </c>
      <c r="J43" s="25">
        <v>170</v>
      </c>
      <c r="K43" s="24"/>
      <c r="L43" s="26">
        <v>1</v>
      </c>
      <c r="M43" s="26">
        <v>0</v>
      </c>
      <c r="N43" s="25">
        <f t="shared" si="1"/>
        <v>0</v>
      </c>
      <c r="O43" s="25">
        <v>170</v>
      </c>
      <c r="P43" s="24"/>
      <c r="Q43" s="26">
        <v>1</v>
      </c>
      <c r="R43" s="26">
        <v>0</v>
      </c>
      <c r="S43" s="25">
        <f t="shared" si="2"/>
        <v>0</v>
      </c>
      <c r="T43" s="25">
        <v>170</v>
      </c>
      <c r="U43" s="24"/>
      <c r="V43" s="26">
        <v>1</v>
      </c>
      <c r="W43" s="26">
        <v>0</v>
      </c>
      <c r="X43" s="25">
        <f t="shared" si="3"/>
        <v>0</v>
      </c>
      <c r="Y43" s="25">
        <v>170</v>
      </c>
      <c r="Z43" s="26">
        <v>3</v>
      </c>
      <c r="AA43" s="26">
        <v>1</v>
      </c>
      <c r="AB43" s="26">
        <v>3</v>
      </c>
      <c r="AC43" s="25">
        <f t="shared" si="4"/>
        <v>510</v>
      </c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</row>
    <row r="44" spans="1:41">
      <c r="A44" s="27" t="s">
        <v>10</v>
      </c>
      <c r="B44" s="27" t="s">
        <v>49</v>
      </c>
      <c r="C44" s="27" t="s">
        <v>15</v>
      </c>
      <c r="D44" s="27" t="s">
        <v>13</v>
      </c>
      <c r="E44" s="28">
        <v>170</v>
      </c>
      <c r="F44" s="27"/>
      <c r="G44" s="29">
        <v>1</v>
      </c>
      <c r="H44" s="29">
        <v>0</v>
      </c>
      <c r="I44" s="28">
        <f t="shared" si="0"/>
        <v>0</v>
      </c>
      <c r="J44" s="28">
        <v>170</v>
      </c>
      <c r="K44" s="27"/>
      <c r="L44" s="29">
        <v>1</v>
      </c>
      <c r="M44" s="29">
        <v>0</v>
      </c>
      <c r="N44" s="28">
        <f t="shared" si="1"/>
        <v>0</v>
      </c>
      <c r="O44" s="28">
        <v>115</v>
      </c>
      <c r="P44" s="27"/>
      <c r="Q44" s="29">
        <v>1</v>
      </c>
      <c r="R44" s="29">
        <v>0</v>
      </c>
      <c r="S44" s="28">
        <f t="shared" si="2"/>
        <v>0</v>
      </c>
      <c r="T44" s="28">
        <v>170</v>
      </c>
      <c r="U44" s="27"/>
      <c r="V44" s="29">
        <v>1</v>
      </c>
      <c r="W44" s="29">
        <v>0</v>
      </c>
      <c r="X44" s="28">
        <f t="shared" si="3"/>
        <v>0</v>
      </c>
      <c r="Y44" s="28">
        <v>170</v>
      </c>
      <c r="Z44" s="29">
        <v>2</v>
      </c>
      <c r="AA44" s="29">
        <v>1</v>
      </c>
      <c r="AB44" s="29">
        <v>2</v>
      </c>
      <c r="AC44" s="28">
        <f t="shared" si="4"/>
        <v>340</v>
      </c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</row>
    <row r="45" spans="1:41">
      <c r="A45" s="24" t="s">
        <v>10</v>
      </c>
      <c r="B45" s="24" t="s">
        <v>50</v>
      </c>
      <c r="C45" s="24" t="s">
        <v>12</v>
      </c>
      <c r="D45" s="24" t="s">
        <v>13</v>
      </c>
      <c r="E45" s="25">
        <v>170</v>
      </c>
      <c r="F45" s="24"/>
      <c r="G45" s="26">
        <v>1</v>
      </c>
      <c r="H45" s="26">
        <v>0</v>
      </c>
      <c r="I45" s="25">
        <f t="shared" si="0"/>
        <v>0</v>
      </c>
      <c r="J45" s="25">
        <v>170</v>
      </c>
      <c r="K45" s="24"/>
      <c r="L45" s="26">
        <v>1</v>
      </c>
      <c r="M45" s="26">
        <v>0</v>
      </c>
      <c r="N45" s="25">
        <f t="shared" si="1"/>
        <v>0</v>
      </c>
      <c r="O45" s="25">
        <v>170</v>
      </c>
      <c r="P45" s="24"/>
      <c r="Q45" s="26">
        <v>1</v>
      </c>
      <c r="R45" s="26">
        <v>0</v>
      </c>
      <c r="S45" s="25">
        <f t="shared" si="2"/>
        <v>0</v>
      </c>
      <c r="T45" s="25">
        <v>170</v>
      </c>
      <c r="U45" s="24"/>
      <c r="V45" s="26">
        <v>1</v>
      </c>
      <c r="W45" s="26">
        <v>0</v>
      </c>
      <c r="X45" s="25">
        <f t="shared" si="3"/>
        <v>0</v>
      </c>
      <c r="Y45" s="25">
        <v>170</v>
      </c>
      <c r="Z45" s="26">
        <v>1</v>
      </c>
      <c r="AA45" s="26">
        <v>1</v>
      </c>
      <c r="AB45" s="26">
        <v>1</v>
      </c>
      <c r="AC45" s="25">
        <f t="shared" si="4"/>
        <v>170</v>
      </c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</row>
    <row r="46" spans="1:41">
      <c r="A46" s="24" t="s">
        <v>10</v>
      </c>
      <c r="B46" s="24" t="s">
        <v>51</v>
      </c>
      <c r="C46" s="24" t="s">
        <v>12</v>
      </c>
      <c r="D46" s="24" t="s">
        <v>13</v>
      </c>
      <c r="E46" s="25">
        <v>170</v>
      </c>
      <c r="F46" s="24"/>
      <c r="G46" s="26">
        <v>1</v>
      </c>
      <c r="H46" s="26">
        <v>0</v>
      </c>
      <c r="I46" s="25">
        <f t="shared" si="0"/>
        <v>0</v>
      </c>
      <c r="J46" s="25">
        <v>170</v>
      </c>
      <c r="K46" s="24"/>
      <c r="L46" s="26">
        <v>1</v>
      </c>
      <c r="M46" s="26">
        <v>0</v>
      </c>
      <c r="N46" s="25">
        <f t="shared" si="1"/>
        <v>0</v>
      </c>
      <c r="O46" s="25">
        <v>170</v>
      </c>
      <c r="P46" s="24"/>
      <c r="Q46" s="26">
        <v>1</v>
      </c>
      <c r="R46" s="26">
        <v>0</v>
      </c>
      <c r="S46" s="25">
        <f t="shared" si="2"/>
        <v>0</v>
      </c>
      <c r="T46" s="25">
        <v>170</v>
      </c>
      <c r="U46" s="24"/>
      <c r="V46" s="26">
        <v>1</v>
      </c>
      <c r="W46" s="26">
        <v>0</v>
      </c>
      <c r="X46" s="25">
        <f t="shared" si="3"/>
        <v>0</v>
      </c>
      <c r="Y46" s="25">
        <v>170</v>
      </c>
      <c r="Z46" s="26">
        <v>1</v>
      </c>
      <c r="AA46" s="26">
        <v>1</v>
      </c>
      <c r="AB46" s="26">
        <v>1</v>
      </c>
      <c r="AC46" s="25">
        <f t="shared" si="4"/>
        <v>170</v>
      </c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</row>
    <row r="47" spans="1:41">
      <c r="A47" s="33" t="s">
        <v>52</v>
      </c>
      <c r="B47" s="33" t="s">
        <v>53</v>
      </c>
      <c r="C47" s="33" t="s">
        <v>54</v>
      </c>
      <c r="D47" s="33" t="s">
        <v>55</v>
      </c>
      <c r="E47" s="34">
        <v>140</v>
      </c>
      <c r="F47" s="33"/>
      <c r="G47" s="35">
        <v>3</v>
      </c>
      <c r="H47" s="35">
        <v>0</v>
      </c>
      <c r="I47" s="34">
        <f t="shared" si="0"/>
        <v>0</v>
      </c>
      <c r="J47" s="34">
        <v>140</v>
      </c>
      <c r="K47" s="35">
        <v>1</v>
      </c>
      <c r="L47" s="35">
        <v>3</v>
      </c>
      <c r="M47" s="35">
        <v>3</v>
      </c>
      <c r="N47" s="34">
        <f t="shared" si="1"/>
        <v>420</v>
      </c>
      <c r="O47" s="34">
        <v>140</v>
      </c>
      <c r="P47" s="33"/>
      <c r="Q47" s="35">
        <v>3</v>
      </c>
      <c r="R47" s="35">
        <v>0</v>
      </c>
      <c r="S47" s="34">
        <f t="shared" si="2"/>
        <v>0</v>
      </c>
      <c r="T47" s="34">
        <v>140</v>
      </c>
      <c r="U47" s="33"/>
      <c r="V47" s="35">
        <v>3</v>
      </c>
      <c r="W47" s="35">
        <v>0</v>
      </c>
      <c r="X47" s="34">
        <f t="shared" si="3"/>
        <v>0</v>
      </c>
      <c r="Y47" s="34">
        <v>135</v>
      </c>
      <c r="Z47" s="33"/>
      <c r="AA47" s="35">
        <v>3</v>
      </c>
      <c r="AB47" s="35">
        <v>0</v>
      </c>
      <c r="AC47" s="34">
        <f t="shared" si="4"/>
        <v>0</v>
      </c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</row>
    <row r="48" spans="1:41">
      <c r="A48" s="33" t="s">
        <v>52</v>
      </c>
      <c r="B48" s="33" t="s">
        <v>56</v>
      </c>
      <c r="C48" s="33" t="s">
        <v>54</v>
      </c>
      <c r="D48" s="33" t="s">
        <v>13</v>
      </c>
      <c r="E48" s="34">
        <v>140</v>
      </c>
      <c r="F48" s="33"/>
      <c r="G48" s="35">
        <v>1</v>
      </c>
      <c r="H48" s="35">
        <v>0</v>
      </c>
      <c r="I48" s="34">
        <f t="shared" si="0"/>
        <v>0</v>
      </c>
      <c r="J48" s="34">
        <v>140</v>
      </c>
      <c r="K48" s="35">
        <v>1</v>
      </c>
      <c r="L48" s="35">
        <v>1</v>
      </c>
      <c r="M48" s="35">
        <v>1</v>
      </c>
      <c r="N48" s="34">
        <f t="shared" si="1"/>
        <v>140</v>
      </c>
      <c r="O48" s="34">
        <v>140</v>
      </c>
      <c r="P48" s="33"/>
      <c r="Q48" s="35">
        <v>1</v>
      </c>
      <c r="R48" s="35">
        <v>0</v>
      </c>
      <c r="S48" s="34">
        <f t="shared" si="2"/>
        <v>0</v>
      </c>
      <c r="T48" s="34">
        <v>140</v>
      </c>
      <c r="U48" s="33"/>
      <c r="V48" s="35">
        <v>1</v>
      </c>
      <c r="W48" s="35">
        <v>0</v>
      </c>
      <c r="X48" s="34">
        <f t="shared" si="3"/>
        <v>0</v>
      </c>
      <c r="Y48" s="34">
        <v>135</v>
      </c>
      <c r="Z48" s="33"/>
      <c r="AA48" s="35">
        <v>1</v>
      </c>
      <c r="AB48" s="35">
        <v>0</v>
      </c>
      <c r="AC48" s="34">
        <f t="shared" si="4"/>
        <v>0</v>
      </c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1:41">
      <c r="A49" s="33" t="s">
        <v>52</v>
      </c>
      <c r="B49" s="33" t="s">
        <v>57</v>
      </c>
      <c r="C49" s="33" t="s">
        <v>54</v>
      </c>
      <c r="D49" s="33" t="s">
        <v>13</v>
      </c>
      <c r="E49" s="34">
        <v>140</v>
      </c>
      <c r="F49" s="33"/>
      <c r="G49" s="35">
        <v>1</v>
      </c>
      <c r="H49" s="35">
        <v>0</v>
      </c>
      <c r="I49" s="34">
        <f t="shared" si="0"/>
        <v>0</v>
      </c>
      <c r="J49" s="34">
        <v>140</v>
      </c>
      <c r="K49" s="35">
        <v>2</v>
      </c>
      <c r="L49" s="35">
        <v>1</v>
      </c>
      <c r="M49" s="35">
        <v>2</v>
      </c>
      <c r="N49" s="34">
        <f t="shared" si="1"/>
        <v>280</v>
      </c>
      <c r="O49" s="34">
        <v>140</v>
      </c>
      <c r="P49" s="33"/>
      <c r="Q49" s="35">
        <v>1</v>
      </c>
      <c r="R49" s="35">
        <v>0</v>
      </c>
      <c r="S49" s="34">
        <f t="shared" si="2"/>
        <v>0</v>
      </c>
      <c r="T49" s="34">
        <v>140</v>
      </c>
      <c r="U49" s="33"/>
      <c r="V49" s="35">
        <v>1</v>
      </c>
      <c r="W49" s="35">
        <v>0</v>
      </c>
      <c r="X49" s="34">
        <f t="shared" si="3"/>
        <v>0</v>
      </c>
      <c r="Y49" s="34">
        <v>135</v>
      </c>
      <c r="Z49" s="33"/>
      <c r="AA49" s="35">
        <v>1</v>
      </c>
      <c r="AB49" s="35">
        <v>0</v>
      </c>
      <c r="AC49" s="34">
        <f t="shared" si="4"/>
        <v>0</v>
      </c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</row>
    <row r="50" spans="1:41">
      <c r="A50" s="33" t="s">
        <v>52</v>
      </c>
      <c r="B50" s="33" t="s">
        <v>58</v>
      </c>
      <c r="C50" s="33" t="s">
        <v>54</v>
      </c>
      <c r="D50" s="33" t="s">
        <v>13</v>
      </c>
      <c r="E50" s="34">
        <v>140</v>
      </c>
      <c r="F50" s="33"/>
      <c r="G50" s="35">
        <v>1</v>
      </c>
      <c r="H50" s="35">
        <v>0</v>
      </c>
      <c r="I50" s="34">
        <f t="shared" si="0"/>
        <v>0</v>
      </c>
      <c r="J50" s="34">
        <v>140</v>
      </c>
      <c r="K50" s="35">
        <v>1</v>
      </c>
      <c r="L50" s="35">
        <v>1</v>
      </c>
      <c r="M50" s="35">
        <v>1</v>
      </c>
      <c r="N50" s="34">
        <f t="shared" si="1"/>
        <v>140</v>
      </c>
      <c r="O50" s="34">
        <v>140</v>
      </c>
      <c r="P50" s="33"/>
      <c r="Q50" s="35">
        <v>1</v>
      </c>
      <c r="R50" s="35">
        <v>0</v>
      </c>
      <c r="S50" s="34">
        <f t="shared" si="2"/>
        <v>0</v>
      </c>
      <c r="T50" s="34">
        <v>140</v>
      </c>
      <c r="U50" s="33"/>
      <c r="V50" s="35">
        <v>1</v>
      </c>
      <c r="W50" s="35">
        <v>0</v>
      </c>
      <c r="X50" s="34">
        <f t="shared" si="3"/>
        <v>0</v>
      </c>
      <c r="Y50" s="34">
        <v>135</v>
      </c>
      <c r="Z50" s="33"/>
      <c r="AA50" s="35">
        <v>1</v>
      </c>
      <c r="AB50" s="35">
        <v>0</v>
      </c>
      <c r="AC50" s="34">
        <f t="shared" si="4"/>
        <v>0</v>
      </c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</row>
    <row r="51" spans="1:41">
      <c r="A51" s="33" t="s">
        <v>52</v>
      </c>
      <c r="B51" s="33" t="s">
        <v>59</v>
      </c>
      <c r="C51" s="33" t="s">
        <v>54</v>
      </c>
      <c r="D51" s="33" t="s">
        <v>13</v>
      </c>
      <c r="E51" s="34">
        <v>140</v>
      </c>
      <c r="F51" s="33"/>
      <c r="G51" s="35">
        <v>1</v>
      </c>
      <c r="H51" s="35">
        <v>0</v>
      </c>
      <c r="I51" s="34">
        <f t="shared" si="0"/>
        <v>0</v>
      </c>
      <c r="J51" s="34">
        <v>140</v>
      </c>
      <c r="K51" s="33"/>
      <c r="L51" s="35">
        <v>1</v>
      </c>
      <c r="M51" s="35">
        <v>0</v>
      </c>
      <c r="N51" s="34">
        <f t="shared" si="1"/>
        <v>0</v>
      </c>
      <c r="O51" s="34">
        <v>140</v>
      </c>
      <c r="P51" s="33"/>
      <c r="Q51" s="35">
        <v>1</v>
      </c>
      <c r="R51" s="35">
        <v>0</v>
      </c>
      <c r="S51" s="34">
        <f t="shared" si="2"/>
        <v>0</v>
      </c>
      <c r="T51" s="34">
        <v>140</v>
      </c>
      <c r="U51" s="33"/>
      <c r="V51" s="35">
        <v>1</v>
      </c>
      <c r="W51" s="35">
        <v>0</v>
      </c>
      <c r="X51" s="34">
        <f t="shared" si="3"/>
        <v>0</v>
      </c>
      <c r="Y51" s="34">
        <v>135</v>
      </c>
      <c r="Z51" s="35">
        <v>1</v>
      </c>
      <c r="AA51" s="35">
        <v>1</v>
      </c>
      <c r="AB51" s="35">
        <v>1</v>
      </c>
      <c r="AC51" s="34">
        <f t="shared" si="4"/>
        <v>135</v>
      </c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</row>
    <row r="52" spans="1:41">
      <c r="A52" s="33" t="s">
        <v>52</v>
      </c>
      <c r="B52" s="33" t="s">
        <v>60</v>
      </c>
      <c r="C52" s="33" t="s">
        <v>54</v>
      </c>
      <c r="D52" s="33" t="s">
        <v>13</v>
      </c>
      <c r="E52" s="34">
        <v>140</v>
      </c>
      <c r="F52" s="33"/>
      <c r="G52" s="35">
        <v>1</v>
      </c>
      <c r="H52" s="35">
        <v>0</v>
      </c>
      <c r="I52" s="34">
        <f t="shared" si="0"/>
        <v>0</v>
      </c>
      <c r="J52" s="34">
        <v>140</v>
      </c>
      <c r="K52" s="33"/>
      <c r="L52" s="35">
        <v>1</v>
      </c>
      <c r="M52" s="35">
        <v>0</v>
      </c>
      <c r="N52" s="34">
        <f t="shared" si="1"/>
        <v>0</v>
      </c>
      <c r="O52" s="34">
        <v>140</v>
      </c>
      <c r="P52" s="33"/>
      <c r="Q52" s="35">
        <v>1</v>
      </c>
      <c r="R52" s="35">
        <v>0</v>
      </c>
      <c r="S52" s="34">
        <f t="shared" si="2"/>
        <v>0</v>
      </c>
      <c r="T52" s="34">
        <v>140</v>
      </c>
      <c r="U52" s="33"/>
      <c r="V52" s="35">
        <v>1</v>
      </c>
      <c r="W52" s="35">
        <v>0</v>
      </c>
      <c r="X52" s="34">
        <f t="shared" si="3"/>
        <v>0</v>
      </c>
      <c r="Y52" s="34">
        <v>135</v>
      </c>
      <c r="Z52" s="35">
        <v>1</v>
      </c>
      <c r="AA52" s="35">
        <v>1</v>
      </c>
      <c r="AB52" s="35">
        <v>1</v>
      </c>
      <c r="AC52" s="34">
        <f t="shared" si="4"/>
        <v>135</v>
      </c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</row>
    <row r="53" spans="1:41">
      <c r="A53" s="33" t="s">
        <v>52</v>
      </c>
      <c r="B53" s="33" t="s">
        <v>61</v>
      </c>
      <c r="C53" s="33" t="s">
        <v>54</v>
      </c>
      <c r="D53" s="33" t="s">
        <v>29</v>
      </c>
      <c r="E53" s="34">
        <v>140</v>
      </c>
      <c r="F53" s="33"/>
      <c r="G53" s="35">
        <v>2</v>
      </c>
      <c r="H53" s="35">
        <v>0</v>
      </c>
      <c r="I53" s="34">
        <f t="shared" si="0"/>
        <v>0</v>
      </c>
      <c r="J53" s="34">
        <v>140</v>
      </c>
      <c r="K53" s="33"/>
      <c r="L53" s="35">
        <v>2</v>
      </c>
      <c r="M53" s="35">
        <v>0</v>
      </c>
      <c r="N53" s="34">
        <f t="shared" si="1"/>
        <v>0</v>
      </c>
      <c r="O53" s="34">
        <v>140</v>
      </c>
      <c r="P53" s="35">
        <v>2</v>
      </c>
      <c r="Q53" s="35">
        <v>2</v>
      </c>
      <c r="R53" s="35">
        <v>4</v>
      </c>
      <c r="S53" s="34">
        <f t="shared" si="2"/>
        <v>560</v>
      </c>
      <c r="T53" s="34">
        <v>140</v>
      </c>
      <c r="U53" s="33"/>
      <c r="V53" s="35">
        <v>2</v>
      </c>
      <c r="W53" s="35">
        <v>0</v>
      </c>
      <c r="X53" s="34">
        <f t="shared" si="3"/>
        <v>0</v>
      </c>
      <c r="Y53" s="34">
        <v>135</v>
      </c>
      <c r="Z53" s="33"/>
      <c r="AA53" s="35">
        <v>2</v>
      </c>
      <c r="AB53" s="35">
        <v>0</v>
      </c>
      <c r="AC53" s="34">
        <f t="shared" si="4"/>
        <v>0</v>
      </c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</row>
    <row r="54" spans="1:41">
      <c r="A54" s="33" t="s">
        <v>52</v>
      </c>
      <c r="B54" s="33" t="s">
        <v>62</v>
      </c>
      <c r="C54" s="33" t="s">
        <v>54</v>
      </c>
      <c r="D54" s="33" t="s">
        <v>29</v>
      </c>
      <c r="E54" s="34">
        <v>140</v>
      </c>
      <c r="F54" s="33"/>
      <c r="G54" s="35">
        <v>2</v>
      </c>
      <c r="H54" s="35">
        <v>0</v>
      </c>
      <c r="I54" s="34">
        <f t="shared" si="0"/>
        <v>0</v>
      </c>
      <c r="J54" s="34">
        <v>140</v>
      </c>
      <c r="K54" s="33"/>
      <c r="L54" s="35">
        <v>2</v>
      </c>
      <c r="M54" s="35">
        <v>0</v>
      </c>
      <c r="N54" s="34">
        <f t="shared" si="1"/>
        <v>0</v>
      </c>
      <c r="O54" s="34">
        <v>140</v>
      </c>
      <c r="P54" s="33"/>
      <c r="Q54" s="35">
        <v>2</v>
      </c>
      <c r="R54" s="35">
        <v>0</v>
      </c>
      <c r="S54" s="34">
        <f t="shared" si="2"/>
        <v>0</v>
      </c>
      <c r="T54" s="34">
        <v>140</v>
      </c>
      <c r="U54" s="33"/>
      <c r="V54" s="35">
        <v>2</v>
      </c>
      <c r="W54" s="35">
        <v>0</v>
      </c>
      <c r="X54" s="34">
        <f t="shared" si="3"/>
        <v>0</v>
      </c>
      <c r="Y54" s="34">
        <v>135</v>
      </c>
      <c r="Z54" s="35">
        <v>1</v>
      </c>
      <c r="AA54" s="35">
        <v>2</v>
      </c>
      <c r="AB54" s="35">
        <v>2</v>
      </c>
      <c r="AC54" s="34">
        <f t="shared" si="4"/>
        <v>270</v>
      </c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</row>
    <row r="55" spans="1:41">
      <c r="A55" s="33" t="s">
        <v>52</v>
      </c>
      <c r="B55" s="33" t="s">
        <v>63</v>
      </c>
      <c r="C55" s="33" t="s">
        <v>54</v>
      </c>
      <c r="D55" s="33" t="s">
        <v>13</v>
      </c>
      <c r="E55" s="34">
        <v>140</v>
      </c>
      <c r="F55" s="33"/>
      <c r="G55" s="35">
        <v>1</v>
      </c>
      <c r="H55" s="35">
        <v>0</v>
      </c>
      <c r="I55" s="34">
        <f t="shared" si="0"/>
        <v>0</v>
      </c>
      <c r="J55" s="34">
        <v>140</v>
      </c>
      <c r="K55" s="35">
        <v>1</v>
      </c>
      <c r="L55" s="35">
        <v>1</v>
      </c>
      <c r="M55" s="35">
        <v>1</v>
      </c>
      <c r="N55" s="34">
        <f t="shared" si="1"/>
        <v>140</v>
      </c>
      <c r="O55" s="34">
        <v>140</v>
      </c>
      <c r="P55" s="33"/>
      <c r="Q55" s="35">
        <v>1</v>
      </c>
      <c r="R55" s="35">
        <v>0</v>
      </c>
      <c r="S55" s="34">
        <f t="shared" si="2"/>
        <v>0</v>
      </c>
      <c r="T55" s="34">
        <v>140</v>
      </c>
      <c r="U55" s="33"/>
      <c r="V55" s="35">
        <v>1</v>
      </c>
      <c r="W55" s="35">
        <v>0</v>
      </c>
      <c r="X55" s="34">
        <f t="shared" si="3"/>
        <v>0</v>
      </c>
      <c r="Y55" s="34">
        <v>135</v>
      </c>
      <c r="Z55" s="33"/>
      <c r="AA55" s="35">
        <v>1</v>
      </c>
      <c r="AB55" s="35">
        <v>0</v>
      </c>
      <c r="AC55" s="34">
        <f t="shared" si="4"/>
        <v>0</v>
      </c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1:41">
      <c r="A56" s="33" t="s">
        <v>52</v>
      </c>
      <c r="B56" s="33" t="s">
        <v>64</v>
      </c>
      <c r="C56" s="33" t="s">
        <v>54</v>
      </c>
      <c r="D56" s="33" t="s">
        <v>13</v>
      </c>
      <c r="E56" s="34">
        <v>140</v>
      </c>
      <c r="F56" s="33"/>
      <c r="G56" s="35">
        <v>1</v>
      </c>
      <c r="H56" s="35">
        <v>0</v>
      </c>
      <c r="I56" s="34">
        <f t="shared" si="0"/>
        <v>0</v>
      </c>
      <c r="J56" s="34">
        <v>140</v>
      </c>
      <c r="K56" s="35">
        <v>1</v>
      </c>
      <c r="L56" s="35">
        <v>1</v>
      </c>
      <c r="M56" s="35">
        <v>1</v>
      </c>
      <c r="N56" s="34">
        <f t="shared" si="1"/>
        <v>140</v>
      </c>
      <c r="O56" s="34">
        <v>140</v>
      </c>
      <c r="P56" s="33"/>
      <c r="Q56" s="35">
        <v>1</v>
      </c>
      <c r="R56" s="35">
        <v>0</v>
      </c>
      <c r="S56" s="34">
        <f t="shared" si="2"/>
        <v>0</v>
      </c>
      <c r="T56" s="34">
        <v>140</v>
      </c>
      <c r="U56" s="33"/>
      <c r="V56" s="35">
        <v>1</v>
      </c>
      <c r="W56" s="35">
        <v>0</v>
      </c>
      <c r="X56" s="34">
        <f t="shared" si="3"/>
        <v>0</v>
      </c>
      <c r="Y56" s="34">
        <v>135</v>
      </c>
      <c r="Z56" s="33"/>
      <c r="AA56" s="35">
        <v>1</v>
      </c>
      <c r="AB56" s="35">
        <v>0</v>
      </c>
      <c r="AC56" s="34">
        <f t="shared" si="4"/>
        <v>0</v>
      </c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</row>
    <row r="57" spans="1:41">
      <c r="A57" s="33" t="s">
        <v>52</v>
      </c>
      <c r="B57" s="33" t="s">
        <v>65</v>
      </c>
      <c r="C57" s="33" t="s">
        <v>54</v>
      </c>
      <c r="D57" s="33" t="s">
        <v>13</v>
      </c>
      <c r="E57" s="34">
        <v>140</v>
      </c>
      <c r="F57" s="33"/>
      <c r="G57" s="35">
        <v>1</v>
      </c>
      <c r="H57" s="35">
        <v>0</v>
      </c>
      <c r="I57" s="34">
        <f t="shared" si="0"/>
        <v>0</v>
      </c>
      <c r="J57" s="34">
        <v>140</v>
      </c>
      <c r="K57" s="35">
        <v>1</v>
      </c>
      <c r="L57" s="35">
        <v>1</v>
      </c>
      <c r="M57" s="35">
        <v>1</v>
      </c>
      <c r="N57" s="34">
        <f t="shared" si="1"/>
        <v>140</v>
      </c>
      <c r="O57" s="34">
        <v>140</v>
      </c>
      <c r="P57" s="33"/>
      <c r="Q57" s="35">
        <v>1</v>
      </c>
      <c r="R57" s="35">
        <v>0</v>
      </c>
      <c r="S57" s="34">
        <f t="shared" si="2"/>
        <v>0</v>
      </c>
      <c r="T57" s="34">
        <v>140</v>
      </c>
      <c r="U57" s="33"/>
      <c r="V57" s="35">
        <v>1</v>
      </c>
      <c r="W57" s="35">
        <v>0</v>
      </c>
      <c r="X57" s="34">
        <f t="shared" si="3"/>
        <v>0</v>
      </c>
      <c r="Y57" s="34">
        <v>135</v>
      </c>
      <c r="Z57" s="33"/>
      <c r="AA57" s="35">
        <v>1</v>
      </c>
      <c r="AB57" s="35">
        <v>0</v>
      </c>
      <c r="AC57" s="34">
        <f t="shared" si="4"/>
        <v>0</v>
      </c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</row>
    <row r="58" spans="1:41">
      <c r="A58" s="33" t="s">
        <v>52</v>
      </c>
      <c r="B58" s="33" t="s">
        <v>66</v>
      </c>
      <c r="C58" s="33" t="s">
        <v>54</v>
      </c>
      <c r="D58" s="33" t="s">
        <v>29</v>
      </c>
      <c r="E58" s="34">
        <v>140</v>
      </c>
      <c r="F58" s="35">
        <v>1</v>
      </c>
      <c r="G58" s="35">
        <v>2</v>
      </c>
      <c r="H58" s="35">
        <v>2</v>
      </c>
      <c r="I58" s="34">
        <f t="shared" si="0"/>
        <v>280</v>
      </c>
      <c r="J58" s="34">
        <v>140</v>
      </c>
      <c r="K58" s="33"/>
      <c r="L58" s="35">
        <v>2</v>
      </c>
      <c r="M58" s="35">
        <v>0</v>
      </c>
      <c r="N58" s="34">
        <f t="shared" si="1"/>
        <v>0</v>
      </c>
      <c r="O58" s="34">
        <v>140</v>
      </c>
      <c r="P58" s="33"/>
      <c r="Q58" s="35">
        <v>2</v>
      </c>
      <c r="R58" s="35">
        <v>0</v>
      </c>
      <c r="S58" s="34">
        <f t="shared" si="2"/>
        <v>0</v>
      </c>
      <c r="T58" s="34">
        <v>140</v>
      </c>
      <c r="U58" s="33"/>
      <c r="V58" s="35">
        <v>2</v>
      </c>
      <c r="W58" s="35">
        <v>0</v>
      </c>
      <c r="X58" s="34">
        <f t="shared" si="3"/>
        <v>0</v>
      </c>
      <c r="Y58" s="34">
        <v>135</v>
      </c>
      <c r="Z58" s="33"/>
      <c r="AA58" s="35">
        <v>2</v>
      </c>
      <c r="AB58" s="35">
        <v>0</v>
      </c>
      <c r="AC58" s="34">
        <f t="shared" si="4"/>
        <v>0</v>
      </c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</row>
    <row r="59" spans="1:41">
      <c r="A59" s="33" t="s">
        <v>52</v>
      </c>
      <c r="B59" s="33" t="s">
        <v>67</v>
      </c>
      <c r="C59" s="33" t="s">
        <v>54</v>
      </c>
      <c r="D59" s="33" t="s">
        <v>29</v>
      </c>
      <c r="E59" s="34">
        <v>140</v>
      </c>
      <c r="F59" s="33"/>
      <c r="G59" s="35">
        <v>2</v>
      </c>
      <c r="H59" s="35">
        <v>0</v>
      </c>
      <c r="I59" s="34">
        <f t="shared" si="0"/>
        <v>0</v>
      </c>
      <c r="J59" s="34">
        <v>140</v>
      </c>
      <c r="K59" s="33"/>
      <c r="L59" s="35">
        <v>2</v>
      </c>
      <c r="M59" s="35">
        <v>0</v>
      </c>
      <c r="N59" s="34">
        <f t="shared" si="1"/>
        <v>0</v>
      </c>
      <c r="O59" s="34">
        <v>140</v>
      </c>
      <c r="P59" s="33"/>
      <c r="Q59" s="35">
        <v>2</v>
      </c>
      <c r="R59" s="35">
        <v>0</v>
      </c>
      <c r="S59" s="34">
        <f t="shared" si="2"/>
        <v>0</v>
      </c>
      <c r="T59" s="34">
        <v>140</v>
      </c>
      <c r="U59" s="35">
        <v>1</v>
      </c>
      <c r="V59" s="35">
        <v>2</v>
      </c>
      <c r="W59" s="35">
        <v>2</v>
      </c>
      <c r="X59" s="34">
        <f t="shared" si="3"/>
        <v>280</v>
      </c>
      <c r="Y59" s="34">
        <v>135</v>
      </c>
      <c r="Z59" s="33"/>
      <c r="AA59" s="35">
        <v>2</v>
      </c>
      <c r="AB59" s="35">
        <v>0</v>
      </c>
      <c r="AC59" s="34">
        <f t="shared" si="4"/>
        <v>0</v>
      </c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</row>
    <row r="60" spans="1:41">
      <c r="A60" s="36" t="s">
        <v>52</v>
      </c>
      <c r="B60" s="36" t="s">
        <v>67</v>
      </c>
      <c r="C60" s="36" t="s">
        <v>68</v>
      </c>
      <c r="D60" s="36" t="s">
        <v>29</v>
      </c>
      <c r="E60" s="37">
        <v>120</v>
      </c>
      <c r="F60" s="36"/>
      <c r="G60" s="38">
        <v>2</v>
      </c>
      <c r="H60" s="38">
        <v>0</v>
      </c>
      <c r="I60" s="37">
        <f t="shared" si="0"/>
        <v>0</v>
      </c>
      <c r="J60" s="37">
        <v>120</v>
      </c>
      <c r="K60" s="36"/>
      <c r="L60" s="38">
        <v>2</v>
      </c>
      <c r="M60" s="38">
        <v>0</v>
      </c>
      <c r="N60" s="37">
        <f t="shared" si="1"/>
        <v>0</v>
      </c>
      <c r="O60" s="37">
        <v>120</v>
      </c>
      <c r="P60" s="36"/>
      <c r="Q60" s="38">
        <v>2</v>
      </c>
      <c r="R60" s="38">
        <v>0</v>
      </c>
      <c r="S60" s="37">
        <f t="shared" si="2"/>
        <v>0</v>
      </c>
      <c r="T60" s="37">
        <v>120</v>
      </c>
      <c r="U60" s="38">
        <v>1</v>
      </c>
      <c r="V60" s="38">
        <v>2</v>
      </c>
      <c r="W60" s="38">
        <v>2</v>
      </c>
      <c r="X60" s="37">
        <f t="shared" si="3"/>
        <v>240</v>
      </c>
      <c r="Y60" s="37">
        <v>110</v>
      </c>
      <c r="Z60" s="36"/>
      <c r="AA60" s="38">
        <v>2</v>
      </c>
      <c r="AB60" s="38">
        <v>0</v>
      </c>
      <c r="AC60" s="37">
        <f t="shared" si="4"/>
        <v>0</v>
      </c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</row>
    <row r="61" spans="1:41">
      <c r="A61" s="39" t="s">
        <v>52</v>
      </c>
      <c r="B61" s="39" t="s">
        <v>69</v>
      </c>
      <c r="C61" s="39" t="s">
        <v>70</v>
      </c>
      <c r="D61" s="39" t="s">
        <v>29</v>
      </c>
      <c r="E61" s="40">
        <v>140</v>
      </c>
      <c r="F61" s="39"/>
      <c r="G61" s="41">
        <v>2</v>
      </c>
      <c r="H61" s="41">
        <v>0</v>
      </c>
      <c r="I61" s="40">
        <f t="shared" si="0"/>
        <v>0</v>
      </c>
      <c r="J61" s="40">
        <v>140</v>
      </c>
      <c r="K61" s="41">
        <v>1</v>
      </c>
      <c r="L61" s="41">
        <v>2</v>
      </c>
      <c r="M61" s="41">
        <v>2</v>
      </c>
      <c r="N61" s="40">
        <f t="shared" si="1"/>
        <v>280</v>
      </c>
      <c r="O61" s="40">
        <v>120</v>
      </c>
      <c r="P61" s="39"/>
      <c r="Q61" s="41">
        <v>2</v>
      </c>
      <c r="R61" s="41">
        <v>0</v>
      </c>
      <c r="S61" s="40">
        <f t="shared" si="2"/>
        <v>0</v>
      </c>
      <c r="T61" s="40">
        <v>140</v>
      </c>
      <c r="U61" s="39"/>
      <c r="V61" s="41">
        <v>2</v>
      </c>
      <c r="W61" s="41">
        <v>0</v>
      </c>
      <c r="X61" s="40">
        <f t="shared" si="3"/>
        <v>0</v>
      </c>
      <c r="Y61" s="40">
        <v>140</v>
      </c>
      <c r="Z61" s="39"/>
      <c r="AA61" s="41">
        <v>2</v>
      </c>
      <c r="AB61" s="41">
        <v>0</v>
      </c>
      <c r="AC61" s="40">
        <f t="shared" si="4"/>
        <v>0</v>
      </c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</row>
    <row r="62" spans="1:41">
      <c r="A62" s="33" t="s">
        <v>52</v>
      </c>
      <c r="B62" s="33" t="s">
        <v>69</v>
      </c>
      <c r="C62" s="33" t="s">
        <v>68</v>
      </c>
      <c r="D62" s="33" t="s">
        <v>29</v>
      </c>
      <c r="E62" s="34">
        <v>140</v>
      </c>
      <c r="F62" s="33"/>
      <c r="G62" s="35">
        <v>2</v>
      </c>
      <c r="H62" s="35">
        <v>0</v>
      </c>
      <c r="I62" s="34">
        <f t="shared" si="0"/>
        <v>0</v>
      </c>
      <c r="J62" s="34">
        <v>140</v>
      </c>
      <c r="K62" s="35">
        <v>2</v>
      </c>
      <c r="L62" s="35">
        <v>2</v>
      </c>
      <c r="M62" s="35">
        <v>4</v>
      </c>
      <c r="N62" s="34">
        <f t="shared" si="1"/>
        <v>560</v>
      </c>
      <c r="O62" s="34">
        <v>140</v>
      </c>
      <c r="P62" s="33"/>
      <c r="Q62" s="35">
        <v>2</v>
      </c>
      <c r="R62" s="35">
        <v>0</v>
      </c>
      <c r="S62" s="34">
        <f t="shared" si="2"/>
        <v>0</v>
      </c>
      <c r="T62" s="34">
        <v>140</v>
      </c>
      <c r="U62" s="33"/>
      <c r="V62" s="35">
        <v>2</v>
      </c>
      <c r="W62" s="35">
        <v>0</v>
      </c>
      <c r="X62" s="34">
        <f t="shared" si="3"/>
        <v>0</v>
      </c>
      <c r="Y62" s="34">
        <v>135</v>
      </c>
      <c r="Z62" s="33"/>
      <c r="AA62" s="35">
        <v>2</v>
      </c>
      <c r="AB62" s="35">
        <v>0</v>
      </c>
      <c r="AC62" s="34">
        <f t="shared" si="4"/>
        <v>0</v>
      </c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</row>
    <row r="63" spans="1:41">
      <c r="A63" s="33" t="s">
        <v>52</v>
      </c>
      <c r="B63" s="33" t="s">
        <v>71</v>
      </c>
      <c r="C63" s="33" t="s">
        <v>54</v>
      </c>
      <c r="D63" s="33" t="s">
        <v>13</v>
      </c>
      <c r="E63" s="34">
        <v>140</v>
      </c>
      <c r="F63" s="33"/>
      <c r="G63" s="35">
        <v>1</v>
      </c>
      <c r="H63" s="35">
        <v>0</v>
      </c>
      <c r="I63" s="34">
        <f t="shared" si="0"/>
        <v>0</v>
      </c>
      <c r="J63" s="34">
        <v>140</v>
      </c>
      <c r="K63" s="33"/>
      <c r="L63" s="35">
        <v>1</v>
      </c>
      <c r="M63" s="35">
        <v>0</v>
      </c>
      <c r="N63" s="34">
        <f t="shared" si="1"/>
        <v>0</v>
      </c>
      <c r="O63" s="34">
        <v>140</v>
      </c>
      <c r="P63" s="33"/>
      <c r="Q63" s="35">
        <v>1</v>
      </c>
      <c r="R63" s="35">
        <v>0</v>
      </c>
      <c r="S63" s="34">
        <f t="shared" si="2"/>
        <v>0</v>
      </c>
      <c r="T63" s="34">
        <v>140</v>
      </c>
      <c r="U63" s="35">
        <v>1</v>
      </c>
      <c r="V63" s="35">
        <v>1</v>
      </c>
      <c r="W63" s="35">
        <v>1</v>
      </c>
      <c r="X63" s="34">
        <f t="shared" si="3"/>
        <v>140</v>
      </c>
      <c r="Y63" s="34">
        <v>135</v>
      </c>
      <c r="Z63" s="33"/>
      <c r="AA63" s="35">
        <v>1</v>
      </c>
      <c r="AB63" s="35">
        <v>0</v>
      </c>
      <c r="AC63" s="34">
        <f t="shared" si="4"/>
        <v>0</v>
      </c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</row>
    <row r="64" spans="1:41">
      <c r="A64" s="36" t="s">
        <v>52</v>
      </c>
      <c r="B64" s="36" t="s">
        <v>72</v>
      </c>
      <c r="C64" s="36" t="s">
        <v>68</v>
      </c>
      <c r="D64" s="36" t="s">
        <v>13</v>
      </c>
      <c r="E64" s="37">
        <v>120</v>
      </c>
      <c r="F64" s="36"/>
      <c r="G64" s="38">
        <v>1</v>
      </c>
      <c r="H64" s="38">
        <v>0</v>
      </c>
      <c r="I64" s="37">
        <f t="shared" si="0"/>
        <v>0</v>
      </c>
      <c r="J64" s="37">
        <v>120</v>
      </c>
      <c r="K64" s="38">
        <v>9</v>
      </c>
      <c r="L64" s="38">
        <v>1</v>
      </c>
      <c r="M64" s="38">
        <v>9</v>
      </c>
      <c r="N64" s="37">
        <f t="shared" si="1"/>
        <v>1080</v>
      </c>
      <c r="O64" s="37">
        <v>120</v>
      </c>
      <c r="P64" s="36"/>
      <c r="Q64" s="38">
        <v>1</v>
      </c>
      <c r="R64" s="38">
        <v>0</v>
      </c>
      <c r="S64" s="37">
        <f t="shared" si="2"/>
        <v>0</v>
      </c>
      <c r="T64" s="37">
        <v>120</v>
      </c>
      <c r="U64" s="36"/>
      <c r="V64" s="38">
        <v>1</v>
      </c>
      <c r="W64" s="38">
        <v>0</v>
      </c>
      <c r="X64" s="37">
        <f t="shared" si="3"/>
        <v>0</v>
      </c>
      <c r="Y64" s="37">
        <v>110</v>
      </c>
      <c r="Z64" s="36"/>
      <c r="AA64" s="38">
        <v>1</v>
      </c>
      <c r="AB64" s="38">
        <v>0</v>
      </c>
      <c r="AC64" s="37">
        <f t="shared" si="4"/>
        <v>0</v>
      </c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</row>
    <row r="65" spans="1:41">
      <c r="A65" s="36" t="s">
        <v>52</v>
      </c>
      <c r="B65" s="36" t="s">
        <v>72</v>
      </c>
      <c r="C65" s="36" t="s">
        <v>68</v>
      </c>
      <c r="D65" s="36" t="s">
        <v>29</v>
      </c>
      <c r="E65" s="37">
        <v>120</v>
      </c>
      <c r="F65" s="36"/>
      <c r="G65" s="38">
        <v>2</v>
      </c>
      <c r="H65" s="38">
        <v>0</v>
      </c>
      <c r="I65" s="37">
        <f t="shared" si="0"/>
        <v>0</v>
      </c>
      <c r="J65" s="37">
        <v>120</v>
      </c>
      <c r="K65" s="38">
        <v>1</v>
      </c>
      <c r="L65" s="38">
        <v>2</v>
      </c>
      <c r="M65" s="38">
        <v>2</v>
      </c>
      <c r="N65" s="37">
        <f t="shared" si="1"/>
        <v>240</v>
      </c>
      <c r="O65" s="37">
        <v>120</v>
      </c>
      <c r="P65" s="36"/>
      <c r="Q65" s="38">
        <v>2</v>
      </c>
      <c r="R65" s="38">
        <v>0</v>
      </c>
      <c r="S65" s="37">
        <f t="shared" si="2"/>
        <v>0</v>
      </c>
      <c r="T65" s="37">
        <v>120</v>
      </c>
      <c r="U65" s="36"/>
      <c r="V65" s="38">
        <v>2</v>
      </c>
      <c r="W65" s="38">
        <v>0</v>
      </c>
      <c r="X65" s="37">
        <f t="shared" si="3"/>
        <v>0</v>
      </c>
      <c r="Y65" s="37">
        <v>110</v>
      </c>
      <c r="Z65" s="36"/>
      <c r="AA65" s="38">
        <v>2</v>
      </c>
      <c r="AB65" s="38">
        <v>0</v>
      </c>
      <c r="AC65" s="37">
        <f t="shared" si="4"/>
        <v>0</v>
      </c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</row>
    <row r="66" spans="1:41">
      <c r="A66" s="24" t="s">
        <v>52</v>
      </c>
      <c r="B66" s="24" t="s">
        <v>73</v>
      </c>
      <c r="C66" s="24" t="s">
        <v>68</v>
      </c>
      <c r="D66" s="24" t="s">
        <v>13</v>
      </c>
      <c r="E66" s="25">
        <v>120</v>
      </c>
      <c r="F66" s="24"/>
      <c r="G66" s="26">
        <v>1</v>
      </c>
      <c r="H66" s="26">
        <v>0</v>
      </c>
      <c r="I66" s="25">
        <f t="shared" si="0"/>
        <v>0</v>
      </c>
      <c r="J66" s="25">
        <v>120</v>
      </c>
      <c r="K66" s="26">
        <v>1</v>
      </c>
      <c r="L66" s="26">
        <v>1</v>
      </c>
      <c r="M66" s="26">
        <v>1</v>
      </c>
      <c r="N66" s="25">
        <f t="shared" si="1"/>
        <v>120</v>
      </c>
      <c r="O66" s="25">
        <v>120</v>
      </c>
      <c r="P66" s="24"/>
      <c r="Q66" s="26">
        <v>1</v>
      </c>
      <c r="R66" s="26">
        <v>0</v>
      </c>
      <c r="S66" s="25">
        <f t="shared" si="2"/>
        <v>0</v>
      </c>
      <c r="T66" s="25">
        <v>120</v>
      </c>
      <c r="U66" s="24"/>
      <c r="V66" s="26">
        <v>1</v>
      </c>
      <c r="W66" s="26">
        <v>0</v>
      </c>
      <c r="X66" s="25">
        <f t="shared" si="3"/>
        <v>0</v>
      </c>
      <c r="Y66" s="25">
        <v>110</v>
      </c>
      <c r="Z66" s="24"/>
      <c r="AA66" s="26">
        <v>1</v>
      </c>
      <c r="AB66" s="26">
        <v>0</v>
      </c>
      <c r="AC66" s="25">
        <f t="shared" si="4"/>
        <v>0</v>
      </c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</row>
    <row r="67" spans="1:41">
      <c r="A67" s="24" t="s">
        <v>52</v>
      </c>
      <c r="B67" s="24" t="s">
        <v>74</v>
      </c>
      <c r="C67" s="24" t="s">
        <v>68</v>
      </c>
      <c r="D67" s="24" t="s">
        <v>13</v>
      </c>
      <c r="E67" s="25">
        <v>120</v>
      </c>
      <c r="F67" s="24"/>
      <c r="G67" s="26">
        <v>1</v>
      </c>
      <c r="H67" s="26">
        <v>0</v>
      </c>
      <c r="I67" s="25">
        <f t="shared" ref="I67:I130" si="5">E67*H67</f>
        <v>0</v>
      </c>
      <c r="J67" s="25">
        <v>120</v>
      </c>
      <c r="K67" s="26">
        <v>2</v>
      </c>
      <c r="L67" s="26">
        <v>1</v>
      </c>
      <c r="M67" s="26">
        <v>2</v>
      </c>
      <c r="N67" s="25">
        <f t="shared" ref="N67:N130" si="6">J67*M67</f>
        <v>240</v>
      </c>
      <c r="O67" s="25">
        <v>120</v>
      </c>
      <c r="P67" s="24"/>
      <c r="Q67" s="26">
        <v>1</v>
      </c>
      <c r="R67" s="26">
        <v>0</v>
      </c>
      <c r="S67" s="25">
        <f t="shared" ref="S67:S130" si="7">O67*R67</f>
        <v>0</v>
      </c>
      <c r="T67" s="25">
        <v>120</v>
      </c>
      <c r="U67" s="24"/>
      <c r="V67" s="26">
        <v>1</v>
      </c>
      <c r="W67" s="26">
        <v>0</v>
      </c>
      <c r="X67" s="25">
        <f t="shared" ref="X67:X130" si="8">T67*W67</f>
        <v>0</v>
      </c>
      <c r="Y67" s="25">
        <v>110</v>
      </c>
      <c r="Z67" s="24"/>
      <c r="AA67" s="26">
        <v>1</v>
      </c>
      <c r="AB67" s="26">
        <v>0</v>
      </c>
      <c r="AC67" s="25">
        <f t="shared" ref="AC67:AC130" si="9">Y67*AB67</f>
        <v>0</v>
      </c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</row>
    <row r="68" spans="1:41">
      <c r="A68" s="24" t="s">
        <v>52</v>
      </c>
      <c r="B68" s="24" t="s">
        <v>75</v>
      </c>
      <c r="C68" s="24" t="s">
        <v>68</v>
      </c>
      <c r="D68" s="24" t="s">
        <v>13</v>
      </c>
      <c r="E68" s="25">
        <v>120</v>
      </c>
      <c r="F68" s="24"/>
      <c r="G68" s="26">
        <v>1</v>
      </c>
      <c r="H68" s="26">
        <v>0</v>
      </c>
      <c r="I68" s="25">
        <f t="shared" si="5"/>
        <v>0</v>
      </c>
      <c r="J68" s="25">
        <v>120</v>
      </c>
      <c r="K68" s="26">
        <v>1</v>
      </c>
      <c r="L68" s="26">
        <v>1</v>
      </c>
      <c r="M68" s="26">
        <v>1</v>
      </c>
      <c r="N68" s="25">
        <f t="shared" si="6"/>
        <v>120</v>
      </c>
      <c r="O68" s="25">
        <v>120</v>
      </c>
      <c r="P68" s="24"/>
      <c r="Q68" s="26">
        <v>1</v>
      </c>
      <c r="R68" s="26">
        <v>0</v>
      </c>
      <c r="S68" s="25">
        <f t="shared" si="7"/>
        <v>0</v>
      </c>
      <c r="T68" s="25">
        <v>120</v>
      </c>
      <c r="U68" s="24"/>
      <c r="V68" s="26">
        <v>1</v>
      </c>
      <c r="W68" s="26">
        <v>0</v>
      </c>
      <c r="X68" s="25">
        <f t="shared" si="8"/>
        <v>0</v>
      </c>
      <c r="Y68" s="25">
        <v>110</v>
      </c>
      <c r="Z68" s="24"/>
      <c r="AA68" s="26">
        <v>1</v>
      </c>
      <c r="AB68" s="26">
        <v>0</v>
      </c>
      <c r="AC68" s="25">
        <f t="shared" si="9"/>
        <v>0</v>
      </c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</row>
    <row r="69" spans="1:41">
      <c r="A69" s="24" t="s">
        <v>52</v>
      </c>
      <c r="B69" s="24" t="s">
        <v>76</v>
      </c>
      <c r="C69" s="24" t="s">
        <v>68</v>
      </c>
      <c r="D69" s="24" t="s">
        <v>13</v>
      </c>
      <c r="E69" s="25">
        <v>120</v>
      </c>
      <c r="F69" s="24"/>
      <c r="G69" s="26">
        <v>1</v>
      </c>
      <c r="H69" s="26">
        <v>0</v>
      </c>
      <c r="I69" s="25">
        <f t="shared" si="5"/>
        <v>0</v>
      </c>
      <c r="J69" s="25">
        <v>120</v>
      </c>
      <c r="K69" s="26">
        <v>1</v>
      </c>
      <c r="L69" s="26">
        <v>1</v>
      </c>
      <c r="M69" s="26">
        <v>1</v>
      </c>
      <c r="N69" s="25">
        <f t="shared" si="6"/>
        <v>120</v>
      </c>
      <c r="O69" s="25">
        <v>120</v>
      </c>
      <c r="P69" s="24"/>
      <c r="Q69" s="26">
        <v>1</v>
      </c>
      <c r="R69" s="26">
        <v>0</v>
      </c>
      <c r="S69" s="25">
        <f t="shared" si="7"/>
        <v>0</v>
      </c>
      <c r="T69" s="25">
        <v>120</v>
      </c>
      <c r="U69" s="24"/>
      <c r="V69" s="26">
        <v>1</v>
      </c>
      <c r="W69" s="26">
        <v>0</v>
      </c>
      <c r="X69" s="25">
        <f t="shared" si="8"/>
        <v>0</v>
      </c>
      <c r="Y69" s="25">
        <v>110</v>
      </c>
      <c r="Z69" s="24"/>
      <c r="AA69" s="26">
        <v>1</v>
      </c>
      <c r="AB69" s="26">
        <v>0</v>
      </c>
      <c r="AC69" s="25">
        <f t="shared" si="9"/>
        <v>0</v>
      </c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</row>
    <row r="70" spans="1:41">
      <c r="A70" s="36" t="s">
        <v>52</v>
      </c>
      <c r="B70" s="36" t="s">
        <v>77</v>
      </c>
      <c r="C70" s="36" t="s">
        <v>68</v>
      </c>
      <c r="D70" s="36" t="s">
        <v>13</v>
      </c>
      <c r="E70" s="37">
        <v>120</v>
      </c>
      <c r="F70" s="36"/>
      <c r="G70" s="38">
        <v>1</v>
      </c>
      <c r="H70" s="38">
        <v>0</v>
      </c>
      <c r="I70" s="37">
        <f t="shared" si="5"/>
        <v>0</v>
      </c>
      <c r="J70" s="37">
        <v>120</v>
      </c>
      <c r="K70" s="38">
        <v>1</v>
      </c>
      <c r="L70" s="38">
        <v>1</v>
      </c>
      <c r="M70" s="38">
        <v>1</v>
      </c>
      <c r="N70" s="37">
        <f t="shared" si="6"/>
        <v>120</v>
      </c>
      <c r="O70" s="37">
        <v>120</v>
      </c>
      <c r="P70" s="36"/>
      <c r="Q70" s="38">
        <v>1</v>
      </c>
      <c r="R70" s="38">
        <v>0</v>
      </c>
      <c r="S70" s="37">
        <f t="shared" si="7"/>
        <v>0</v>
      </c>
      <c r="T70" s="37">
        <v>120</v>
      </c>
      <c r="U70" s="36"/>
      <c r="V70" s="38">
        <v>1</v>
      </c>
      <c r="W70" s="38">
        <v>0</v>
      </c>
      <c r="X70" s="37">
        <f t="shared" si="8"/>
        <v>0</v>
      </c>
      <c r="Y70" s="37">
        <v>110</v>
      </c>
      <c r="Z70" s="36"/>
      <c r="AA70" s="38">
        <v>1</v>
      </c>
      <c r="AB70" s="38">
        <v>0</v>
      </c>
      <c r="AC70" s="37">
        <f t="shared" si="9"/>
        <v>0</v>
      </c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</row>
    <row r="71" spans="1:41">
      <c r="A71" s="36" t="s">
        <v>52</v>
      </c>
      <c r="B71" s="36" t="s">
        <v>78</v>
      </c>
      <c r="C71" s="36" t="s">
        <v>68</v>
      </c>
      <c r="D71" s="36" t="s">
        <v>13</v>
      </c>
      <c r="E71" s="37">
        <v>120</v>
      </c>
      <c r="F71" s="36"/>
      <c r="G71" s="38">
        <v>1</v>
      </c>
      <c r="H71" s="38">
        <v>0</v>
      </c>
      <c r="I71" s="37">
        <f t="shared" si="5"/>
        <v>0</v>
      </c>
      <c r="J71" s="37">
        <v>120</v>
      </c>
      <c r="K71" s="38">
        <v>1</v>
      </c>
      <c r="L71" s="38">
        <v>1</v>
      </c>
      <c r="M71" s="38">
        <v>1</v>
      </c>
      <c r="N71" s="37">
        <f t="shared" si="6"/>
        <v>120</v>
      </c>
      <c r="O71" s="37">
        <v>120</v>
      </c>
      <c r="P71" s="36"/>
      <c r="Q71" s="38">
        <v>1</v>
      </c>
      <c r="R71" s="38">
        <v>0</v>
      </c>
      <c r="S71" s="37">
        <f t="shared" si="7"/>
        <v>0</v>
      </c>
      <c r="T71" s="37">
        <v>120</v>
      </c>
      <c r="U71" s="36"/>
      <c r="V71" s="38">
        <v>1</v>
      </c>
      <c r="W71" s="38">
        <v>0</v>
      </c>
      <c r="X71" s="37">
        <f t="shared" si="8"/>
        <v>0</v>
      </c>
      <c r="Y71" s="37">
        <v>110</v>
      </c>
      <c r="Z71" s="36"/>
      <c r="AA71" s="38">
        <v>1</v>
      </c>
      <c r="AB71" s="38">
        <v>0</v>
      </c>
      <c r="AC71" s="37">
        <f t="shared" si="9"/>
        <v>0</v>
      </c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</row>
    <row r="72" spans="1:41">
      <c r="A72" s="33" t="s">
        <v>52</v>
      </c>
      <c r="B72" s="33" t="s">
        <v>79</v>
      </c>
      <c r="C72" s="33" t="s">
        <v>54</v>
      </c>
      <c r="D72" s="33" t="s">
        <v>13</v>
      </c>
      <c r="E72" s="34">
        <v>140</v>
      </c>
      <c r="F72" s="33"/>
      <c r="G72" s="35">
        <v>1</v>
      </c>
      <c r="H72" s="35">
        <v>0</v>
      </c>
      <c r="I72" s="34">
        <f t="shared" si="5"/>
        <v>0</v>
      </c>
      <c r="J72" s="34">
        <v>140</v>
      </c>
      <c r="K72" s="35">
        <v>1</v>
      </c>
      <c r="L72" s="35">
        <v>1</v>
      </c>
      <c r="M72" s="35">
        <v>1</v>
      </c>
      <c r="N72" s="34">
        <f t="shared" si="6"/>
        <v>140</v>
      </c>
      <c r="O72" s="34">
        <v>140</v>
      </c>
      <c r="P72" s="33"/>
      <c r="Q72" s="35">
        <v>1</v>
      </c>
      <c r="R72" s="35">
        <v>0</v>
      </c>
      <c r="S72" s="34">
        <f t="shared" si="7"/>
        <v>0</v>
      </c>
      <c r="T72" s="34">
        <v>140</v>
      </c>
      <c r="U72" s="33"/>
      <c r="V72" s="35">
        <v>1</v>
      </c>
      <c r="W72" s="35">
        <v>0</v>
      </c>
      <c r="X72" s="34">
        <f t="shared" si="8"/>
        <v>0</v>
      </c>
      <c r="Y72" s="34">
        <v>135</v>
      </c>
      <c r="Z72" s="33"/>
      <c r="AA72" s="35">
        <v>1</v>
      </c>
      <c r="AB72" s="35">
        <v>0</v>
      </c>
      <c r="AC72" s="34">
        <f t="shared" si="9"/>
        <v>0</v>
      </c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1:41">
      <c r="A73" s="24" t="s">
        <v>52</v>
      </c>
      <c r="B73" s="24" t="s">
        <v>80</v>
      </c>
      <c r="C73" s="24" t="s">
        <v>68</v>
      </c>
      <c r="D73" s="24" t="s">
        <v>13</v>
      </c>
      <c r="E73" s="25">
        <v>120</v>
      </c>
      <c r="F73" s="24"/>
      <c r="G73" s="26">
        <v>1</v>
      </c>
      <c r="H73" s="26">
        <v>0</v>
      </c>
      <c r="I73" s="25">
        <f t="shared" si="5"/>
        <v>0</v>
      </c>
      <c r="J73" s="25">
        <v>120</v>
      </c>
      <c r="K73" s="26">
        <v>1</v>
      </c>
      <c r="L73" s="26">
        <v>1</v>
      </c>
      <c r="M73" s="26">
        <v>1</v>
      </c>
      <c r="N73" s="25">
        <f t="shared" si="6"/>
        <v>120</v>
      </c>
      <c r="O73" s="25">
        <v>120</v>
      </c>
      <c r="P73" s="24"/>
      <c r="Q73" s="26">
        <v>1</v>
      </c>
      <c r="R73" s="26">
        <v>0</v>
      </c>
      <c r="S73" s="25">
        <f t="shared" si="7"/>
        <v>0</v>
      </c>
      <c r="T73" s="25">
        <v>120</v>
      </c>
      <c r="U73" s="24"/>
      <c r="V73" s="26">
        <v>1</v>
      </c>
      <c r="W73" s="26">
        <v>0</v>
      </c>
      <c r="X73" s="25">
        <f t="shared" si="8"/>
        <v>0</v>
      </c>
      <c r="Y73" s="25">
        <v>110</v>
      </c>
      <c r="Z73" s="24"/>
      <c r="AA73" s="26">
        <v>1</v>
      </c>
      <c r="AB73" s="26">
        <v>0</v>
      </c>
      <c r="AC73" s="25">
        <f t="shared" si="9"/>
        <v>0</v>
      </c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</row>
    <row r="74" spans="1:41">
      <c r="A74" s="24" t="s">
        <v>52</v>
      </c>
      <c r="B74" s="24" t="s">
        <v>81</v>
      </c>
      <c r="C74" s="24" t="s">
        <v>68</v>
      </c>
      <c r="D74" s="24" t="s">
        <v>13</v>
      </c>
      <c r="E74" s="25">
        <v>120</v>
      </c>
      <c r="F74" s="24"/>
      <c r="G74" s="26">
        <v>1</v>
      </c>
      <c r="H74" s="26">
        <v>0</v>
      </c>
      <c r="I74" s="25">
        <f t="shared" si="5"/>
        <v>0</v>
      </c>
      <c r="J74" s="25">
        <v>120</v>
      </c>
      <c r="K74" s="26">
        <v>3</v>
      </c>
      <c r="L74" s="26">
        <v>1</v>
      </c>
      <c r="M74" s="26">
        <v>3</v>
      </c>
      <c r="N74" s="25">
        <f t="shared" si="6"/>
        <v>360</v>
      </c>
      <c r="O74" s="25">
        <v>120</v>
      </c>
      <c r="P74" s="24"/>
      <c r="Q74" s="26">
        <v>1</v>
      </c>
      <c r="R74" s="26">
        <v>0</v>
      </c>
      <c r="S74" s="25">
        <f t="shared" si="7"/>
        <v>0</v>
      </c>
      <c r="T74" s="25">
        <v>120</v>
      </c>
      <c r="U74" s="24"/>
      <c r="V74" s="26">
        <v>1</v>
      </c>
      <c r="W74" s="26">
        <v>0</v>
      </c>
      <c r="X74" s="25">
        <f t="shared" si="8"/>
        <v>0</v>
      </c>
      <c r="Y74" s="25">
        <v>110</v>
      </c>
      <c r="Z74" s="24"/>
      <c r="AA74" s="26">
        <v>1</v>
      </c>
      <c r="AB74" s="26">
        <v>0</v>
      </c>
      <c r="AC74" s="25">
        <f t="shared" si="9"/>
        <v>0</v>
      </c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</row>
    <row r="75" spans="1:41">
      <c r="A75" s="24" t="s">
        <v>52</v>
      </c>
      <c r="B75" s="24" t="s">
        <v>82</v>
      </c>
      <c r="C75" s="24" t="s">
        <v>68</v>
      </c>
      <c r="D75" s="24" t="s">
        <v>13</v>
      </c>
      <c r="E75" s="25">
        <v>120</v>
      </c>
      <c r="F75" s="24"/>
      <c r="G75" s="26">
        <v>1</v>
      </c>
      <c r="H75" s="26">
        <v>0</v>
      </c>
      <c r="I75" s="25">
        <f t="shared" si="5"/>
        <v>0</v>
      </c>
      <c r="J75" s="25">
        <v>120</v>
      </c>
      <c r="K75" s="24"/>
      <c r="L75" s="26">
        <v>1</v>
      </c>
      <c r="M75" s="26">
        <v>0</v>
      </c>
      <c r="N75" s="25">
        <f t="shared" si="6"/>
        <v>0</v>
      </c>
      <c r="O75" s="25">
        <v>120</v>
      </c>
      <c r="P75" s="24"/>
      <c r="Q75" s="26">
        <v>1</v>
      </c>
      <c r="R75" s="26">
        <v>0</v>
      </c>
      <c r="S75" s="25">
        <f t="shared" si="7"/>
        <v>0</v>
      </c>
      <c r="T75" s="25">
        <v>120</v>
      </c>
      <c r="U75" s="24"/>
      <c r="V75" s="26">
        <v>1</v>
      </c>
      <c r="W75" s="26">
        <v>0</v>
      </c>
      <c r="X75" s="25">
        <f t="shared" si="8"/>
        <v>0</v>
      </c>
      <c r="Y75" s="25">
        <v>110</v>
      </c>
      <c r="Z75" s="26">
        <v>1</v>
      </c>
      <c r="AA75" s="26">
        <v>1</v>
      </c>
      <c r="AB75" s="26">
        <v>1</v>
      </c>
      <c r="AC75" s="25">
        <f t="shared" si="9"/>
        <v>110</v>
      </c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</row>
    <row r="76" spans="1:41">
      <c r="A76" s="33" t="s">
        <v>52</v>
      </c>
      <c r="B76" s="33" t="s">
        <v>83</v>
      </c>
      <c r="C76" s="33" t="s">
        <v>54</v>
      </c>
      <c r="D76" s="33" t="s">
        <v>13</v>
      </c>
      <c r="E76" s="34">
        <v>140</v>
      </c>
      <c r="F76" s="33"/>
      <c r="G76" s="35">
        <v>1</v>
      </c>
      <c r="H76" s="35">
        <v>0</v>
      </c>
      <c r="I76" s="34">
        <f t="shared" si="5"/>
        <v>0</v>
      </c>
      <c r="J76" s="34">
        <v>140</v>
      </c>
      <c r="K76" s="35">
        <v>1</v>
      </c>
      <c r="L76" s="35">
        <v>1</v>
      </c>
      <c r="M76" s="35">
        <v>1</v>
      </c>
      <c r="N76" s="34">
        <f t="shared" si="6"/>
        <v>140</v>
      </c>
      <c r="O76" s="34">
        <v>140</v>
      </c>
      <c r="P76" s="33"/>
      <c r="Q76" s="35">
        <v>1</v>
      </c>
      <c r="R76" s="35">
        <v>0</v>
      </c>
      <c r="S76" s="34">
        <f t="shared" si="7"/>
        <v>0</v>
      </c>
      <c r="T76" s="34">
        <v>140</v>
      </c>
      <c r="U76" s="33"/>
      <c r="V76" s="35">
        <v>1</v>
      </c>
      <c r="W76" s="35">
        <v>0</v>
      </c>
      <c r="X76" s="34">
        <f t="shared" si="8"/>
        <v>0</v>
      </c>
      <c r="Y76" s="34">
        <v>135</v>
      </c>
      <c r="Z76" s="33"/>
      <c r="AA76" s="35">
        <v>1</v>
      </c>
      <c r="AB76" s="35">
        <v>0</v>
      </c>
      <c r="AC76" s="34">
        <f t="shared" si="9"/>
        <v>0</v>
      </c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</row>
    <row r="77" spans="1:41">
      <c r="A77" s="33" t="s">
        <v>52</v>
      </c>
      <c r="B77" s="33" t="s">
        <v>84</v>
      </c>
      <c r="C77" s="33" t="s">
        <v>54</v>
      </c>
      <c r="D77" s="33" t="s">
        <v>13</v>
      </c>
      <c r="E77" s="34">
        <v>140</v>
      </c>
      <c r="F77" s="33"/>
      <c r="G77" s="35">
        <v>1</v>
      </c>
      <c r="H77" s="35">
        <v>0</v>
      </c>
      <c r="I77" s="34">
        <f t="shared" si="5"/>
        <v>0</v>
      </c>
      <c r="J77" s="34">
        <v>140</v>
      </c>
      <c r="K77" s="35">
        <v>1</v>
      </c>
      <c r="L77" s="35">
        <v>1</v>
      </c>
      <c r="M77" s="35">
        <v>1</v>
      </c>
      <c r="N77" s="34">
        <f t="shared" si="6"/>
        <v>140</v>
      </c>
      <c r="O77" s="34">
        <v>140</v>
      </c>
      <c r="P77" s="33"/>
      <c r="Q77" s="35">
        <v>1</v>
      </c>
      <c r="R77" s="35">
        <v>0</v>
      </c>
      <c r="S77" s="34">
        <f t="shared" si="7"/>
        <v>0</v>
      </c>
      <c r="T77" s="34">
        <v>140</v>
      </c>
      <c r="U77" s="33"/>
      <c r="V77" s="35">
        <v>1</v>
      </c>
      <c r="W77" s="35">
        <v>0</v>
      </c>
      <c r="X77" s="34">
        <f t="shared" si="8"/>
        <v>0</v>
      </c>
      <c r="Y77" s="34">
        <v>135</v>
      </c>
      <c r="Z77" s="33"/>
      <c r="AA77" s="35">
        <v>1</v>
      </c>
      <c r="AB77" s="35">
        <v>0</v>
      </c>
      <c r="AC77" s="34">
        <f t="shared" si="9"/>
        <v>0</v>
      </c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</row>
    <row r="78" spans="1:41">
      <c r="A78" s="36" t="s">
        <v>52</v>
      </c>
      <c r="B78" s="36" t="s">
        <v>85</v>
      </c>
      <c r="C78" s="36" t="s">
        <v>68</v>
      </c>
      <c r="D78" s="36" t="s">
        <v>13</v>
      </c>
      <c r="E78" s="37">
        <v>120</v>
      </c>
      <c r="F78" s="36"/>
      <c r="G78" s="38">
        <v>1</v>
      </c>
      <c r="H78" s="38">
        <v>0</v>
      </c>
      <c r="I78" s="37">
        <f t="shared" si="5"/>
        <v>0</v>
      </c>
      <c r="J78" s="37">
        <v>120</v>
      </c>
      <c r="K78" s="38">
        <v>5</v>
      </c>
      <c r="L78" s="38">
        <v>1</v>
      </c>
      <c r="M78" s="38">
        <v>5</v>
      </c>
      <c r="N78" s="37">
        <f t="shared" si="6"/>
        <v>600</v>
      </c>
      <c r="O78" s="37">
        <v>120</v>
      </c>
      <c r="P78" s="36"/>
      <c r="Q78" s="38">
        <v>1</v>
      </c>
      <c r="R78" s="38">
        <v>0</v>
      </c>
      <c r="S78" s="37">
        <f t="shared" si="7"/>
        <v>0</v>
      </c>
      <c r="T78" s="37">
        <v>120</v>
      </c>
      <c r="U78" s="36"/>
      <c r="V78" s="38">
        <v>1</v>
      </c>
      <c r="W78" s="38">
        <v>0</v>
      </c>
      <c r="X78" s="37">
        <f t="shared" si="8"/>
        <v>0</v>
      </c>
      <c r="Y78" s="37">
        <v>110</v>
      </c>
      <c r="Z78" s="36"/>
      <c r="AA78" s="38">
        <v>1</v>
      </c>
      <c r="AB78" s="38">
        <v>0</v>
      </c>
      <c r="AC78" s="37">
        <f t="shared" si="9"/>
        <v>0</v>
      </c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</row>
    <row r="79" spans="1:41">
      <c r="A79" s="36" t="s">
        <v>52</v>
      </c>
      <c r="B79" s="36" t="s">
        <v>86</v>
      </c>
      <c r="C79" s="36" t="s">
        <v>68</v>
      </c>
      <c r="D79" s="36" t="s">
        <v>13</v>
      </c>
      <c r="E79" s="37">
        <v>120</v>
      </c>
      <c r="F79" s="36"/>
      <c r="G79" s="38">
        <v>1</v>
      </c>
      <c r="H79" s="38">
        <v>0</v>
      </c>
      <c r="I79" s="37">
        <f t="shared" si="5"/>
        <v>0</v>
      </c>
      <c r="J79" s="37">
        <v>120</v>
      </c>
      <c r="K79" s="38">
        <v>8</v>
      </c>
      <c r="L79" s="38">
        <v>1</v>
      </c>
      <c r="M79" s="38">
        <v>8</v>
      </c>
      <c r="N79" s="37">
        <f t="shared" si="6"/>
        <v>960</v>
      </c>
      <c r="O79" s="37">
        <v>120</v>
      </c>
      <c r="P79" s="36"/>
      <c r="Q79" s="38">
        <v>1</v>
      </c>
      <c r="R79" s="38">
        <v>0</v>
      </c>
      <c r="S79" s="37">
        <f t="shared" si="7"/>
        <v>0</v>
      </c>
      <c r="T79" s="37">
        <v>120</v>
      </c>
      <c r="U79" s="36"/>
      <c r="V79" s="38">
        <v>1</v>
      </c>
      <c r="W79" s="38">
        <v>0</v>
      </c>
      <c r="X79" s="37">
        <f t="shared" si="8"/>
        <v>0</v>
      </c>
      <c r="Y79" s="37">
        <v>110</v>
      </c>
      <c r="Z79" s="36"/>
      <c r="AA79" s="38">
        <v>1</v>
      </c>
      <c r="AB79" s="38">
        <v>0</v>
      </c>
      <c r="AC79" s="37">
        <f t="shared" si="9"/>
        <v>0</v>
      </c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</row>
    <row r="80" spans="1:41">
      <c r="A80" s="24" t="s">
        <v>52</v>
      </c>
      <c r="B80" s="24" t="s">
        <v>87</v>
      </c>
      <c r="C80" s="24" t="s">
        <v>68</v>
      </c>
      <c r="D80" s="24" t="s">
        <v>13</v>
      </c>
      <c r="E80" s="25">
        <v>120</v>
      </c>
      <c r="F80" s="24"/>
      <c r="G80" s="26">
        <v>1</v>
      </c>
      <c r="H80" s="26">
        <v>0</v>
      </c>
      <c r="I80" s="25">
        <f t="shared" si="5"/>
        <v>0</v>
      </c>
      <c r="J80" s="25">
        <v>120</v>
      </c>
      <c r="K80" s="26">
        <v>2</v>
      </c>
      <c r="L80" s="26">
        <v>1</v>
      </c>
      <c r="M80" s="26">
        <v>2</v>
      </c>
      <c r="N80" s="25">
        <f t="shared" si="6"/>
        <v>240</v>
      </c>
      <c r="O80" s="25">
        <v>120</v>
      </c>
      <c r="P80" s="24"/>
      <c r="Q80" s="26">
        <v>1</v>
      </c>
      <c r="R80" s="26">
        <v>0</v>
      </c>
      <c r="S80" s="25">
        <f t="shared" si="7"/>
        <v>0</v>
      </c>
      <c r="T80" s="25">
        <v>120</v>
      </c>
      <c r="U80" s="24"/>
      <c r="V80" s="26">
        <v>1</v>
      </c>
      <c r="W80" s="26">
        <v>0</v>
      </c>
      <c r="X80" s="25">
        <f t="shared" si="8"/>
        <v>0</v>
      </c>
      <c r="Y80" s="25">
        <v>110</v>
      </c>
      <c r="Z80" s="24"/>
      <c r="AA80" s="26">
        <v>1</v>
      </c>
      <c r="AB80" s="26">
        <v>0</v>
      </c>
      <c r="AC80" s="25">
        <f t="shared" si="9"/>
        <v>0</v>
      </c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</row>
    <row r="81" spans="1:41">
      <c r="A81" s="24" t="s">
        <v>52</v>
      </c>
      <c r="B81" s="24" t="s">
        <v>88</v>
      </c>
      <c r="C81" s="24" t="s">
        <v>68</v>
      </c>
      <c r="D81" s="24" t="s">
        <v>29</v>
      </c>
      <c r="E81" s="25">
        <v>120</v>
      </c>
      <c r="F81" s="24"/>
      <c r="G81" s="26">
        <v>2</v>
      </c>
      <c r="H81" s="26">
        <v>0</v>
      </c>
      <c r="I81" s="25">
        <f t="shared" si="5"/>
        <v>0</v>
      </c>
      <c r="J81" s="25">
        <v>120</v>
      </c>
      <c r="K81" s="26">
        <v>1</v>
      </c>
      <c r="L81" s="26">
        <v>2</v>
      </c>
      <c r="M81" s="26">
        <v>2</v>
      </c>
      <c r="N81" s="25">
        <f t="shared" si="6"/>
        <v>240</v>
      </c>
      <c r="O81" s="25">
        <v>120</v>
      </c>
      <c r="P81" s="24"/>
      <c r="Q81" s="26">
        <v>2</v>
      </c>
      <c r="R81" s="26">
        <v>0</v>
      </c>
      <c r="S81" s="25">
        <f t="shared" si="7"/>
        <v>0</v>
      </c>
      <c r="T81" s="25">
        <v>120</v>
      </c>
      <c r="U81" s="24"/>
      <c r="V81" s="26">
        <v>2</v>
      </c>
      <c r="W81" s="26">
        <v>0</v>
      </c>
      <c r="X81" s="25">
        <f t="shared" si="8"/>
        <v>0</v>
      </c>
      <c r="Y81" s="25">
        <v>110</v>
      </c>
      <c r="Z81" s="24"/>
      <c r="AA81" s="26">
        <v>2</v>
      </c>
      <c r="AB81" s="26">
        <v>0</v>
      </c>
      <c r="AC81" s="25">
        <f t="shared" si="9"/>
        <v>0</v>
      </c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</row>
    <row r="82" spans="1:41">
      <c r="A82" s="24" t="s">
        <v>52</v>
      </c>
      <c r="B82" s="24" t="s">
        <v>89</v>
      </c>
      <c r="C82" s="24" t="s">
        <v>68</v>
      </c>
      <c r="D82" s="24" t="s">
        <v>29</v>
      </c>
      <c r="E82" s="25">
        <v>120</v>
      </c>
      <c r="F82" s="24"/>
      <c r="G82" s="26">
        <v>2</v>
      </c>
      <c r="H82" s="26">
        <v>0</v>
      </c>
      <c r="I82" s="25">
        <f t="shared" si="5"/>
        <v>0</v>
      </c>
      <c r="J82" s="25">
        <v>120</v>
      </c>
      <c r="K82" s="26">
        <v>2</v>
      </c>
      <c r="L82" s="26">
        <v>2</v>
      </c>
      <c r="M82" s="26">
        <v>4</v>
      </c>
      <c r="N82" s="25">
        <f t="shared" si="6"/>
        <v>480</v>
      </c>
      <c r="O82" s="25">
        <v>120</v>
      </c>
      <c r="P82" s="24"/>
      <c r="Q82" s="26">
        <v>2</v>
      </c>
      <c r="R82" s="26">
        <v>0</v>
      </c>
      <c r="S82" s="25">
        <f t="shared" si="7"/>
        <v>0</v>
      </c>
      <c r="T82" s="25">
        <v>120</v>
      </c>
      <c r="U82" s="26">
        <v>1</v>
      </c>
      <c r="V82" s="26">
        <v>2</v>
      </c>
      <c r="W82" s="26">
        <v>2</v>
      </c>
      <c r="X82" s="25">
        <f t="shared" si="8"/>
        <v>240</v>
      </c>
      <c r="Y82" s="25">
        <v>110</v>
      </c>
      <c r="Z82" s="24"/>
      <c r="AA82" s="26">
        <v>2</v>
      </c>
      <c r="AB82" s="26">
        <v>0</v>
      </c>
      <c r="AC82" s="25">
        <f t="shared" si="9"/>
        <v>0</v>
      </c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</row>
    <row r="83" spans="1:41">
      <c r="A83" s="24" t="s">
        <v>52</v>
      </c>
      <c r="B83" s="24" t="s">
        <v>90</v>
      </c>
      <c r="C83" s="24" t="s">
        <v>68</v>
      </c>
      <c r="D83" s="24" t="s">
        <v>13</v>
      </c>
      <c r="E83" s="25">
        <v>120</v>
      </c>
      <c r="F83" s="24"/>
      <c r="G83" s="26">
        <v>1</v>
      </c>
      <c r="H83" s="26">
        <v>0</v>
      </c>
      <c r="I83" s="25">
        <f t="shared" si="5"/>
        <v>0</v>
      </c>
      <c r="J83" s="25">
        <v>120</v>
      </c>
      <c r="K83" s="26">
        <v>2</v>
      </c>
      <c r="L83" s="26">
        <v>1</v>
      </c>
      <c r="M83" s="26">
        <v>2</v>
      </c>
      <c r="N83" s="25">
        <f t="shared" si="6"/>
        <v>240</v>
      </c>
      <c r="O83" s="25">
        <v>120</v>
      </c>
      <c r="P83" s="24"/>
      <c r="Q83" s="26">
        <v>1</v>
      </c>
      <c r="R83" s="26">
        <v>0</v>
      </c>
      <c r="S83" s="25">
        <f t="shared" si="7"/>
        <v>0</v>
      </c>
      <c r="T83" s="25">
        <v>120</v>
      </c>
      <c r="U83" s="24"/>
      <c r="V83" s="26">
        <v>1</v>
      </c>
      <c r="W83" s="26">
        <v>0</v>
      </c>
      <c r="X83" s="25">
        <f t="shared" si="8"/>
        <v>0</v>
      </c>
      <c r="Y83" s="25">
        <v>110</v>
      </c>
      <c r="Z83" s="24"/>
      <c r="AA83" s="26">
        <v>1</v>
      </c>
      <c r="AB83" s="26">
        <v>0</v>
      </c>
      <c r="AC83" s="25">
        <f t="shared" si="9"/>
        <v>0</v>
      </c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</row>
    <row r="84" spans="1:41">
      <c r="A84" s="24" t="s">
        <v>52</v>
      </c>
      <c r="B84" s="24" t="s">
        <v>91</v>
      </c>
      <c r="C84" s="24" t="s">
        <v>68</v>
      </c>
      <c r="D84" s="24" t="s">
        <v>13</v>
      </c>
      <c r="E84" s="25">
        <v>120</v>
      </c>
      <c r="F84" s="24"/>
      <c r="G84" s="26">
        <v>1</v>
      </c>
      <c r="H84" s="26">
        <v>0</v>
      </c>
      <c r="I84" s="25">
        <f t="shared" si="5"/>
        <v>0</v>
      </c>
      <c r="J84" s="25">
        <v>120</v>
      </c>
      <c r="K84" s="24"/>
      <c r="L84" s="26">
        <v>1</v>
      </c>
      <c r="M84" s="26">
        <v>0</v>
      </c>
      <c r="N84" s="25">
        <f t="shared" si="6"/>
        <v>0</v>
      </c>
      <c r="O84" s="25">
        <v>120</v>
      </c>
      <c r="P84" s="24"/>
      <c r="Q84" s="26">
        <v>1</v>
      </c>
      <c r="R84" s="26">
        <v>0</v>
      </c>
      <c r="S84" s="25">
        <f t="shared" si="7"/>
        <v>0</v>
      </c>
      <c r="T84" s="25">
        <v>120</v>
      </c>
      <c r="U84" s="26">
        <v>2</v>
      </c>
      <c r="V84" s="26">
        <v>1</v>
      </c>
      <c r="W84" s="26">
        <v>2</v>
      </c>
      <c r="X84" s="25">
        <f t="shared" si="8"/>
        <v>240</v>
      </c>
      <c r="Y84" s="25">
        <v>110</v>
      </c>
      <c r="Z84" s="24"/>
      <c r="AA84" s="26">
        <v>1</v>
      </c>
      <c r="AB84" s="26">
        <v>0</v>
      </c>
      <c r="AC84" s="25">
        <f t="shared" si="9"/>
        <v>0</v>
      </c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</row>
    <row r="85" spans="1:41">
      <c r="A85" s="39" t="s">
        <v>52</v>
      </c>
      <c r="B85" s="39" t="s">
        <v>92</v>
      </c>
      <c r="C85" s="39" t="s">
        <v>70</v>
      </c>
      <c r="D85" s="39" t="s">
        <v>55</v>
      </c>
      <c r="E85" s="40">
        <v>140</v>
      </c>
      <c r="F85" s="39"/>
      <c r="G85" s="41">
        <v>3</v>
      </c>
      <c r="H85" s="41">
        <v>0</v>
      </c>
      <c r="I85" s="40">
        <f t="shared" si="5"/>
        <v>0</v>
      </c>
      <c r="J85" s="40">
        <v>140</v>
      </c>
      <c r="K85" s="39"/>
      <c r="L85" s="41">
        <v>3</v>
      </c>
      <c r="M85" s="41">
        <v>0</v>
      </c>
      <c r="N85" s="40">
        <f t="shared" si="6"/>
        <v>0</v>
      </c>
      <c r="O85" s="40">
        <v>120</v>
      </c>
      <c r="P85" s="39"/>
      <c r="Q85" s="41">
        <v>3</v>
      </c>
      <c r="R85" s="41">
        <v>0</v>
      </c>
      <c r="S85" s="40">
        <f t="shared" si="7"/>
        <v>0</v>
      </c>
      <c r="T85" s="40">
        <v>140</v>
      </c>
      <c r="U85" s="41">
        <v>1</v>
      </c>
      <c r="V85" s="41">
        <v>3</v>
      </c>
      <c r="W85" s="41">
        <v>3</v>
      </c>
      <c r="X85" s="40">
        <f t="shared" si="8"/>
        <v>420</v>
      </c>
      <c r="Y85" s="40">
        <v>140</v>
      </c>
      <c r="Z85" s="39"/>
      <c r="AA85" s="41">
        <v>3</v>
      </c>
      <c r="AB85" s="41">
        <v>0</v>
      </c>
      <c r="AC85" s="40">
        <f t="shared" si="9"/>
        <v>0</v>
      </c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</row>
    <row r="86" spans="1:41">
      <c r="A86" s="36" t="s">
        <v>52</v>
      </c>
      <c r="B86" s="36" t="s">
        <v>93</v>
      </c>
      <c r="C86" s="36" t="s">
        <v>68</v>
      </c>
      <c r="D86" s="36" t="s">
        <v>13</v>
      </c>
      <c r="E86" s="37">
        <v>120</v>
      </c>
      <c r="F86" s="36"/>
      <c r="G86" s="38">
        <v>1</v>
      </c>
      <c r="H86" s="38">
        <v>0</v>
      </c>
      <c r="I86" s="37">
        <f t="shared" si="5"/>
        <v>0</v>
      </c>
      <c r="J86" s="37">
        <v>120</v>
      </c>
      <c r="K86" s="38">
        <v>1</v>
      </c>
      <c r="L86" s="38">
        <v>1</v>
      </c>
      <c r="M86" s="38">
        <v>1</v>
      </c>
      <c r="N86" s="37">
        <f t="shared" si="6"/>
        <v>120</v>
      </c>
      <c r="O86" s="37">
        <v>120</v>
      </c>
      <c r="P86" s="36"/>
      <c r="Q86" s="38">
        <v>1</v>
      </c>
      <c r="R86" s="38">
        <v>0</v>
      </c>
      <c r="S86" s="37">
        <f t="shared" si="7"/>
        <v>0</v>
      </c>
      <c r="T86" s="37">
        <v>120</v>
      </c>
      <c r="U86" s="36"/>
      <c r="V86" s="38">
        <v>1</v>
      </c>
      <c r="W86" s="38">
        <v>0</v>
      </c>
      <c r="X86" s="37">
        <f t="shared" si="8"/>
        <v>0</v>
      </c>
      <c r="Y86" s="37">
        <v>110</v>
      </c>
      <c r="Z86" s="36"/>
      <c r="AA86" s="38">
        <v>1</v>
      </c>
      <c r="AB86" s="38">
        <v>0</v>
      </c>
      <c r="AC86" s="37">
        <f t="shared" si="9"/>
        <v>0</v>
      </c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</row>
    <row r="87" spans="1:41">
      <c r="A87" s="24" t="s">
        <v>52</v>
      </c>
      <c r="B87" s="24" t="s">
        <v>94</v>
      </c>
      <c r="C87" s="24" t="s">
        <v>68</v>
      </c>
      <c r="D87" s="24" t="s">
        <v>13</v>
      </c>
      <c r="E87" s="25">
        <v>120</v>
      </c>
      <c r="F87" s="24"/>
      <c r="G87" s="26">
        <v>1</v>
      </c>
      <c r="H87" s="26">
        <v>0</v>
      </c>
      <c r="I87" s="25">
        <f t="shared" si="5"/>
        <v>0</v>
      </c>
      <c r="J87" s="25">
        <v>120</v>
      </c>
      <c r="K87" s="26">
        <v>2</v>
      </c>
      <c r="L87" s="26">
        <v>1</v>
      </c>
      <c r="M87" s="26">
        <v>2</v>
      </c>
      <c r="N87" s="25">
        <f t="shared" si="6"/>
        <v>240</v>
      </c>
      <c r="O87" s="25">
        <v>120</v>
      </c>
      <c r="P87" s="24"/>
      <c r="Q87" s="26">
        <v>1</v>
      </c>
      <c r="R87" s="26">
        <v>0</v>
      </c>
      <c r="S87" s="25">
        <f t="shared" si="7"/>
        <v>0</v>
      </c>
      <c r="T87" s="25">
        <v>120</v>
      </c>
      <c r="U87" s="24"/>
      <c r="V87" s="26">
        <v>1</v>
      </c>
      <c r="W87" s="26">
        <v>0</v>
      </c>
      <c r="X87" s="25">
        <f t="shared" si="8"/>
        <v>0</v>
      </c>
      <c r="Y87" s="25">
        <v>110</v>
      </c>
      <c r="Z87" s="24"/>
      <c r="AA87" s="26">
        <v>1</v>
      </c>
      <c r="AB87" s="26">
        <v>0</v>
      </c>
      <c r="AC87" s="25">
        <f t="shared" si="9"/>
        <v>0</v>
      </c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</row>
    <row r="88" spans="1:41">
      <c r="A88" s="39" t="s">
        <v>52</v>
      </c>
      <c r="B88" s="39" t="s">
        <v>95</v>
      </c>
      <c r="C88" s="39" t="s">
        <v>70</v>
      </c>
      <c r="D88" s="39" t="s">
        <v>55</v>
      </c>
      <c r="E88" s="40">
        <v>140</v>
      </c>
      <c r="F88" s="39"/>
      <c r="G88" s="41">
        <v>3</v>
      </c>
      <c r="H88" s="41">
        <v>0</v>
      </c>
      <c r="I88" s="40">
        <f t="shared" si="5"/>
        <v>0</v>
      </c>
      <c r="J88" s="40">
        <v>140</v>
      </c>
      <c r="K88" s="39"/>
      <c r="L88" s="41">
        <v>3</v>
      </c>
      <c r="M88" s="41">
        <v>0</v>
      </c>
      <c r="N88" s="40">
        <f t="shared" si="6"/>
        <v>0</v>
      </c>
      <c r="O88" s="40">
        <v>120</v>
      </c>
      <c r="P88" s="39"/>
      <c r="Q88" s="41">
        <v>3</v>
      </c>
      <c r="R88" s="41">
        <v>0</v>
      </c>
      <c r="S88" s="40">
        <f t="shared" si="7"/>
        <v>0</v>
      </c>
      <c r="T88" s="40">
        <v>140</v>
      </c>
      <c r="U88" s="39"/>
      <c r="V88" s="41">
        <v>3</v>
      </c>
      <c r="W88" s="41">
        <v>0</v>
      </c>
      <c r="X88" s="40">
        <f t="shared" si="8"/>
        <v>0</v>
      </c>
      <c r="Y88" s="40">
        <v>140</v>
      </c>
      <c r="Z88" s="41">
        <v>1</v>
      </c>
      <c r="AA88" s="41">
        <v>3</v>
      </c>
      <c r="AB88" s="41">
        <v>3</v>
      </c>
      <c r="AC88" s="40">
        <f t="shared" si="9"/>
        <v>420</v>
      </c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</row>
    <row r="89" spans="1:41">
      <c r="A89" s="33" t="s">
        <v>52</v>
      </c>
      <c r="B89" s="33" t="s">
        <v>96</v>
      </c>
      <c r="C89" s="33" t="s">
        <v>54</v>
      </c>
      <c r="D89" s="33" t="s">
        <v>29</v>
      </c>
      <c r="E89" s="34">
        <v>140</v>
      </c>
      <c r="F89" s="33"/>
      <c r="G89" s="35">
        <v>2</v>
      </c>
      <c r="H89" s="35">
        <v>0</v>
      </c>
      <c r="I89" s="34">
        <f t="shared" si="5"/>
        <v>0</v>
      </c>
      <c r="J89" s="34">
        <v>140</v>
      </c>
      <c r="K89" s="35">
        <v>1</v>
      </c>
      <c r="L89" s="35">
        <v>2</v>
      </c>
      <c r="M89" s="35">
        <v>2</v>
      </c>
      <c r="N89" s="34">
        <f t="shared" si="6"/>
        <v>280</v>
      </c>
      <c r="O89" s="34">
        <v>140</v>
      </c>
      <c r="P89" s="33"/>
      <c r="Q89" s="35">
        <v>2</v>
      </c>
      <c r="R89" s="35">
        <v>0</v>
      </c>
      <c r="S89" s="34">
        <f t="shared" si="7"/>
        <v>0</v>
      </c>
      <c r="T89" s="34">
        <v>140</v>
      </c>
      <c r="U89" s="33"/>
      <c r="V89" s="35">
        <v>2</v>
      </c>
      <c r="W89" s="35">
        <v>0</v>
      </c>
      <c r="X89" s="34">
        <f t="shared" si="8"/>
        <v>0</v>
      </c>
      <c r="Y89" s="34">
        <v>135</v>
      </c>
      <c r="Z89" s="33"/>
      <c r="AA89" s="35">
        <v>2</v>
      </c>
      <c r="AB89" s="35">
        <v>0</v>
      </c>
      <c r="AC89" s="34">
        <f t="shared" si="9"/>
        <v>0</v>
      </c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</row>
    <row r="90" spans="1:41">
      <c r="A90" s="24" t="s">
        <v>52</v>
      </c>
      <c r="B90" s="24" t="s">
        <v>97</v>
      </c>
      <c r="C90" s="24" t="s">
        <v>68</v>
      </c>
      <c r="D90" s="24" t="s">
        <v>29</v>
      </c>
      <c r="E90" s="25">
        <v>120</v>
      </c>
      <c r="F90" s="24"/>
      <c r="G90" s="26">
        <v>2</v>
      </c>
      <c r="H90" s="26">
        <v>0</v>
      </c>
      <c r="I90" s="25">
        <f t="shared" si="5"/>
        <v>0</v>
      </c>
      <c r="J90" s="25">
        <v>120</v>
      </c>
      <c r="K90" s="26">
        <v>1</v>
      </c>
      <c r="L90" s="26">
        <v>2</v>
      </c>
      <c r="M90" s="26">
        <v>2</v>
      </c>
      <c r="N90" s="25">
        <f t="shared" si="6"/>
        <v>240</v>
      </c>
      <c r="O90" s="25">
        <v>120</v>
      </c>
      <c r="P90" s="24"/>
      <c r="Q90" s="26">
        <v>2</v>
      </c>
      <c r="R90" s="26">
        <v>0</v>
      </c>
      <c r="S90" s="25">
        <f t="shared" si="7"/>
        <v>0</v>
      </c>
      <c r="T90" s="25">
        <v>120</v>
      </c>
      <c r="U90" s="24"/>
      <c r="V90" s="26">
        <v>2</v>
      </c>
      <c r="W90" s="26">
        <v>0</v>
      </c>
      <c r="X90" s="25">
        <f t="shared" si="8"/>
        <v>0</v>
      </c>
      <c r="Y90" s="25">
        <v>110</v>
      </c>
      <c r="Z90" s="24"/>
      <c r="AA90" s="26">
        <v>2</v>
      </c>
      <c r="AB90" s="26">
        <v>0</v>
      </c>
      <c r="AC90" s="25">
        <f t="shared" si="9"/>
        <v>0</v>
      </c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</row>
    <row r="91" spans="1:41">
      <c r="A91" s="24" t="s">
        <v>52</v>
      </c>
      <c r="B91" s="24" t="s">
        <v>98</v>
      </c>
      <c r="C91" s="24" t="s">
        <v>68</v>
      </c>
      <c r="D91" s="24" t="s">
        <v>55</v>
      </c>
      <c r="E91" s="25">
        <v>120</v>
      </c>
      <c r="F91" s="24"/>
      <c r="G91" s="26">
        <v>3</v>
      </c>
      <c r="H91" s="26">
        <v>0</v>
      </c>
      <c r="I91" s="25">
        <f t="shared" si="5"/>
        <v>0</v>
      </c>
      <c r="J91" s="25">
        <v>120</v>
      </c>
      <c r="K91" s="26">
        <v>1</v>
      </c>
      <c r="L91" s="26">
        <v>3</v>
      </c>
      <c r="M91" s="26">
        <v>3</v>
      </c>
      <c r="N91" s="25">
        <f t="shared" si="6"/>
        <v>360</v>
      </c>
      <c r="O91" s="25">
        <v>120</v>
      </c>
      <c r="P91" s="24"/>
      <c r="Q91" s="26">
        <v>3</v>
      </c>
      <c r="R91" s="26">
        <v>0</v>
      </c>
      <c r="S91" s="25">
        <f t="shared" si="7"/>
        <v>0</v>
      </c>
      <c r="T91" s="25">
        <v>120</v>
      </c>
      <c r="U91" s="24"/>
      <c r="V91" s="26">
        <v>3</v>
      </c>
      <c r="W91" s="26">
        <v>0</v>
      </c>
      <c r="X91" s="25">
        <f t="shared" si="8"/>
        <v>0</v>
      </c>
      <c r="Y91" s="25">
        <v>110</v>
      </c>
      <c r="Z91" s="24"/>
      <c r="AA91" s="26">
        <v>3</v>
      </c>
      <c r="AB91" s="26">
        <v>0</v>
      </c>
      <c r="AC91" s="25">
        <f t="shared" si="9"/>
        <v>0</v>
      </c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</row>
    <row r="92" spans="1:41">
      <c r="A92" s="36" t="s">
        <v>52</v>
      </c>
      <c r="B92" s="36" t="s">
        <v>99</v>
      </c>
      <c r="C92" s="36" t="s">
        <v>68</v>
      </c>
      <c r="D92" s="36" t="s">
        <v>13</v>
      </c>
      <c r="E92" s="37">
        <v>120</v>
      </c>
      <c r="F92" s="36"/>
      <c r="G92" s="38">
        <v>1</v>
      </c>
      <c r="H92" s="38">
        <v>0</v>
      </c>
      <c r="I92" s="37">
        <f t="shared" si="5"/>
        <v>0</v>
      </c>
      <c r="J92" s="37">
        <v>120</v>
      </c>
      <c r="K92" s="38">
        <v>1</v>
      </c>
      <c r="L92" s="38">
        <v>1</v>
      </c>
      <c r="M92" s="38">
        <v>1</v>
      </c>
      <c r="N92" s="37">
        <f t="shared" si="6"/>
        <v>120</v>
      </c>
      <c r="O92" s="37">
        <v>120</v>
      </c>
      <c r="P92" s="36"/>
      <c r="Q92" s="38">
        <v>1</v>
      </c>
      <c r="R92" s="38">
        <v>0</v>
      </c>
      <c r="S92" s="37">
        <f t="shared" si="7"/>
        <v>0</v>
      </c>
      <c r="T92" s="37">
        <v>120</v>
      </c>
      <c r="U92" s="36"/>
      <c r="V92" s="38">
        <v>1</v>
      </c>
      <c r="W92" s="38">
        <v>0</v>
      </c>
      <c r="X92" s="37">
        <f t="shared" si="8"/>
        <v>0</v>
      </c>
      <c r="Y92" s="37">
        <v>110</v>
      </c>
      <c r="Z92" s="36"/>
      <c r="AA92" s="38">
        <v>1</v>
      </c>
      <c r="AB92" s="38">
        <v>0</v>
      </c>
      <c r="AC92" s="37">
        <f t="shared" si="9"/>
        <v>0</v>
      </c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</row>
    <row r="93" spans="1:41">
      <c r="A93" s="24" t="s">
        <v>52</v>
      </c>
      <c r="B93" s="24" t="s">
        <v>100</v>
      </c>
      <c r="C93" s="24" t="s">
        <v>68</v>
      </c>
      <c r="D93" s="24" t="s">
        <v>13</v>
      </c>
      <c r="E93" s="25">
        <v>120</v>
      </c>
      <c r="F93" s="24"/>
      <c r="G93" s="26">
        <v>1</v>
      </c>
      <c r="H93" s="26">
        <v>0</v>
      </c>
      <c r="I93" s="25">
        <f t="shared" si="5"/>
        <v>0</v>
      </c>
      <c r="J93" s="25">
        <v>120</v>
      </c>
      <c r="K93" s="26">
        <v>2</v>
      </c>
      <c r="L93" s="26">
        <v>1</v>
      </c>
      <c r="M93" s="26">
        <v>2</v>
      </c>
      <c r="N93" s="25">
        <f t="shared" si="6"/>
        <v>240</v>
      </c>
      <c r="O93" s="25">
        <v>120</v>
      </c>
      <c r="P93" s="24"/>
      <c r="Q93" s="26">
        <v>1</v>
      </c>
      <c r="R93" s="26">
        <v>0</v>
      </c>
      <c r="S93" s="25">
        <f t="shared" si="7"/>
        <v>0</v>
      </c>
      <c r="T93" s="25">
        <v>120</v>
      </c>
      <c r="U93" s="24"/>
      <c r="V93" s="26">
        <v>1</v>
      </c>
      <c r="W93" s="26">
        <v>0</v>
      </c>
      <c r="X93" s="25">
        <f t="shared" si="8"/>
        <v>0</v>
      </c>
      <c r="Y93" s="25">
        <v>110</v>
      </c>
      <c r="Z93" s="24"/>
      <c r="AA93" s="26">
        <v>1</v>
      </c>
      <c r="AB93" s="26">
        <v>0</v>
      </c>
      <c r="AC93" s="25">
        <f t="shared" si="9"/>
        <v>0</v>
      </c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</row>
    <row r="94" spans="1:41">
      <c r="A94" s="24" t="s">
        <v>52</v>
      </c>
      <c r="B94" s="24" t="s">
        <v>101</v>
      </c>
      <c r="C94" s="24" t="s">
        <v>68</v>
      </c>
      <c r="D94" s="24" t="s">
        <v>29</v>
      </c>
      <c r="E94" s="25">
        <v>120</v>
      </c>
      <c r="F94" s="24"/>
      <c r="G94" s="26">
        <v>2</v>
      </c>
      <c r="H94" s="26">
        <v>0</v>
      </c>
      <c r="I94" s="25">
        <f t="shared" si="5"/>
        <v>0</v>
      </c>
      <c r="J94" s="25">
        <v>120</v>
      </c>
      <c r="K94" s="24"/>
      <c r="L94" s="26">
        <v>2</v>
      </c>
      <c r="M94" s="26">
        <v>0</v>
      </c>
      <c r="N94" s="25">
        <f t="shared" si="6"/>
        <v>0</v>
      </c>
      <c r="O94" s="25">
        <v>120</v>
      </c>
      <c r="P94" s="24"/>
      <c r="Q94" s="26">
        <v>2</v>
      </c>
      <c r="R94" s="26">
        <v>0</v>
      </c>
      <c r="S94" s="25">
        <f t="shared" si="7"/>
        <v>0</v>
      </c>
      <c r="T94" s="25">
        <v>120</v>
      </c>
      <c r="U94" s="26">
        <v>1</v>
      </c>
      <c r="V94" s="26">
        <v>2</v>
      </c>
      <c r="W94" s="26">
        <v>2</v>
      </c>
      <c r="X94" s="25">
        <f t="shared" si="8"/>
        <v>240</v>
      </c>
      <c r="Y94" s="25">
        <v>110</v>
      </c>
      <c r="Z94" s="24"/>
      <c r="AA94" s="26">
        <v>2</v>
      </c>
      <c r="AB94" s="26">
        <v>0</v>
      </c>
      <c r="AC94" s="25">
        <f t="shared" si="9"/>
        <v>0</v>
      </c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</row>
    <row r="95" spans="1:41">
      <c r="A95" s="24" t="s">
        <v>52</v>
      </c>
      <c r="B95" s="24" t="s">
        <v>102</v>
      </c>
      <c r="C95" s="24" t="s">
        <v>68</v>
      </c>
      <c r="D95" s="24" t="s">
        <v>29</v>
      </c>
      <c r="E95" s="25">
        <v>120</v>
      </c>
      <c r="F95" s="24"/>
      <c r="G95" s="26">
        <v>2</v>
      </c>
      <c r="H95" s="26">
        <v>0</v>
      </c>
      <c r="I95" s="25">
        <f t="shared" si="5"/>
        <v>0</v>
      </c>
      <c r="J95" s="25">
        <v>120</v>
      </c>
      <c r="K95" s="26">
        <v>2</v>
      </c>
      <c r="L95" s="26">
        <v>2</v>
      </c>
      <c r="M95" s="26">
        <v>4</v>
      </c>
      <c r="N95" s="25">
        <f t="shared" si="6"/>
        <v>480</v>
      </c>
      <c r="O95" s="25">
        <v>120</v>
      </c>
      <c r="P95" s="24"/>
      <c r="Q95" s="26">
        <v>2</v>
      </c>
      <c r="R95" s="26">
        <v>0</v>
      </c>
      <c r="S95" s="25">
        <f t="shared" si="7"/>
        <v>0</v>
      </c>
      <c r="T95" s="25">
        <v>120</v>
      </c>
      <c r="U95" s="24"/>
      <c r="V95" s="26">
        <v>2</v>
      </c>
      <c r="W95" s="26">
        <v>0</v>
      </c>
      <c r="X95" s="25">
        <f t="shared" si="8"/>
        <v>0</v>
      </c>
      <c r="Y95" s="25">
        <v>110</v>
      </c>
      <c r="Z95" s="24"/>
      <c r="AA95" s="26">
        <v>2</v>
      </c>
      <c r="AB95" s="26">
        <v>0</v>
      </c>
      <c r="AC95" s="25">
        <f t="shared" si="9"/>
        <v>0</v>
      </c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</row>
    <row r="96" spans="1:41">
      <c r="A96" s="24" t="s">
        <v>52</v>
      </c>
      <c r="B96" s="24" t="s">
        <v>103</v>
      </c>
      <c r="C96" s="24" t="s">
        <v>68</v>
      </c>
      <c r="D96" s="24" t="s">
        <v>55</v>
      </c>
      <c r="E96" s="25">
        <v>120</v>
      </c>
      <c r="F96" s="24"/>
      <c r="G96" s="26">
        <v>3</v>
      </c>
      <c r="H96" s="26">
        <v>0</v>
      </c>
      <c r="I96" s="25">
        <f t="shared" si="5"/>
        <v>0</v>
      </c>
      <c r="J96" s="25">
        <v>120</v>
      </c>
      <c r="K96" s="26">
        <v>1</v>
      </c>
      <c r="L96" s="26">
        <v>3</v>
      </c>
      <c r="M96" s="26">
        <v>3</v>
      </c>
      <c r="N96" s="25">
        <f t="shared" si="6"/>
        <v>360</v>
      </c>
      <c r="O96" s="25">
        <v>120</v>
      </c>
      <c r="P96" s="24"/>
      <c r="Q96" s="26">
        <v>3</v>
      </c>
      <c r="R96" s="26">
        <v>0</v>
      </c>
      <c r="S96" s="25">
        <f t="shared" si="7"/>
        <v>0</v>
      </c>
      <c r="T96" s="25">
        <v>120</v>
      </c>
      <c r="U96" s="24"/>
      <c r="V96" s="26">
        <v>3</v>
      </c>
      <c r="W96" s="26">
        <v>0</v>
      </c>
      <c r="X96" s="25">
        <f t="shared" si="8"/>
        <v>0</v>
      </c>
      <c r="Y96" s="25">
        <v>110</v>
      </c>
      <c r="Z96" s="24"/>
      <c r="AA96" s="26">
        <v>3</v>
      </c>
      <c r="AB96" s="26">
        <v>0</v>
      </c>
      <c r="AC96" s="25">
        <f t="shared" si="9"/>
        <v>0</v>
      </c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</row>
    <row r="97" spans="1:41">
      <c r="A97" s="33" t="s">
        <v>52</v>
      </c>
      <c r="B97" s="33" t="s">
        <v>104</v>
      </c>
      <c r="C97" s="33" t="s">
        <v>54</v>
      </c>
      <c r="D97" s="33" t="s">
        <v>29</v>
      </c>
      <c r="E97" s="34">
        <v>140</v>
      </c>
      <c r="F97" s="33"/>
      <c r="G97" s="35">
        <v>2</v>
      </c>
      <c r="H97" s="35">
        <v>0</v>
      </c>
      <c r="I97" s="34">
        <f t="shared" si="5"/>
        <v>0</v>
      </c>
      <c r="J97" s="34">
        <v>140</v>
      </c>
      <c r="K97" s="35">
        <v>1</v>
      </c>
      <c r="L97" s="35">
        <v>2</v>
      </c>
      <c r="M97" s="35">
        <v>2</v>
      </c>
      <c r="N97" s="34">
        <f t="shared" si="6"/>
        <v>280</v>
      </c>
      <c r="O97" s="34">
        <v>140</v>
      </c>
      <c r="P97" s="33"/>
      <c r="Q97" s="35">
        <v>2</v>
      </c>
      <c r="R97" s="35">
        <v>0</v>
      </c>
      <c r="S97" s="34">
        <f t="shared" si="7"/>
        <v>0</v>
      </c>
      <c r="T97" s="34">
        <v>140</v>
      </c>
      <c r="U97" s="33"/>
      <c r="V97" s="35">
        <v>2</v>
      </c>
      <c r="W97" s="35">
        <v>0</v>
      </c>
      <c r="X97" s="34">
        <f t="shared" si="8"/>
        <v>0</v>
      </c>
      <c r="Y97" s="34">
        <v>135</v>
      </c>
      <c r="Z97" s="33"/>
      <c r="AA97" s="35">
        <v>2</v>
      </c>
      <c r="AB97" s="35">
        <v>0</v>
      </c>
      <c r="AC97" s="34">
        <f t="shared" si="9"/>
        <v>0</v>
      </c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</row>
    <row r="98" spans="1:41">
      <c r="A98" s="24" t="s">
        <v>52</v>
      </c>
      <c r="B98" s="24" t="s">
        <v>105</v>
      </c>
      <c r="C98" s="24" t="s">
        <v>68</v>
      </c>
      <c r="D98" s="24" t="s">
        <v>13</v>
      </c>
      <c r="E98" s="25">
        <v>120</v>
      </c>
      <c r="F98" s="24"/>
      <c r="G98" s="26">
        <v>1</v>
      </c>
      <c r="H98" s="26">
        <v>0</v>
      </c>
      <c r="I98" s="25">
        <f t="shared" si="5"/>
        <v>0</v>
      </c>
      <c r="J98" s="25">
        <v>120</v>
      </c>
      <c r="K98" s="26">
        <v>2</v>
      </c>
      <c r="L98" s="26">
        <v>1</v>
      </c>
      <c r="M98" s="26">
        <v>2</v>
      </c>
      <c r="N98" s="25">
        <f t="shared" si="6"/>
        <v>240</v>
      </c>
      <c r="O98" s="25">
        <v>120</v>
      </c>
      <c r="P98" s="24"/>
      <c r="Q98" s="26">
        <v>1</v>
      </c>
      <c r="R98" s="26">
        <v>0</v>
      </c>
      <c r="S98" s="25">
        <f t="shared" si="7"/>
        <v>0</v>
      </c>
      <c r="T98" s="25">
        <v>120</v>
      </c>
      <c r="U98" s="24"/>
      <c r="V98" s="26">
        <v>1</v>
      </c>
      <c r="W98" s="26">
        <v>0</v>
      </c>
      <c r="X98" s="25">
        <f t="shared" si="8"/>
        <v>0</v>
      </c>
      <c r="Y98" s="25">
        <v>110</v>
      </c>
      <c r="Z98" s="24"/>
      <c r="AA98" s="26">
        <v>1</v>
      </c>
      <c r="AB98" s="26">
        <v>0</v>
      </c>
      <c r="AC98" s="25">
        <f t="shared" si="9"/>
        <v>0</v>
      </c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</row>
    <row r="99" spans="1:41">
      <c r="A99" s="24" t="s">
        <v>52</v>
      </c>
      <c r="B99" s="24" t="s">
        <v>106</v>
      </c>
      <c r="C99" s="24" t="s">
        <v>68</v>
      </c>
      <c r="D99" s="24" t="s">
        <v>13</v>
      </c>
      <c r="E99" s="25">
        <v>120</v>
      </c>
      <c r="F99" s="24"/>
      <c r="G99" s="26">
        <v>1</v>
      </c>
      <c r="H99" s="26">
        <v>0</v>
      </c>
      <c r="I99" s="25">
        <f t="shared" si="5"/>
        <v>0</v>
      </c>
      <c r="J99" s="25">
        <v>120</v>
      </c>
      <c r="K99" s="24"/>
      <c r="L99" s="26">
        <v>1</v>
      </c>
      <c r="M99" s="26">
        <v>0</v>
      </c>
      <c r="N99" s="25">
        <f t="shared" si="6"/>
        <v>0</v>
      </c>
      <c r="O99" s="25">
        <v>120</v>
      </c>
      <c r="P99" s="24"/>
      <c r="Q99" s="26">
        <v>1</v>
      </c>
      <c r="R99" s="26">
        <v>0</v>
      </c>
      <c r="S99" s="25">
        <f t="shared" si="7"/>
        <v>0</v>
      </c>
      <c r="T99" s="25">
        <v>120</v>
      </c>
      <c r="U99" s="26">
        <v>1</v>
      </c>
      <c r="V99" s="26">
        <v>1</v>
      </c>
      <c r="W99" s="26">
        <v>1</v>
      </c>
      <c r="X99" s="25">
        <f t="shared" si="8"/>
        <v>120</v>
      </c>
      <c r="Y99" s="25">
        <v>110</v>
      </c>
      <c r="Z99" s="24"/>
      <c r="AA99" s="26">
        <v>1</v>
      </c>
      <c r="AB99" s="26">
        <v>0</v>
      </c>
      <c r="AC99" s="25">
        <f t="shared" si="9"/>
        <v>0</v>
      </c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</row>
    <row r="100" spans="1:41">
      <c r="A100" s="24" t="s">
        <v>52</v>
      </c>
      <c r="B100" s="24" t="s">
        <v>107</v>
      </c>
      <c r="C100" s="24" t="s">
        <v>68</v>
      </c>
      <c r="D100" s="24" t="s">
        <v>29</v>
      </c>
      <c r="E100" s="25">
        <v>120</v>
      </c>
      <c r="F100" s="24"/>
      <c r="G100" s="26">
        <v>2</v>
      </c>
      <c r="H100" s="26">
        <v>0</v>
      </c>
      <c r="I100" s="25">
        <f t="shared" si="5"/>
        <v>0</v>
      </c>
      <c r="J100" s="25">
        <v>120</v>
      </c>
      <c r="K100" s="26">
        <v>1</v>
      </c>
      <c r="L100" s="26">
        <v>2</v>
      </c>
      <c r="M100" s="26">
        <v>2</v>
      </c>
      <c r="N100" s="25">
        <f t="shared" si="6"/>
        <v>240</v>
      </c>
      <c r="O100" s="25">
        <v>120</v>
      </c>
      <c r="P100" s="24"/>
      <c r="Q100" s="26">
        <v>2</v>
      </c>
      <c r="R100" s="26">
        <v>0</v>
      </c>
      <c r="S100" s="25">
        <f t="shared" si="7"/>
        <v>0</v>
      </c>
      <c r="T100" s="25">
        <v>120</v>
      </c>
      <c r="U100" s="24"/>
      <c r="V100" s="26">
        <v>2</v>
      </c>
      <c r="W100" s="26">
        <v>0</v>
      </c>
      <c r="X100" s="25">
        <f t="shared" si="8"/>
        <v>0</v>
      </c>
      <c r="Y100" s="25">
        <v>110</v>
      </c>
      <c r="Z100" s="24"/>
      <c r="AA100" s="26">
        <v>2</v>
      </c>
      <c r="AB100" s="26">
        <v>0</v>
      </c>
      <c r="AC100" s="25">
        <f t="shared" si="9"/>
        <v>0</v>
      </c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</row>
    <row r="101" spans="1:41">
      <c r="A101" s="24" t="s">
        <v>52</v>
      </c>
      <c r="B101" s="24" t="s">
        <v>108</v>
      </c>
      <c r="C101" s="24" t="s">
        <v>68</v>
      </c>
      <c r="D101" s="24" t="s">
        <v>13</v>
      </c>
      <c r="E101" s="25">
        <v>120</v>
      </c>
      <c r="F101" s="24"/>
      <c r="G101" s="26">
        <v>1</v>
      </c>
      <c r="H101" s="26">
        <v>0</v>
      </c>
      <c r="I101" s="25">
        <f t="shared" si="5"/>
        <v>0</v>
      </c>
      <c r="J101" s="25">
        <v>120</v>
      </c>
      <c r="K101" s="26">
        <v>1</v>
      </c>
      <c r="L101" s="26">
        <v>1</v>
      </c>
      <c r="M101" s="26">
        <v>1</v>
      </c>
      <c r="N101" s="25">
        <f t="shared" si="6"/>
        <v>120</v>
      </c>
      <c r="O101" s="25">
        <v>120</v>
      </c>
      <c r="P101" s="24"/>
      <c r="Q101" s="26">
        <v>1</v>
      </c>
      <c r="R101" s="26">
        <v>0</v>
      </c>
      <c r="S101" s="25">
        <f t="shared" si="7"/>
        <v>0</v>
      </c>
      <c r="T101" s="25">
        <v>120</v>
      </c>
      <c r="U101" s="24"/>
      <c r="V101" s="26">
        <v>1</v>
      </c>
      <c r="W101" s="26">
        <v>0</v>
      </c>
      <c r="X101" s="25">
        <f t="shared" si="8"/>
        <v>0</v>
      </c>
      <c r="Y101" s="25">
        <v>110</v>
      </c>
      <c r="Z101" s="24"/>
      <c r="AA101" s="26">
        <v>1</v>
      </c>
      <c r="AB101" s="26">
        <v>0</v>
      </c>
      <c r="AC101" s="25">
        <f t="shared" si="9"/>
        <v>0</v>
      </c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</row>
    <row r="102" spans="1:41">
      <c r="A102" s="24" t="s">
        <v>52</v>
      </c>
      <c r="B102" s="24" t="s">
        <v>109</v>
      </c>
      <c r="C102" s="24" t="s">
        <v>68</v>
      </c>
      <c r="D102" s="24" t="s">
        <v>29</v>
      </c>
      <c r="E102" s="25">
        <v>120</v>
      </c>
      <c r="F102" s="24"/>
      <c r="G102" s="26">
        <v>2</v>
      </c>
      <c r="H102" s="26">
        <v>0</v>
      </c>
      <c r="I102" s="25">
        <f t="shared" si="5"/>
        <v>0</v>
      </c>
      <c r="J102" s="25">
        <v>120</v>
      </c>
      <c r="K102" s="26">
        <v>1</v>
      </c>
      <c r="L102" s="26">
        <v>2</v>
      </c>
      <c r="M102" s="26">
        <v>2</v>
      </c>
      <c r="N102" s="25">
        <f t="shared" si="6"/>
        <v>240</v>
      </c>
      <c r="O102" s="25">
        <v>120</v>
      </c>
      <c r="P102" s="24"/>
      <c r="Q102" s="26">
        <v>2</v>
      </c>
      <c r="R102" s="26">
        <v>0</v>
      </c>
      <c r="S102" s="25">
        <f t="shared" si="7"/>
        <v>0</v>
      </c>
      <c r="T102" s="25">
        <v>120</v>
      </c>
      <c r="U102" s="24"/>
      <c r="V102" s="26">
        <v>2</v>
      </c>
      <c r="W102" s="26">
        <v>0</v>
      </c>
      <c r="X102" s="25">
        <f t="shared" si="8"/>
        <v>0</v>
      </c>
      <c r="Y102" s="25">
        <v>110</v>
      </c>
      <c r="Z102" s="24"/>
      <c r="AA102" s="26">
        <v>2</v>
      </c>
      <c r="AB102" s="26">
        <v>0</v>
      </c>
      <c r="AC102" s="25">
        <f t="shared" si="9"/>
        <v>0</v>
      </c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</row>
    <row r="103" spans="1:41">
      <c r="A103" s="36" t="s">
        <v>52</v>
      </c>
      <c r="B103" s="36" t="s">
        <v>110</v>
      </c>
      <c r="C103" s="36" t="s">
        <v>68</v>
      </c>
      <c r="D103" s="36" t="s">
        <v>13</v>
      </c>
      <c r="E103" s="37">
        <v>120</v>
      </c>
      <c r="F103" s="36"/>
      <c r="G103" s="38">
        <v>1</v>
      </c>
      <c r="H103" s="38">
        <v>0</v>
      </c>
      <c r="I103" s="37">
        <f t="shared" si="5"/>
        <v>0</v>
      </c>
      <c r="J103" s="37">
        <v>120</v>
      </c>
      <c r="K103" s="36"/>
      <c r="L103" s="38">
        <v>1</v>
      </c>
      <c r="M103" s="38">
        <v>0</v>
      </c>
      <c r="N103" s="37">
        <f t="shared" si="6"/>
        <v>0</v>
      </c>
      <c r="O103" s="37">
        <v>120</v>
      </c>
      <c r="P103" s="36"/>
      <c r="Q103" s="38">
        <v>1</v>
      </c>
      <c r="R103" s="38">
        <v>0</v>
      </c>
      <c r="S103" s="37">
        <f t="shared" si="7"/>
        <v>0</v>
      </c>
      <c r="T103" s="37">
        <v>120</v>
      </c>
      <c r="U103" s="38">
        <v>1</v>
      </c>
      <c r="V103" s="38">
        <v>1</v>
      </c>
      <c r="W103" s="38">
        <v>1</v>
      </c>
      <c r="X103" s="37">
        <f t="shared" si="8"/>
        <v>120</v>
      </c>
      <c r="Y103" s="37">
        <v>110</v>
      </c>
      <c r="Z103" s="36"/>
      <c r="AA103" s="38">
        <v>1</v>
      </c>
      <c r="AB103" s="38">
        <v>0</v>
      </c>
      <c r="AC103" s="37">
        <f t="shared" si="9"/>
        <v>0</v>
      </c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</row>
    <row r="104" spans="1:41">
      <c r="A104" s="36" t="s">
        <v>52</v>
      </c>
      <c r="B104" s="36" t="s">
        <v>111</v>
      </c>
      <c r="C104" s="36" t="s">
        <v>68</v>
      </c>
      <c r="D104" s="36" t="s">
        <v>13</v>
      </c>
      <c r="E104" s="37">
        <v>120</v>
      </c>
      <c r="F104" s="36"/>
      <c r="G104" s="38">
        <v>1</v>
      </c>
      <c r="H104" s="38">
        <v>0</v>
      </c>
      <c r="I104" s="37">
        <f t="shared" si="5"/>
        <v>0</v>
      </c>
      <c r="J104" s="37">
        <v>120</v>
      </c>
      <c r="K104" s="36"/>
      <c r="L104" s="38">
        <v>1</v>
      </c>
      <c r="M104" s="38">
        <v>0</v>
      </c>
      <c r="N104" s="37">
        <f t="shared" si="6"/>
        <v>0</v>
      </c>
      <c r="O104" s="37">
        <v>120</v>
      </c>
      <c r="P104" s="36"/>
      <c r="Q104" s="38">
        <v>1</v>
      </c>
      <c r="R104" s="38">
        <v>0</v>
      </c>
      <c r="S104" s="37">
        <f t="shared" si="7"/>
        <v>0</v>
      </c>
      <c r="T104" s="37">
        <v>120</v>
      </c>
      <c r="U104" s="38">
        <v>1</v>
      </c>
      <c r="V104" s="38">
        <v>1</v>
      </c>
      <c r="W104" s="38">
        <v>1</v>
      </c>
      <c r="X104" s="37">
        <f t="shared" si="8"/>
        <v>120</v>
      </c>
      <c r="Y104" s="37">
        <v>110</v>
      </c>
      <c r="Z104" s="36"/>
      <c r="AA104" s="38">
        <v>1</v>
      </c>
      <c r="AB104" s="38">
        <v>0</v>
      </c>
      <c r="AC104" s="37">
        <f t="shared" si="9"/>
        <v>0</v>
      </c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</row>
    <row r="105" spans="1:41">
      <c r="A105" s="36" t="s">
        <v>52</v>
      </c>
      <c r="B105" s="36" t="s">
        <v>112</v>
      </c>
      <c r="C105" s="36" t="s">
        <v>68</v>
      </c>
      <c r="D105" s="36" t="s">
        <v>13</v>
      </c>
      <c r="E105" s="37">
        <v>120</v>
      </c>
      <c r="F105" s="36"/>
      <c r="G105" s="38">
        <v>1</v>
      </c>
      <c r="H105" s="38">
        <v>0</v>
      </c>
      <c r="I105" s="37">
        <f t="shared" si="5"/>
        <v>0</v>
      </c>
      <c r="J105" s="37">
        <v>120</v>
      </c>
      <c r="K105" s="38">
        <v>3</v>
      </c>
      <c r="L105" s="38">
        <v>1</v>
      </c>
      <c r="M105" s="38">
        <v>3</v>
      </c>
      <c r="N105" s="37">
        <f t="shared" si="6"/>
        <v>360</v>
      </c>
      <c r="O105" s="37">
        <v>120</v>
      </c>
      <c r="P105" s="36"/>
      <c r="Q105" s="38">
        <v>1</v>
      </c>
      <c r="R105" s="38">
        <v>0</v>
      </c>
      <c r="S105" s="37">
        <f t="shared" si="7"/>
        <v>0</v>
      </c>
      <c r="T105" s="37">
        <v>120</v>
      </c>
      <c r="U105" s="36"/>
      <c r="V105" s="38">
        <v>1</v>
      </c>
      <c r="W105" s="38">
        <v>0</v>
      </c>
      <c r="X105" s="37">
        <f t="shared" si="8"/>
        <v>0</v>
      </c>
      <c r="Y105" s="37">
        <v>110</v>
      </c>
      <c r="Z105" s="36"/>
      <c r="AA105" s="38">
        <v>1</v>
      </c>
      <c r="AB105" s="38">
        <v>0</v>
      </c>
      <c r="AC105" s="37">
        <f t="shared" si="9"/>
        <v>0</v>
      </c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</row>
    <row r="106" spans="1:41">
      <c r="A106" s="36" t="s">
        <v>52</v>
      </c>
      <c r="B106" s="36" t="s">
        <v>113</v>
      </c>
      <c r="C106" s="36" t="s">
        <v>68</v>
      </c>
      <c r="D106" s="36" t="s">
        <v>29</v>
      </c>
      <c r="E106" s="37">
        <v>120</v>
      </c>
      <c r="F106" s="36"/>
      <c r="G106" s="38">
        <v>2</v>
      </c>
      <c r="H106" s="38">
        <v>0</v>
      </c>
      <c r="I106" s="37">
        <f t="shared" si="5"/>
        <v>0</v>
      </c>
      <c r="J106" s="37">
        <v>120</v>
      </c>
      <c r="K106" s="38">
        <v>1</v>
      </c>
      <c r="L106" s="38">
        <v>2</v>
      </c>
      <c r="M106" s="38">
        <v>2</v>
      </c>
      <c r="N106" s="37">
        <f t="shared" si="6"/>
        <v>240</v>
      </c>
      <c r="O106" s="37">
        <v>120</v>
      </c>
      <c r="P106" s="36"/>
      <c r="Q106" s="38">
        <v>2</v>
      </c>
      <c r="R106" s="38">
        <v>0</v>
      </c>
      <c r="S106" s="37">
        <f t="shared" si="7"/>
        <v>0</v>
      </c>
      <c r="T106" s="37">
        <v>120</v>
      </c>
      <c r="U106" s="36"/>
      <c r="V106" s="38">
        <v>2</v>
      </c>
      <c r="W106" s="38">
        <v>0</v>
      </c>
      <c r="X106" s="37">
        <f t="shared" si="8"/>
        <v>0</v>
      </c>
      <c r="Y106" s="37">
        <v>110</v>
      </c>
      <c r="Z106" s="36"/>
      <c r="AA106" s="38">
        <v>2</v>
      </c>
      <c r="AB106" s="38">
        <v>0</v>
      </c>
      <c r="AC106" s="37">
        <f t="shared" si="9"/>
        <v>0</v>
      </c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</row>
    <row r="107" spans="1:41">
      <c r="A107" s="24" t="s">
        <v>52</v>
      </c>
      <c r="B107" s="24" t="s">
        <v>114</v>
      </c>
      <c r="C107" s="24" t="s">
        <v>68</v>
      </c>
      <c r="D107" s="24" t="s">
        <v>55</v>
      </c>
      <c r="E107" s="25">
        <v>120</v>
      </c>
      <c r="F107" s="24"/>
      <c r="G107" s="26">
        <v>3</v>
      </c>
      <c r="H107" s="26">
        <v>0</v>
      </c>
      <c r="I107" s="25">
        <f t="shared" si="5"/>
        <v>0</v>
      </c>
      <c r="J107" s="25">
        <v>120</v>
      </c>
      <c r="K107" s="26">
        <v>1</v>
      </c>
      <c r="L107" s="26">
        <v>3</v>
      </c>
      <c r="M107" s="26">
        <v>3</v>
      </c>
      <c r="N107" s="25">
        <f t="shared" si="6"/>
        <v>360</v>
      </c>
      <c r="O107" s="25">
        <v>120</v>
      </c>
      <c r="P107" s="24"/>
      <c r="Q107" s="26">
        <v>3</v>
      </c>
      <c r="R107" s="26">
        <v>0</v>
      </c>
      <c r="S107" s="25">
        <f t="shared" si="7"/>
        <v>0</v>
      </c>
      <c r="T107" s="25">
        <v>120</v>
      </c>
      <c r="U107" s="24"/>
      <c r="V107" s="26">
        <v>3</v>
      </c>
      <c r="W107" s="26">
        <v>0</v>
      </c>
      <c r="X107" s="25">
        <f t="shared" si="8"/>
        <v>0</v>
      </c>
      <c r="Y107" s="25">
        <v>110</v>
      </c>
      <c r="Z107" s="24"/>
      <c r="AA107" s="26">
        <v>3</v>
      </c>
      <c r="AB107" s="26">
        <v>0</v>
      </c>
      <c r="AC107" s="25">
        <f t="shared" si="9"/>
        <v>0</v>
      </c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</row>
    <row r="108" spans="1:41">
      <c r="A108" s="24" t="s">
        <v>52</v>
      </c>
      <c r="B108" s="24" t="s">
        <v>115</v>
      </c>
      <c r="C108" s="24" t="s">
        <v>68</v>
      </c>
      <c r="D108" s="24" t="s">
        <v>55</v>
      </c>
      <c r="E108" s="25">
        <v>120</v>
      </c>
      <c r="F108" s="24"/>
      <c r="G108" s="26">
        <v>3</v>
      </c>
      <c r="H108" s="26">
        <v>0</v>
      </c>
      <c r="I108" s="25">
        <f t="shared" si="5"/>
        <v>0</v>
      </c>
      <c r="J108" s="25">
        <v>120</v>
      </c>
      <c r="K108" s="26">
        <v>1</v>
      </c>
      <c r="L108" s="26">
        <v>3</v>
      </c>
      <c r="M108" s="26">
        <v>3</v>
      </c>
      <c r="N108" s="25">
        <f t="shared" si="6"/>
        <v>360</v>
      </c>
      <c r="O108" s="25">
        <v>120</v>
      </c>
      <c r="P108" s="24"/>
      <c r="Q108" s="26">
        <v>3</v>
      </c>
      <c r="R108" s="26">
        <v>0</v>
      </c>
      <c r="S108" s="25">
        <f t="shared" si="7"/>
        <v>0</v>
      </c>
      <c r="T108" s="25">
        <v>120</v>
      </c>
      <c r="U108" s="24"/>
      <c r="V108" s="26">
        <v>3</v>
      </c>
      <c r="W108" s="26">
        <v>0</v>
      </c>
      <c r="X108" s="25">
        <f t="shared" si="8"/>
        <v>0</v>
      </c>
      <c r="Y108" s="25">
        <v>110</v>
      </c>
      <c r="Z108" s="24"/>
      <c r="AA108" s="26">
        <v>3</v>
      </c>
      <c r="AB108" s="26">
        <v>0</v>
      </c>
      <c r="AC108" s="25">
        <f t="shared" si="9"/>
        <v>0</v>
      </c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</row>
    <row r="109" spans="1:41">
      <c r="A109" s="36" t="s">
        <v>52</v>
      </c>
      <c r="B109" s="36" t="s">
        <v>116</v>
      </c>
      <c r="C109" s="36" t="s">
        <v>68</v>
      </c>
      <c r="D109" s="36" t="s">
        <v>29</v>
      </c>
      <c r="E109" s="37">
        <v>120</v>
      </c>
      <c r="F109" s="36"/>
      <c r="G109" s="38">
        <v>2</v>
      </c>
      <c r="H109" s="38">
        <v>0</v>
      </c>
      <c r="I109" s="37">
        <f t="shared" si="5"/>
        <v>0</v>
      </c>
      <c r="J109" s="37">
        <v>120</v>
      </c>
      <c r="K109" s="36"/>
      <c r="L109" s="38">
        <v>2</v>
      </c>
      <c r="M109" s="38">
        <v>0</v>
      </c>
      <c r="N109" s="37">
        <f t="shared" si="6"/>
        <v>0</v>
      </c>
      <c r="O109" s="37">
        <v>120</v>
      </c>
      <c r="P109" s="36"/>
      <c r="Q109" s="38">
        <v>2</v>
      </c>
      <c r="R109" s="38">
        <v>0</v>
      </c>
      <c r="S109" s="37">
        <f t="shared" si="7"/>
        <v>0</v>
      </c>
      <c r="T109" s="37">
        <v>120</v>
      </c>
      <c r="U109" s="36"/>
      <c r="V109" s="38">
        <v>2</v>
      </c>
      <c r="W109" s="38">
        <v>0</v>
      </c>
      <c r="X109" s="37">
        <f t="shared" si="8"/>
        <v>0</v>
      </c>
      <c r="Y109" s="37">
        <v>110</v>
      </c>
      <c r="Z109" s="38">
        <v>1</v>
      </c>
      <c r="AA109" s="38">
        <v>2</v>
      </c>
      <c r="AB109" s="38">
        <v>2</v>
      </c>
      <c r="AC109" s="37">
        <f t="shared" si="9"/>
        <v>220</v>
      </c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</row>
    <row r="110" spans="1:41">
      <c r="A110" s="39" t="s">
        <v>52</v>
      </c>
      <c r="B110" s="39" t="s">
        <v>117</v>
      </c>
      <c r="C110" s="39" t="s">
        <v>70</v>
      </c>
      <c r="D110" s="39" t="s">
        <v>13</v>
      </c>
      <c r="E110" s="40">
        <v>140</v>
      </c>
      <c r="F110" s="39"/>
      <c r="G110" s="41">
        <v>1</v>
      </c>
      <c r="H110" s="41">
        <v>0</v>
      </c>
      <c r="I110" s="40">
        <f t="shared" si="5"/>
        <v>0</v>
      </c>
      <c r="J110" s="40">
        <v>140</v>
      </c>
      <c r="K110" s="39"/>
      <c r="L110" s="41">
        <v>1</v>
      </c>
      <c r="M110" s="41">
        <v>0</v>
      </c>
      <c r="N110" s="40">
        <f t="shared" si="6"/>
        <v>0</v>
      </c>
      <c r="O110" s="40">
        <v>120</v>
      </c>
      <c r="P110" s="39"/>
      <c r="Q110" s="41">
        <v>1</v>
      </c>
      <c r="R110" s="41">
        <v>0</v>
      </c>
      <c r="S110" s="40">
        <f t="shared" si="7"/>
        <v>0</v>
      </c>
      <c r="T110" s="40">
        <v>140</v>
      </c>
      <c r="U110" s="39"/>
      <c r="V110" s="41">
        <v>1</v>
      </c>
      <c r="W110" s="41">
        <v>0</v>
      </c>
      <c r="X110" s="40">
        <f t="shared" si="8"/>
        <v>0</v>
      </c>
      <c r="Y110" s="40">
        <v>140</v>
      </c>
      <c r="Z110" s="41">
        <v>1</v>
      </c>
      <c r="AA110" s="41">
        <v>1</v>
      </c>
      <c r="AB110" s="41">
        <v>1</v>
      </c>
      <c r="AC110" s="40">
        <f t="shared" si="9"/>
        <v>140</v>
      </c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</row>
    <row r="111" spans="1:41">
      <c r="A111" s="24" t="s">
        <v>52</v>
      </c>
      <c r="B111" s="24" t="s">
        <v>118</v>
      </c>
      <c r="C111" s="24" t="s">
        <v>68</v>
      </c>
      <c r="D111" s="24" t="s">
        <v>119</v>
      </c>
      <c r="E111" s="25">
        <v>120</v>
      </c>
      <c r="F111" s="24"/>
      <c r="G111" s="26">
        <v>5</v>
      </c>
      <c r="H111" s="26">
        <v>0</v>
      </c>
      <c r="I111" s="25">
        <f t="shared" si="5"/>
        <v>0</v>
      </c>
      <c r="J111" s="25">
        <v>120</v>
      </c>
      <c r="K111" s="26">
        <v>1</v>
      </c>
      <c r="L111" s="26">
        <v>5</v>
      </c>
      <c r="M111" s="26">
        <v>5</v>
      </c>
      <c r="N111" s="25">
        <f t="shared" si="6"/>
        <v>600</v>
      </c>
      <c r="O111" s="25">
        <v>120</v>
      </c>
      <c r="P111" s="24"/>
      <c r="Q111" s="26">
        <v>5</v>
      </c>
      <c r="R111" s="26">
        <v>0</v>
      </c>
      <c r="S111" s="25">
        <f t="shared" si="7"/>
        <v>0</v>
      </c>
      <c r="T111" s="25">
        <v>120</v>
      </c>
      <c r="U111" s="24"/>
      <c r="V111" s="26">
        <v>5</v>
      </c>
      <c r="W111" s="26">
        <v>0</v>
      </c>
      <c r="X111" s="25">
        <f t="shared" si="8"/>
        <v>0</v>
      </c>
      <c r="Y111" s="25">
        <v>110</v>
      </c>
      <c r="Z111" s="24"/>
      <c r="AA111" s="26">
        <v>5</v>
      </c>
      <c r="AB111" s="26">
        <v>0</v>
      </c>
      <c r="AC111" s="25">
        <f t="shared" si="9"/>
        <v>0</v>
      </c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</row>
    <row r="112" spans="1:41">
      <c r="A112" s="33" t="s">
        <v>52</v>
      </c>
      <c r="B112" s="33" t="s">
        <v>120</v>
      </c>
      <c r="C112" s="33" t="s">
        <v>54</v>
      </c>
      <c r="D112" s="33" t="s">
        <v>29</v>
      </c>
      <c r="E112" s="34">
        <v>140</v>
      </c>
      <c r="F112" s="33"/>
      <c r="G112" s="35">
        <v>2</v>
      </c>
      <c r="H112" s="35">
        <v>0</v>
      </c>
      <c r="I112" s="34">
        <f t="shared" si="5"/>
        <v>0</v>
      </c>
      <c r="J112" s="34">
        <v>140</v>
      </c>
      <c r="K112" s="33"/>
      <c r="L112" s="35">
        <v>2</v>
      </c>
      <c r="M112" s="35">
        <v>0</v>
      </c>
      <c r="N112" s="34">
        <f t="shared" si="6"/>
        <v>0</v>
      </c>
      <c r="O112" s="34">
        <v>140</v>
      </c>
      <c r="P112" s="33"/>
      <c r="Q112" s="35">
        <v>2</v>
      </c>
      <c r="R112" s="35">
        <v>0</v>
      </c>
      <c r="S112" s="34">
        <f t="shared" si="7"/>
        <v>0</v>
      </c>
      <c r="T112" s="34">
        <v>140</v>
      </c>
      <c r="U112" s="35">
        <v>1</v>
      </c>
      <c r="V112" s="35">
        <v>2</v>
      </c>
      <c r="W112" s="35">
        <v>2</v>
      </c>
      <c r="X112" s="34">
        <f t="shared" si="8"/>
        <v>280</v>
      </c>
      <c r="Y112" s="34">
        <v>135</v>
      </c>
      <c r="Z112" s="33"/>
      <c r="AA112" s="35">
        <v>2</v>
      </c>
      <c r="AB112" s="35">
        <v>0</v>
      </c>
      <c r="AC112" s="34">
        <f t="shared" si="9"/>
        <v>0</v>
      </c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</row>
    <row r="113" spans="1:41">
      <c r="A113" s="24" t="s">
        <v>52</v>
      </c>
      <c r="B113" s="24" t="s">
        <v>121</v>
      </c>
      <c r="C113" s="24" t="s">
        <v>68</v>
      </c>
      <c r="D113" s="24" t="s">
        <v>29</v>
      </c>
      <c r="E113" s="25">
        <v>120</v>
      </c>
      <c r="F113" s="24"/>
      <c r="G113" s="26">
        <v>2</v>
      </c>
      <c r="H113" s="26">
        <v>0</v>
      </c>
      <c r="I113" s="25">
        <f t="shared" si="5"/>
        <v>0</v>
      </c>
      <c r="J113" s="25">
        <v>120</v>
      </c>
      <c r="K113" s="26">
        <v>1</v>
      </c>
      <c r="L113" s="26">
        <v>2</v>
      </c>
      <c r="M113" s="26">
        <v>2</v>
      </c>
      <c r="N113" s="25">
        <f t="shared" si="6"/>
        <v>240</v>
      </c>
      <c r="O113" s="25">
        <v>120</v>
      </c>
      <c r="P113" s="24"/>
      <c r="Q113" s="26">
        <v>2</v>
      </c>
      <c r="R113" s="26">
        <v>0</v>
      </c>
      <c r="S113" s="25">
        <f t="shared" si="7"/>
        <v>0</v>
      </c>
      <c r="T113" s="25">
        <v>120</v>
      </c>
      <c r="U113" s="24"/>
      <c r="V113" s="26">
        <v>2</v>
      </c>
      <c r="W113" s="26">
        <v>0</v>
      </c>
      <c r="X113" s="25">
        <f t="shared" si="8"/>
        <v>0</v>
      </c>
      <c r="Y113" s="25">
        <v>110</v>
      </c>
      <c r="Z113" s="24"/>
      <c r="AA113" s="26">
        <v>2</v>
      </c>
      <c r="AB113" s="26">
        <v>0</v>
      </c>
      <c r="AC113" s="25">
        <f t="shared" si="9"/>
        <v>0</v>
      </c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</row>
    <row r="114" spans="1:41">
      <c r="A114" s="24" t="s">
        <v>52</v>
      </c>
      <c r="B114" s="24" t="s">
        <v>122</v>
      </c>
      <c r="C114" s="24" t="s">
        <v>68</v>
      </c>
      <c r="D114" s="24" t="s">
        <v>119</v>
      </c>
      <c r="E114" s="25">
        <v>120</v>
      </c>
      <c r="F114" s="24"/>
      <c r="G114" s="26">
        <v>5</v>
      </c>
      <c r="H114" s="26">
        <v>0</v>
      </c>
      <c r="I114" s="25">
        <f t="shared" si="5"/>
        <v>0</v>
      </c>
      <c r="J114" s="25">
        <v>120</v>
      </c>
      <c r="K114" s="26">
        <v>2</v>
      </c>
      <c r="L114" s="26">
        <v>5</v>
      </c>
      <c r="M114" s="26">
        <v>10</v>
      </c>
      <c r="N114" s="25">
        <f t="shared" si="6"/>
        <v>1200</v>
      </c>
      <c r="O114" s="25">
        <v>120</v>
      </c>
      <c r="P114" s="24"/>
      <c r="Q114" s="26">
        <v>5</v>
      </c>
      <c r="R114" s="26">
        <v>0</v>
      </c>
      <c r="S114" s="25">
        <f t="shared" si="7"/>
        <v>0</v>
      </c>
      <c r="T114" s="25">
        <v>120</v>
      </c>
      <c r="U114" s="24"/>
      <c r="V114" s="26">
        <v>5</v>
      </c>
      <c r="W114" s="26">
        <v>0</v>
      </c>
      <c r="X114" s="25">
        <f t="shared" si="8"/>
        <v>0</v>
      </c>
      <c r="Y114" s="25">
        <v>110</v>
      </c>
      <c r="Z114" s="24"/>
      <c r="AA114" s="26">
        <v>5</v>
      </c>
      <c r="AB114" s="26">
        <v>0</v>
      </c>
      <c r="AC114" s="25">
        <f t="shared" si="9"/>
        <v>0</v>
      </c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</row>
    <row r="115" spans="1:41">
      <c r="A115" s="24" t="s">
        <v>52</v>
      </c>
      <c r="B115" s="24" t="s">
        <v>123</v>
      </c>
      <c r="C115" s="24" t="s">
        <v>68</v>
      </c>
      <c r="D115" s="24" t="s">
        <v>55</v>
      </c>
      <c r="E115" s="25">
        <v>120</v>
      </c>
      <c r="F115" s="24"/>
      <c r="G115" s="26">
        <v>3</v>
      </c>
      <c r="H115" s="26">
        <v>0</v>
      </c>
      <c r="I115" s="25">
        <f t="shared" si="5"/>
        <v>0</v>
      </c>
      <c r="J115" s="25">
        <v>120</v>
      </c>
      <c r="K115" s="26">
        <v>1</v>
      </c>
      <c r="L115" s="26">
        <v>3</v>
      </c>
      <c r="M115" s="26">
        <v>3</v>
      </c>
      <c r="N115" s="25">
        <f t="shared" si="6"/>
        <v>360</v>
      </c>
      <c r="O115" s="25">
        <v>120</v>
      </c>
      <c r="P115" s="24"/>
      <c r="Q115" s="26">
        <v>3</v>
      </c>
      <c r="R115" s="26">
        <v>0</v>
      </c>
      <c r="S115" s="25">
        <f t="shared" si="7"/>
        <v>0</v>
      </c>
      <c r="T115" s="25">
        <v>120</v>
      </c>
      <c r="U115" s="24"/>
      <c r="V115" s="26">
        <v>3</v>
      </c>
      <c r="W115" s="26">
        <v>0</v>
      </c>
      <c r="X115" s="25">
        <f t="shared" si="8"/>
        <v>0</v>
      </c>
      <c r="Y115" s="25">
        <v>110</v>
      </c>
      <c r="Z115" s="24"/>
      <c r="AA115" s="26">
        <v>3</v>
      </c>
      <c r="AB115" s="26">
        <v>0</v>
      </c>
      <c r="AC115" s="25">
        <f t="shared" si="9"/>
        <v>0</v>
      </c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</row>
    <row r="116" spans="1:41">
      <c r="A116" s="36" t="s">
        <v>52</v>
      </c>
      <c r="B116" s="36" t="s">
        <v>124</v>
      </c>
      <c r="C116" s="36" t="s">
        <v>68</v>
      </c>
      <c r="D116" s="36" t="s">
        <v>13</v>
      </c>
      <c r="E116" s="37">
        <v>120</v>
      </c>
      <c r="F116" s="36"/>
      <c r="G116" s="38">
        <v>1</v>
      </c>
      <c r="H116" s="38">
        <v>0</v>
      </c>
      <c r="I116" s="37">
        <f t="shared" si="5"/>
        <v>0</v>
      </c>
      <c r="J116" s="37">
        <v>120</v>
      </c>
      <c r="K116" s="38">
        <v>4</v>
      </c>
      <c r="L116" s="38">
        <v>1</v>
      </c>
      <c r="M116" s="38">
        <v>4</v>
      </c>
      <c r="N116" s="37">
        <f t="shared" si="6"/>
        <v>480</v>
      </c>
      <c r="O116" s="37">
        <v>120</v>
      </c>
      <c r="P116" s="36"/>
      <c r="Q116" s="38">
        <v>1</v>
      </c>
      <c r="R116" s="38">
        <v>0</v>
      </c>
      <c r="S116" s="37">
        <f t="shared" si="7"/>
        <v>0</v>
      </c>
      <c r="T116" s="37">
        <v>120</v>
      </c>
      <c r="U116" s="36"/>
      <c r="V116" s="38">
        <v>1</v>
      </c>
      <c r="W116" s="38">
        <v>0</v>
      </c>
      <c r="X116" s="37">
        <f t="shared" si="8"/>
        <v>0</v>
      </c>
      <c r="Y116" s="37">
        <v>110</v>
      </c>
      <c r="Z116" s="36"/>
      <c r="AA116" s="38">
        <v>1</v>
      </c>
      <c r="AB116" s="38">
        <v>0</v>
      </c>
      <c r="AC116" s="37">
        <f t="shared" si="9"/>
        <v>0</v>
      </c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</row>
    <row r="117" spans="1:41">
      <c r="A117" s="36" t="s">
        <v>52</v>
      </c>
      <c r="B117" s="36" t="s">
        <v>125</v>
      </c>
      <c r="C117" s="36" t="s">
        <v>68</v>
      </c>
      <c r="D117" s="36" t="s">
        <v>13</v>
      </c>
      <c r="E117" s="37">
        <v>120</v>
      </c>
      <c r="F117" s="36"/>
      <c r="G117" s="38">
        <v>1</v>
      </c>
      <c r="H117" s="38">
        <v>0</v>
      </c>
      <c r="I117" s="37">
        <f t="shared" si="5"/>
        <v>0</v>
      </c>
      <c r="J117" s="37">
        <v>120</v>
      </c>
      <c r="K117" s="38">
        <v>3</v>
      </c>
      <c r="L117" s="38">
        <v>1</v>
      </c>
      <c r="M117" s="38">
        <v>3</v>
      </c>
      <c r="N117" s="37">
        <f t="shared" si="6"/>
        <v>360</v>
      </c>
      <c r="O117" s="37">
        <v>120</v>
      </c>
      <c r="P117" s="36"/>
      <c r="Q117" s="38">
        <v>1</v>
      </c>
      <c r="R117" s="38">
        <v>0</v>
      </c>
      <c r="S117" s="37">
        <f t="shared" si="7"/>
        <v>0</v>
      </c>
      <c r="T117" s="37">
        <v>120</v>
      </c>
      <c r="U117" s="36"/>
      <c r="V117" s="38">
        <v>1</v>
      </c>
      <c r="W117" s="38">
        <v>0</v>
      </c>
      <c r="X117" s="37">
        <f t="shared" si="8"/>
        <v>0</v>
      </c>
      <c r="Y117" s="37">
        <v>110</v>
      </c>
      <c r="Z117" s="36"/>
      <c r="AA117" s="38">
        <v>1</v>
      </c>
      <c r="AB117" s="38">
        <v>0</v>
      </c>
      <c r="AC117" s="37">
        <f t="shared" si="9"/>
        <v>0</v>
      </c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</row>
    <row r="118" spans="1:41">
      <c r="A118" s="24" t="s">
        <v>52</v>
      </c>
      <c r="B118" s="24" t="s">
        <v>126</v>
      </c>
      <c r="C118" s="24" t="s">
        <v>68</v>
      </c>
      <c r="D118" s="24" t="s">
        <v>29</v>
      </c>
      <c r="E118" s="25">
        <v>120</v>
      </c>
      <c r="F118" s="24"/>
      <c r="G118" s="26">
        <v>2</v>
      </c>
      <c r="H118" s="26">
        <v>0</v>
      </c>
      <c r="I118" s="25">
        <f t="shared" si="5"/>
        <v>0</v>
      </c>
      <c r="J118" s="25">
        <v>120</v>
      </c>
      <c r="K118" s="26">
        <v>1</v>
      </c>
      <c r="L118" s="26">
        <v>2</v>
      </c>
      <c r="M118" s="26">
        <v>2</v>
      </c>
      <c r="N118" s="25">
        <f t="shared" si="6"/>
        <v>240</v>
      </c>
      <c r="O118" s="25">
        <v>120</v>
      </c>
      <c r="P118" s="24"/>
      <c r="Q118" s="26">
        <v>2</v>
      </c>
      <c r="R118" s="26">
        <v>0</v>
      </c>
      <c r="S118" s="25">
        <f t="shared" si="7"/>
        <v>0</v>
      </c>
      <c r="T118" s="25">
        <v>120</v>
      </c>
      <c r="U118" s="24"/>
      <c r="V118" s="26">
        <v>2</v>
      </c>
      <c r="W118" s="26">
        <v>0</v>
      </c>
      <c r="X118" s="25">
        <f t="shared" si="8"/>
        <v>0</v>
      </c>
      <c r="Y118" s="25">
        <v>110</v>
      </c>
      <c r="Z118" s="24"/>
      <c r="AA118" s="26">
        <v>2</v>
      </c>
      <c r="AB118" s="26">
        <v>0</v>
      </c>
      <c r="AC118" s="25">
        <f t="shared" si="9"/>
        <v>0</v>
      </c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</row>
    <row r="119" spans="1:41">
      <c r="A119" s="24" t="s">
        <v>52</v>
      </c>
      <c r="B119" s="24" t="s">
        <v>127</v>
      </c>
      <c r="C119" s="24" t="s">
        <v>68</v>
      </c>
      <c r="D119" s="24" t="s">
        <v>29</v>
      </c>
      <c r="E119" s="25">
        <v>120</v>
      </c>
      <c r="F119" s="24"/>
      <c r="G119" s="26">
        <v>2</v>
      </c>
      <c r="H119" s="26">
        <v>0</v>
      </c>
      <c r="I119" s="25">
        <f t="shared" si="5"/>
        <v>0</v>
      </c>
      <c r="J119" s="25">
        <v>120</v>
      </c>
      <c r="K119" s="26">
        <v>1</v>
      </c>
      <c r="L119" s="26">
        <v>2</v>
      </c>
      <c r="M119" s="26">
        <v>2</v>
      </c>
      <c r="N119" s="25">
        <f t="shared" si="6"/>
        <v>240</v>
      </c>
      <c r="O119" s="25">
        <v>120</v>
      </c>
      <c r="P119" s="24"/>
      <c r="Q119" s="26">
        <v>2</v>
      </c>
      <c r="R119" s="26">
        <v>0</v>
      </c>
      <c r="S119" s="25">
        <f t="shared" si="7"/>
        <v>0</v>
      </c>
      <c r="T119" s="25">
        <v>120</v>
      </c>
      <c r="U119" s="24"/>
      <c r="V119" s="26">
        <v>2</v>
      </c>
      <c r="W119" s="26">
        <v>0</v>
      </c>
      <c r="X119" s="25">
        <f t="shared" si="8"/>
        <v>0</v>
      </c>
      <c r="Y119" s="25">
        <v>110</v>
      </c>
      <c r="Z119" s="24"/>
      <c r="AA119" s="26">
        <v>2</v>
      </c>
      <c r="AB119" s="26">
        <v>0</v>
      </c>
      <c r="AC119" s="25">
        <f t="shared" si="9"/>
        <v>0</v>
      </c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</row>
    <row r="120" spans="1:41">
      <c r="A120" s="24" t="s">
        <v>52</v>
      </c>
      <c r="B120" s="24" t="s">
        <v>128</v>
      </c>
      <c r="C120" s="24" t="s">
        <v>68</v>
      </c>
      <c r="D120" s="24" t="s">
        <v>29</v>
      </c>
      <c r="E120" s="25">
        <v>120</v>
      </c>
      <c r="F120" s="24"/>
      <c r="G120" s="26">
        <v>2</v>
      </c>
      <c r="H120" s="26">
        <v>0</v>
      </c>
      <c r="I120" s="25">
        <f t="shared" si="5"/>
        <v>0</v>
      </c>
      <c r="J120" s="25">
        <v>120</v>
      </c>
      <c r="K120" s="26">
        <v>1</v>
      </c>
      <c r="L120" s="26">
        <v>2</v>
      </c>
      <c r="M120" s="26">
        <v>2</v>
      </c>
      <c r="N120" s="25">
        <f t="shared" si="6"/>
        <v>240</v>
      </c>
      <c r="O120" s="25">
        <v>120</v>
      </c>
      <c r="P120" s="24"/>
      <c r="Q120" s="26">
        <v>2</v>
      </c>
      <c r="R120" s="26">
        <v>0</v>
      </c>
      <c r="S120" s="25">
        <f t="shared" si="7"/>
        <v>0</v>
      </c>
      <c r="T120" s="25">
        <v>120</v>
      </c>
      <c r="U120" s="24"/>
      <c r="V120" s="26">
        <v>2</v>
      </c>
      <c r="W120" s="26">
        <v>0</v>
      </c>
      <c r="X120" s="25">
        <f t="shared" si="8"/>
        <v>0</v>
      </c>
      <c r="Y120" s="25">
        <v>110</v>
      </c>
      <c r="Z120" s="24"/>
      <c r="AA120" s="26">
        <v>2</v>
      </c>
      <c r="AB120" s="26">
        <v>0</v>
      </c>
      <c r="AC120" s="25">
        <f t="shared" si="9"/>
        <v>0</v>
      </c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</row>
    <row r="121" spans="1:41">
      <c r="A121" s="24" t="s">
        <v>52</v>
      </c>
      <c r="B121" s="24" t="s">
        <v>129</v>
      </c>
      <c r="C121" s="24" t="s">
        <v>68</v>
      </c>
      <c r="D121" s="24" t="s">
        <v>13</v>
      </c>
      <c r="E121" s="25">
        <v>120</v>
      </c>
      <c r="F121" s="24"/>
      <c r="G121" s="26">
        <v>1</v>
      </c>
      <c r="H121" s="26">
        <v>0</v>
      </c>
      <c r="I121" s="25">
        <f t="shared" si="5"/>
        <v>0</v>
      </c>
      <c r="J121" s="25">
        <v>120</v>
      </c>
      <c r="K121" s="24"/>
      <c r="L121" s="26">
        <v>1</v>
      </c>
      <c r="M121" s="26">
        <v>0</v>
      </c>
      <c r="N121" s="25">
        <f t="shared" si="6"/>
        <v>0</v>
      </c>
      <c r="O121" s="25">
        <v>120</v>
      </c>
      <c r="P121" s="24"/>
      <c r="Q121" s="26">
        <v>1</v>
      </c>
      <c r="R121" s="26">
        <v>0</v>
      </c>
      <c r="S121" s="25">
        <f t="shared" si="7"/>
        <v>0</v>
      </c>
      <c r="T121" s="25">
        <v>120</v>
      </c>
      <c r="U121" s="24"/>
      <c r="V121" s="26">
        <v>1</v>
      </c>
      <c r="W121" s="26">
        <v>0</v>
      </c>
      <c r="X121" s="25">
        <f t="shared" si="8"/>
        <v>0</v>
      </c>
      <c r="Y121" s="25">
        <v>110</v>
      </c>
      <c r="Z121" s="26">
        <v>1</v>
      </c>
      <c r="AA121" s="26">
        <v>1</v>
      </c>
      <c r="AB121" s="26">
        <v>1</v>
      </c>
      <c r="AC121" s="25">
        <f t="shared" si="9"/>
        <v>110</v>
      </c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</row>
    <row r="122" spans="1:41">
      <c r="A122" s="24" t="s">
        <v>52</v>
      </c>
      <c r="B122" s="24" t="s">
        <v>130</v>
      </c>
      <c r="C122" s="24" t="s">
        <v>68</v>
      </c>
      <c r="D122" s="24" t="s">
        <v>13</v>
      </c>
      <c r="E122" s="25">
        <v>120</v>
      </c>
      <c r="F122" s="24"/>
      <c r="G122" s="26">
        <v>1</v>
      </c>
      <c r="H122" s="26">
        <v>0</v>
      </c>
      <c r="I122" s="25">
        <f t="shared" si="5"/>
        <v>0</v>
      </c>
      <c r="J122" s="25">
        <v>120</v>
      </c>
      <c r="K122" s="24"/>
      <c r="L122" s="26">
        <v>1</v>
      </c>
      <c r="M122" s="26">
        <v>0</v>
      </c>
      <c r="N122" s="25">
        <f t="shared" si="6"/>
        <v>0</v>
      </c>
      <c r="O122" s="25">
        <v>120</v>
      </c>
      <c r="P122" s="24"/>
      <c r="Q122" s="26">
        <v>1</v>
      </c>
      <c r="R122" s="26">
        <v>0</v>
      </c>
      <c r="S122" s="25">
        <f t="shared" si="7"/>
        <v>0</v>
      </c>
      <c r="T122" s="25">
        <v>120</v>
      </c>
      <c r="U122" s="26">
        <v>1</v>
      </c>
      <c r="V122" s="26">
        <v>1</v>
      </c>
      <c r="W122" s="26">
        <v>1</v>
      </c>
      <c r="X122" s="25">
        <f t="shared" si="8"/>
        <v>120</v>
      </c>
      <c r="Y122" s="25">
        <v>110</v>
      </c>
      <c r="Z122" s="24"/>
      <c r="AA122" s="26">
        <v>1</v>
      </c>
      <c r="AB122" s="26">
        <v>0</v>
      </c>
      <c r="AC122" s="25">
        <f t="shared" si="9"/>
        <v>0</v>
      </c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</row>
    <row r="123" spans="1:41">
      <c r="A123" s="39" t="s">
        <v>52</v>
      </c>
      <c r="B123" s="39" t="s">
        <v>131</v>
      </c>
      <c r="C123" s="39" t="s">
        <v>70</v>
      </c>
      <c r="D123" s="39" t="s">
        <v>13</v>
      </c>
      <c r="E123" s="40">
        <v>140</v>
      </c>
      <c r="F123" s="39"/>
      <c r="G123" s="41">
        <v>1</v>
      </c>
      <c r="H123" s="41">
        <v>0</v>
      </c>
      <c r="I123" s="40">
        <f t="shared" si="5"/>
        <v>0</v>
      </c>
      <c r="J123" s="40">
        <v>140</v>
      </c>
      <c r="K123" s="39"/>
      <c r="L123" s="41">
        <v>1</v>
      </c>
      <c r="M123" s="41">
        <v>0</v>
      </c>
      <c r="N123" s="40">
        <f t="shared" si="6"/>
        <v>0</v>
      </c>
      <c r="O123" s="40">
        <v>120</v>
      </c>
      <c r="P123" s="39"/>
      <c r="Q123" s="41">
        <v>1</v>
      </c>
      <c r="R123" s="41">
        <v>0</v>
      </c>
      <c r="S123" s="40">
        <f t="shared" si="7"/>
        <v>0</v>
      </c>
      <c r="T123" s="40">
        <v>140</v>
      </c>
      <c r="U123" s="41">
        <v>1</v>
      </c>
      <c r="V123" s="41">
        <v>1</v>
      </c>
      <c r="W123" s="41">
        <v>1</v>
      </c>
      <c r="X123" s="40">
        <f t="shared" si="8"/>
        <v>140</v>
      </c>
      <c r="Y123" s="40">
        <v>140</v>
      </c>
      <c r="Z123" s="39"/>
      <c r="AA123" s="41">
        <v>1</v>
      </c>
      <c r="AB123" s="41">
        <v>0</v>
      </c>
      <c r="AC123" s="40">
        <f t="shared" si="9"/>
        <v>0</v>
      </c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</row>
    <row r="124" spans="1:41">
      <c r="A124" s="24" t="s">
        <v>52</v>
      </c>
      <c r="B124" s="24" t="s">
        <v>131</v>
      </c>
      <c r="C124" s="24" t="s">
        <v>68</v>
      </c>
      <c r="D124" s="24" t="s">
        <v>13</v>
      </c>
      <c r="E124" s="25">
        <v>120</v>
      </c>
      <c r="F124" s="24"/>
      <c r="G124" s="26">
        <v>1</v>
      </c>
      <c r="H124" s="26">
        <v>0</v>
      </c>
      <c r="I124" s="25">
        <f t="shared" si="5"/>
        <v>0</v>
      </c>
      <c r="J124" s="25">
        <v>120</v>
      </c>
      <c r="K124" s="26">
        <v>1</v>
      </c>
      <c r="L124" s="26">
        <v>1</v>
      </c>
      <c r="M124" s="26">
        <v>1</v>
      </c>
      <c r="N124" s="25">
        <f t="shared" si="6"/>
        <v>120</v>
      </c>
      <c r="O124" s="25">
        <v>120</v>
      </c>
      <c r="P124" s="24"/>
      <c r="Q124" s="26">
        <v>1</v>
      </c>
      <c r="R124" s="26">
        <v>0</v>
      </c>
      <c r="S124" s="25">
        <f t="shared" si="7"/>
        <v>0</v>
      </c>
      <c r="T124" s="25">
        <v>120</v>
      </c>
      <c r="U124" s="24"/>
      <c r="V124" s="26">
        <v>1</v>
      </c>
      <c r="W124" s="26">
        <v>0</v>
      </c>
      <c r="X124" s="25">
        <f t="shared" si="8"/>
        <v>0</v>
      </c>
      <c r="Y124" s="25">
        <v>110</v>
      </c>
      <c r="Z124" s="24"/>
      <c r="AA124" s="26">
        <v>1</v>
      </c>
      <c r="AB124" s="26">
        <v>0</v>
      </c>
      <c r="AC124" s="25">
        <f t="shared" si="9"/>
        <v>0</v>
      </c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</row>
    <row r="125" spans="1:41">
      <c r="A125" s="39" t="s">
        <v>52</v>
      </c>
      <c r="B125" s="39" t="s">
        <v>132</v>
      </c>
      <c r="C125" s="39" t="s">
        <v>70</v>
      </c>
      <c r="D125" s="39" t="s">
        <v>13</v>
      </c>
      <c r="E125" s="40">
        <v>140</v>
      </c>
      <c r="F125" s="39"/>
      <c r="G125" s="41">
        <v>1</v>
      </c>
      <c r="H125" s="41">
        <v>0</v>
      </c>
      <c r="I125" s="40">
        <f t="shared" si="5"/>
        <v>0</v>
      </c>
      <c r="J125" s="40">
        <v>140</v>
      </c>
      <c r="K125" s="39"/>
      <c r="L125" s="41">
        <v>1</v>
      </c>
      <c r="M125" s="41">
        <v>0</v>
      </c>
      <c r="N125" s="40">
        <f t="shared" si="6"/>
        <v>0</v>
      </c>
      <c r="O125" s="40">
        <v>120</v>
      </c>
      <c r="P125" s="39"/>
      <c r="Q125" s="41">
        <v>1</v>
      </c>
      <c r="R125" s="41">
        <v>0</v>
      </c>
      <c r="S125" s="40">
        <f t="shared" si="7"/>
        <v>0</v>
      </c>
      <c r="T125" s="40">
        <v>140</v>
      </c>
      <c r="U125" s="41">
        <v>3</v>
      </c>
      <c r="V125" s="41">
        <v>1</v>
      </c>
      <c r="W125" s="41">
        <v>3</v>
      </c>
      <c r="X125" s="40">
        <f t="shared" si="8"/>
        <v>420</v>
      </c>
      <c r="Y125" s="40">
        <v>140</v>
      </c>
      <c r="Z125" s="39"/>
      <c r="AA125" s="41">
        <v>1</v>
      </c>
      <c r="AB125" s="41">
        <v>0</v>
      </c>
      <c r="AC125" s="40">
        <f t="shared" si="9"/>
        <v>0</v>
      </c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</row>
    <row r="126" spans="1:41">
      <c r="A126" s="39" t="s">
        <v>52</v>
      </c>
      <c r="B126" s="39" t="s">
        <v>133</v>
      </c>
      <c r="C126" s="39" t="s">
        <v>70</v>
      </c>
      <c r="D126" s="39" t="s">
        <v>55</v>
      </c>
      <c r="E126" s="40">
        <v>140</v>
      </c>
      <c r="F126" s="39"/>
      <c r="G126" s="41">
        <v>3</v>
      </c>
      <c r="H126" s="41">
        <v>0</v>
      </c>
      <c r="I126" s="40">
        <f t="shared" si="5"/>
        <v>0</v>
      </c>
      <c r="J126" s="40">
        <v>140</v>
      </c>
      <c r="K126" s="41">
        <v>1</v>
      </c>
      <c r="L126" s="41">
        <v>3</v>
      </c>
      <c r="M126" s="41">
        <v>3</v>
      </c>
      <c r="N126" s="40">
        <f t="shared" si="6"/>
        <v>420</v>
      </c>
      <c r="O126" s="40">
        <v>120</v>
      </c>
      <c r="P126" s="39"/>
      <c r="Q126" s="41">
        <v>3</v>
      </c>
      <c r="R126" s="41">
        <v>0</v>
      </c>
      <c r="S126" s="40">
        <f t="shared" si="7"/>
        <v>0</v>
      </c>
      <c r="T126" s="40">
        <v>140</v>
      </c>
      <c r="U126" s="39"/>
      <c r="V126" s="41">
        <v>3</v>
      </c>
      <c r="W126" s="41">
        <v>0</v>
      </c>
      <c r="X126" s="40">
        <f t="shared" si="8"/>
        <v>0</v>
      </c>
      <c r="Y126" s="40">
        <v>140</v>
      </c>
      <c r="Z126" s="39"/>
      <c r="AA126" s="41">
        <v>3</v>
      </c>
      <c r="AB126" s="41">
        <v>0</v>
      </c>
      <c r="AC126" s="40">
        <f t="shared" si="9"/>
        <v>0</v>
      </c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</row>
    <row r="127" spans="1:41">
      <c r="A127" s="24" t="s">
        <v>52</v>
      </c>
      <c r="B127" s="24" t="s">
        <v>134</v>
      </c>
      <c r="C127" s="24" t="s">
        <v>68</v>
      </c>
      <c r="D127" s="24" t="s">
        <v>13</v>
      </c>
      <c r="E127" s="25">
        <v>120</v>
      </c>
      <c r="F127" s="24"/>
      <c r="G127" s="26">
        <v>1</v>
      </c>
      <c r="H127" s="26">
        <v>0</v>
      </c>
      <c r="I127" s="25">
        <f t="shared" si="5"/>
        <v>0</v>
      </c>
      <c r="J127" s="25">
        <v>120</v>
      </c>
      <c r="K127" s="26">
        <v>1</v>
      </c>
      <c r="L127" s="26">
        <v>1</v>
      </c>
      <c r="M127" s="26">
        <v>1</v>
      </c>
      <c r="N127" s="25">
        <f t="shared" si="6"/>
        <v>120</v>
      </c>
      <c r="O127" s="25">
        <v>120</v>
      </c>
      <c r="P127" s="24"/>
      <c r="Q127" s="26">
        <v>1</v>
      </c>
      <c r="R127" s="26">
        <v>0</v>
      </c>
      <c r="S127" s="25">
        <f t="shared" si="7"/>
        <v>0</v>
      </c>
      <c r="T127" s="25">
        <v>120</v>
      </c>
      <c r="U127" s="24"/>
      <c r="V127" s="26">
        <v>1</v>
      </c>
      <c r="W127" s="26">
        <v>0</v>
      </c>
      <c r="X127" s="25">
        <f t="shared" si="8"/>
        <v>0</v>
      </c>
      <c r="Y127" s="25">
        <v>110</v>
      </c>
      <c r="Z127" s="24"/>
      <c r="AA127" s="26">
        <v>1</v>
      </c>
      <c r="AB127" s="26">
        <v>0</v>
      </c>
      <c r="AC127" s="25">
        <f t="shared" si="9"/>
        <v>0</v>
      </c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</row>
    <row r="128" spans="1:41">
      <c r="A128" s="36" t="s">
        <v>52</v>
      </c>
      <c r="B128" s="36" t="s">
        <v>135</v>
      </c>
      <c r="C128" s="36" t="s">
        <v>68</v>
      </c>
      <c r="D128" s="36" t="s">
        <v>13</v>
      </c>
      <c r="E128" s="37">
        <v>120</v>
      </c>
      <c r="F128" s="36"/>
      <c r="G128" s="38">
        <v>1</v>
      </c>
      <c r="H128" s="38">
        <v>0</v>
      </c>
      <c r="I128" s="37">
        <f t="shared" si="5"/>
        <v>0</v>
      </c>
      <c r="J128" s="37">
        <v>120</v>
      </c>
      <c r="K128" s="36"/>
      <c r="L128" s="38">
        <v>1</v>
      </c>
      <c r="M128" s="38">
        <v>0</v>
      </c>
      <c r="N128" s="37">
        <f t="shared" si="6"/>
        <v>0</v>
      </c>
      <c r="O128" s="37">
        <v>120</v>
      </c>
      <c r="P128" s="36"/>
      <c r="Q128" s="38">
        <v>1</v>
      </c>
      <c r="R128" s="38">
        <v>0</v>
      </c>
      <c r="S128" s="37">
        <f t="shared" si="7"/>
        <v>0</v>
      </c>
      <c r="T128" s="37">
        <v>120</v>
      </c>
      <c r="U128" s="36"/>
      <c r="V128" s="38">
        <v>1</v>
      </c>
      <c r="W128" s="38">
        <v>0</v>
      </c>
      <c r="X128" s="37">
        <f t="shared" si="8"/>
        <v>0</v>
      </c>
      <c r="Y128" s="37">
        <v>110</v>
      </c>
      <c r="Z128" s="38">
        <v>1</v>
      </c>
      <c r="AA128" s="38">
        <v>1</v>
      </c>
      <c r="AB128" s="38">
        <v>1</v>
      </c>
      <c r="AC128" s="37">
        <f t="shared" si="9"/>
        <v>110</v>
      </c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</row>
    <row r="129" spans="1:41">
      <c r="A129" s="36" t="s">
        <v>52</v>
      </c>
      <c r="B129" s="36" t="s">
        <v>136</v>
      </c>
      <c r="C129" s="36" t="s">
        <v>68</v>
      </c>
      <c r="D129" s="36" t="s">
        <v>13</v>
      </c>
      <c r="E129" s="37">
        <v>120</v>
      </c>
      <c r="F129" s="36"/>
      <c r="G129" s="38">
        <v>1</v>
      </c>
      <c r="H129" s="38">
        <v>0</v>
      </c>
      <c r="I129" s="37">
        <f t="shared" si="5"/>
        <v>0</v>
      </c>
      <c r="J129" s="37">
        <v>120</v>
      </c>
      <c r="K129" s="38">
        <v>6</v>
      </c>
      <c r="L129" s="38">
        <v>1</v>
      </c>
      <c r="M129" s="38">
        <v>6</v>
      </c>
      <c r="N129" s="37">
        <f t="shared" si="6"/>
        <v>720</v>
      </c>
      <c r="O129" s="37">
        <v>120</v>
      </c>
      <c r="P129" s="36"/>
      <c r="Q129" s="38">
        <v>1</v>
      </c>
      <c r="R129" s="38">
        <v>0</v>
      </c>
      <c r="S129" s="37">
        <f t="shared" si="7"/>
        <v>0</v>
      </c>
      <c r="T129" s="37">
        <v>120</v>
      </c>
      <c r="U129" s="36"/>
      <c r="V129" s="38">
        <v>1</v>
      </c>
      <c r="W129" s="38">
        <v>0</v>
      </c>
      <c r="X129" s="37">
        <f t="shared" si="8"/>
        <v>0</v>
      </c>
      <c r="Y129" s="37">
        <v>110</v>
      </c>
      <c r="Z129" s="36"/>
      <c r="AA129" s="38">
        <v>1</v>
      </c>
      <c r="AB129" s="38">
        <v>0</v>
      </c>
      <c r="AC129" s="37">
        <f t="shared" si="9"/>
        <v>0</v>
      </c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</row>
    <row r="130" spans="1:41">
      <c r="A130" s="36" t="s">
        <v>52</v>
      </c>
      <c r="B130" s="36" t="s">
        <v>137</v>
      </c>
      <c r="C130" s="36" t="s">
        <v>68</v>
      </c>
      <c r="D130" s="36" t="s">
        <v>13</v>
      </c>
      <c r="E130" s="37">
        <v>120</v>
      </c>
      <c r="F130" s="36"/>
      <c r="G130" s="38">
        <v>1</v>
      </c>
      <c r="H130" s="38">
        <v>0</v>
      </c>
      <c r="I130" s="37">
        <f t="shared" si="5"/>
        <v>0</v>
      </c>
      <c r="J130" s="37">
        <v>120</v>
      </c>
      <c r="K130" s="38">
        <v>1</v>
      </c>
      <c r="L130" s="38">
        <v>1</v>
      </c>
      <c r="M130" s="38">
        <v>1</v>
      </c>
      <c r="N130" s="37">
        <f t="shared" si="6"/>
        <v>120</v>
      </c>
      <c r="O130" s="37">
        <v>120</v>
      </c>
      <c r="P130" s="36"/>
      <c r="Q130" s="38">
        <v>1</v>
      </c>
      <c r="R130" s="38">
        <v>0</v>
      </c>
      <c r="S130" s="37">
        <f t="shared" si="7"/>
        <v>0</v>
      </c>
      <c r="T130" s="37">
        <v>120</v>
      </c>
      <c r="U130" s="36"/>
      <c r="V130" s="38">
        <v>1</v>
      </c>
      <c r="W130" s="38">
        <v>0</v>
      </c>
      <c r="X130" s="37">
        <f t="shared" si="8"/>
        <v>0</v>
      </c>
      <c r="Y130" s="37">
        <v>110</v>
      </c>
      <c r="Z130" s="36"/>
      <c r="AA130" s="38">
        <v>1</v>
      </c>
      <c r="AB130" s="38">
        <v>0</v>
      </c>
      <c r="AC130" s="37">
        <f t="shared" si="9"/>
        <v>0</v>
      </c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</row>
    <row r="131" spans="1:41">
      <c r="A131" s="36" t="s">
        <v>52</v>
      </c>
      <c r="B131" s="36" t="s">
        <v>138</v>
      </c>
      <c r="C131" s="36" t="s">
        <v>68</v>
      </c>
      <c r="D131" s="36" t="s">
        <v>13</v>
      </c>
      <c r="E131" s="37">
        <v>120</v>
      </c>
      <c r="F131" s="36"/>
      <c r="G131" s="38">
        <v>1</v>
      </c>
      <c r="H131" s="38">
        <v>0</v>
      </c>
      <c r="I131" s="37">
        <f t="shared" ref="I131:I194" si="10">E131*H131</f>
        <v>0</v>
      </c>
      <c r="J131" s="37">
        <v>120</v>
      </c>
      <c r="K131" s="38">
        <v>1</v>
      </c>
      <c r="L131" s="38">
        <v>1</v>
      </c>
      <c r="M131" s="38">
        <v>1</v>
      </c>
      <c r="N131" s="37">
        <f t="shared" ref="N131:N194" si="11">J131*M131</f>
        <v>120</v>
      </c>
      <c r="O131" s="37">
        <v>120</v>
      </c>
      <c r="P131" s="36"/>
      <c r="Q131" s="38">
        <v>1</v>
      </c>
      <c r="R131" s="38">
        <v>0</v>
      </c>
      <c r="S131" s="37">
        <f t="shared" ref="S131:S194" si="12">O131*R131</f>
        <v>0</v>
      </c>
      <c r="T131" s="37">
        <v>120</v>
      </c>
      <c r="U131" s="36"/>
      <c r="V131" s="38">
        <v>1</v>
      </c>
      <c r="W131" s="38">
        <v>0</v>
      </c>
      <c r="X131" s="37">
        <f t="shared" ref="X131:X194" si="13">T131*W131</f>
        <v>0</v>
      </c>
      <c r="Y131" s="37">
        <v>110</v>
      </c>
      <c r="Z131" s="36"/>
      <c r="AA131" s="38">
        <v>1</v>
      </c>
      <c r="AB131" s="38">
        <v>0</v>
      </c>
      <c r="AC131" s="37">
        <f t="shared" ref="AC131:AC194" si="14">Y131*AB131</f>
        <v>0</v>
      </c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</row>
    <row r="132" spans="1:41">
      <c r="A132" s="36" t="s">
        <v>52</v>
      </c>
      <c r="B132" s="36" t="s">
        <v>139</v>
      </c>
      <c r="C132" s="36" t="s">
        <v>68</v>
      </c>
      <c r="D132" s="36" t="s">
        <v>13</v>
      </c>
      <c r="E132" s="37">
        <v>120</v>
      </c>
      <c r="F132" s="36"/>
      <c r="G132" s="38">
        <v>1</v>
      </c>
      <c r="H132" s="38">
        <v>0</v>
      </c>
      <c r="I132" s="37">
        <f t="shared" si="10"/>
        <v>0</v>
      </c>
      <c r="J132" s="37">
        <v>120</v>
      </c>
      <c r="K132" s="38">
        <v>2</v>
      </c>
      <c r="L132" s="38">
        <v>1</v>
      </c>
      <c r="M132" s="38">
        <v>2</v>
      </c>
      <c r="N132" s="37">
        <f t="shared" si="11"/>
        <v>240</v>
      </c>
      <c r="O132" s="37">
        <v>120</v>
      </c>
      <c r="P132" s="36"/>
      <c r="Q132" s="38">
        <v>1</v>
      </c>
      <c r="R132" s="38">
        <v>0</v>
      </c>
      <c r="S132" s="37">
        <f t="shared" si="12"/>
        <v>0</v>
      </c>
      <c r="T132" s="37">
        <v>120</v>
      </c>
      <c r="U132" s="36"/>
      <c r="V132" s="38">
        <v>1</v>
      </c>
      <c r="W132" s="38">
        <v>0</v>
      </c>
      <c r="X132" s="37">
        <f t="shared" si="13"/>
        <v>0</v>
      </c>
      <c r="Y132" s="37">
        <v>110</v>
      </c>
      <c r="Z132" s="36"/>
      <c r="AA132" s="38">
        <v>1</v>
      </c>
      <c r="AB132" s="38">
        <v>0</v>
      </c>
      <c r="AC132" s="37">
        <f t="shared" si="14"/>
        <v>0</v>
      </c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</row>
    <row r="133" spans="1:41">
      <c r="A133" s="39" t="s">
        <v>52</v>
      </c>
      <c r="B133" s="39" t="s">
        <v>140</v>
      </c>
      <c r="C133" s="39" t="s">
        <v>70</v>
      </c>
      <c r="D133" s="39" t="s">
        <v>55</v>
      </c>
      <c r="E133" s="40">
        <v>140</v>
      </c>
      <c r="F133" s="39"/>
      <c r="G133" s="41">
        <v>3</v>
      </c>
      <c r="H133" s="41">
        <v>0</v>
      </c>
      <c r="I133" s="40">
        <f t="shared" si="10"/>
        <v>0</v>
      </c>
      <c r="J133" s="40">
        <v>140</v>
      </c>
      <c r="K133" s="41">
        <v>1</v>
      </c>
      <c r="L133" s="41">
        <v>3</v>
      </c>
      <c r="M133" s="41">
        <v>3</v>
      </c>
      <c r="N133" s="40">
        <f t="shared" si="11"/>
        <v>420</v>
      </c>
      <c r="O133" s="40">
        <v>120</v>
      </c>
      <c r="P133" s="39"/>
      <c r="Q133" s="41">
        <v>3</v>
      </c>
      <c r="R133" s="41">
        <v>0</v>
      </c>
      <c r="S133" s="40">
        <f t="shared" si="12"/>
        <v>0</v>
      </c>
      <c r="T133" s="40">
        <v>140</v>
      </c>
      <c r="U133" s="41">
        <v>1</v>
      </c>
      <c r="V133" s="41">
        <v>3</v>
      </c>
      <c r="W133" s="41">
        <v>3</v>
      </c>
      <c r="X133" s="40">
        <f t="shared" si="13"/>
        <v>420</v>
      </c>
      <c r="Y133" s="40">
        <v>140</v>
      </c>
      <c r="Z133" s="39"/>
      <c r="AA133" s="41">
        <v>3</v>
      </c>
      <c r="AB133" s="41">
        <v>0</v>
      </c>
      <c r="AC133" s="40">
        <f t="shared" si="14"/>
        <v>0</v>
      </c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</row>
    <row r="134" spans="1:41">
      <c r="A134" s="39" t="s">
        <v>52</v>
      </c>
      <c r="B134" s="39" t="s">
        <v>141</v>
      </c>
      <c r="C134" s="39" t="s">
        <v>70</v>
      </c>
      <c r="D134" s="39" t="s">
        <v>55</v>
      </c>
      <c r="E134" s="40">
        <v>140</v>
      </c>
      <c r="F134" s="39"/>
      <c r="G134" s="41">
        <v>3</v>
      </c>
      <c r="H134" s="41">
        <v>0</v>
      </c>
      <c r="I134" s="40">
        <f t="shared" si="10"/>
        <v>0</v>
      </c>
      <c r="J134" s="40">
        <v>140</v>
      </c>
      <c r="K134" s="39"/>
      <c r="L134" s="41">
        <v>3</v>
      </c>
      <c r="M134" s="41">
        <v>0</v>
      </c>
      <c r="N134" s="40">
        <f t="shared" si="11"/>
        <v>0</v>
      </c>
      <c r="O134" s="40">
        <v>120</v>
      </c>
      <c r="P134" s="39"/>
      <c r="Q134" s="41">
        <v>3</v>
      </c>
      <c r="R134" s="41">
        <v>0</v>
      </c>
      <c r="S134" s="40">
        <f t="shared" si="12"/>
        <v>0</v>
      </c>
      <c r="T134" s="40">
        <v>140</v>
      </c>
      <c r="U134" s="41">
        <v>1</v>
      </c>
      <c r="V134" s="41">
        <v>3</v>
      </c>
      <c r="W134" s="41">
        <v>3</v>
      </c>
      <c r="X134" s="40">
        <f t="shared" si="13"/>
        <v>420</v>
      </c>
      <c r="Y134" s="40">
        <v>140</v>
      </c>
      <c r="Z134" s="39"/>
      <c r="AA134" s="41">
        <v>3</v>
      </c>
      <c r="AB134" s="41">
        <v>0</v>
      </c>
      <c r="AC134" s="40">
        <f t="shared" si="14"/>
        <v>0</v>
      </c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</row>
    <row r="135" spans="1:41">
      <c r="A135" s="33" t="s">
        <v>52</v>
      </c>
      <c r="B135" s="33" t="s">
        <v>142</v>
      </c>
      <c r="C135" s="33" t="s">
        <v>54</v>
      </c>
      <c r="D135" s="33" t="s">
        <v>13</v>
      </c>
      <c r="E135" s="34">
        <v>140</v>
      </c>
      <c r="F135" s="33"/>
      <c r="G135" s="35">
        <v>1</v>
      </c>
      <c r="H135" s="35">
        <v>0</v>
      </c>
      <c r="I135" s="34">
        <f t="shared" si="10"/>
        <v>0</v>
      </c>
      <c r="J135" s="34">
        <v>140</v>
      </c>
      <c r="K135" s="33"/>
      <c r="L135" s="35">
        <v>1</v>
      </c>
      <c r="M135" s="35">
        <v>0</v>
      </c>
      <c r="N135" s="34">
        <f t="shared" si="11"/>
        <v>0</v>
      </c>
      <c r="O135" s="34">
        <v>140</v>
      </c>
      <c r="P135" s="33"/>
      <c r="Q135" s="35">
        <v>1</v>
      </c>
      <c r="R135" s="35">
        <v>0</v>
      </c>
      <c r="S135" s="34">
        <f t="shared" si="12"/>
        <v>0</v>
      </c>
      <c r="T135" s="34">
        <v>140</v>
      </c>
      <c r="U135" s="35">
        <v>1</v>
      </c>
      <c r="V135" s="35">
        <v>1</v>
      </c>
      <c r="W135" s="35">
        <v>1</v>
      </c>
      <c r="X135" s="34">
        <f t="shared" si="13"/>
        <v>140</v>
      </c>
      <c r="Y135" s="34">
        <v>135</v>
      </c>
      <c r="Z135" s="33"/>
      <c r="AA135" s="35">
        <v>1</v>
      </c>
      <c r="AB135" s="35">
        <v>0</v>
      </c>
      <c r="AC135" s="34">
        <f t="shared" si="14"/>
        <v>0</v>
      </c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</row>
    <row r="136" spans="1:41">
      <c r="A136" s="33" t="s">
        <v>52</v>
      </c>
      <c r="B136" s="33" t="s">
        <v>143</v>
      </c>
      <c r="C136" s="33" t="s">
        <v>54</v>
      </c>
      <c r="D136" s="33" t="s">
        <v>55</v>
      </c>
      <c r="E136" s="34">
        <v>140</v>
      </c>
      <c r="F136" s="33"/>
      <c r="G136" s="35">
        <v>3</v>
      </c>
      <c r="H136" s="35">
        <v>0</v>
      </c>
      <c r="I136" s="34">
        <f t="shared" si="10"/>
        <v>0</v>
      </c>
      <c r="J136" s="34">
        <v>140</v>
      </c>
      <c r="K136" s="35">
        <v>2</v>
      </c>
      <c r="L136" s="35">
        <v>3</v>
      </c>
      <c r="M136" s="35">
        <v>6</v>
      </c>
      <c r="N136" s="34">
        <f t="shared" si="11"/>
        <v>840</v>
      </c>
      <c r="O136" s="34">
        <v>140</v>
      </c>
      <c r="P136" s="33"/>
      <c r="Q136" s="35">
        <v>3</v>
      </c>
      <c r="R136" s="35">
        <v>0</v>
      </c>
      <c r="S136" s="34">
        <f t="shared" si="12"/>
        <v>0</v>
      </c>
      <c r="T136" s="34">
        <v>140</v>
      </c>
      <c r="U136" s="33"/>
      <c r="V136" s="35">
        <v>3</v>
      </c>
      <c r="W136" s="35">
        <v>0</v>
      </c>
      <c r="X136" s="34">
        <f t="shared" si="13"/>
        <v>0</v>
      </c>
      <c r="Y136" s="34">
        <v>135</v>
      </c>
      <c r="Z136" s="33"/>
      <c r="AA136" s="35">
        <v>3</v>
      </c>
      <c r="AB136" s="35">
        <v>0</v>
      </c>
      <c r="AC136" s="34">
        <f t="shared" si="14"/>
        <v>0</v>
      </c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</row>
    <row r="137" spans="1:41">
      <c r="A137" s="33" t="s">
        <v>52</v>
      </c>
      <c r="B137" s="33" t="s">
        <v>144</v>
      </c>
      <c r="C137" s="33" t="s">
        <v>54</v>
      </c>
      <c r="D137" s="33" t="s">
        <v>55</v>
      </c>
      <c r="E137" s="34">
        <v>140</v>
      </c>
      <c r="F137" s="33"/>
      <c r="G137" s="35">
        <v>3</v>
      </c>
      <c r="H137" s="35">
        <v>0</v>
      </c>
      <c r="I137" s="34">
        <f t="shared" si="10"/>
        <v>0</v>
      </c>
      <c r="J137" s="34">
        <v>140</v>
      </c>
      <c r="K137" s="35">
        <v>1</v>
      </c>
      <c r="L137" s="35">
        <v>3</v>
      </c>
      <c r="M137" s="35">
        <v>3</v>
      </c>
      <c r="N137" s="34">
        <f t="shared" si="11"/>
        <v>420</v>
      </c>
      <c r="O137" s="34">
        <v>140</v>
      </c>
      <c r="P137" s="33"/>
      <c r="Q137" s="35">
        <v>3</v>
      </c>
      <c r="R137" s="35">
        <v>0</v>
      </c>
      <c r="S137" s="34">
        <f t="shared" si="12"/>
        <v>0</v>
      </c>
      <c r="T137" s="34">
        <v>140</v>
      </c>
      <c r="U137" s="35">
        <v>1</v>
      </c>
      <c r="V137" s="35">
        <v>3</v>
      </c>
      <c r="W137" s="35">
        <v>3</v>
      </c>
      <c r="X137" s="34">
        <f t="shared" si="13"/>
        <v>420</v>
      </c>
      <c r="Y137" s="34">
        <v>135</v>
      </c>
      <c r="Z137" s="33"/>
      <c r="AA137" s="35">
        <v>3</v>
      </c>
      <c r="AB137" s="35">
        <v>0</v>
      </c>
      <c r="AC137" s="34">
        <f t="shared" si="14"/>
        <v>0</v>
      </c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</row>
    <row r="138" spans="1:41">
      <c r="A138" s="33" t="s">
        <v>52</v>
      </c>
      <c r="B138" s="33" t="s">
        <v>145</v>
      </c>
      <c r="C138" s="33" t="s">
        <v>54</v>
      </c>
      <c r="D138" s="33" t="s">
        <v>13</v>
      </c>
      <c r="E138" s="34">
        <v>140</v>
      </c>
      <c r="F138" s="33"/>
      <c r="G138" s="35">
        <v>1</v>
      </c>
      <c r="H138" s="35">
        <v>0</v>
      </c>
      <c r="I138" s="34">
        <f t="shared" si="10"/>
        <v>0</v>
      </c>
      <c r="J138" s="34">
        <v>140</v>
      </c>
      <c r="K138" s="35">
        <v>1</v>
      </c>
      <c r="L138" s="35">
        <v>1</v>
      </c>
      <c r="M138" s="35">
        <v>1</v>
      </c>
      <c r="N138" s="34">
        <f t="shared" si="11"/>
        <v>140</v>
      </c>
      <c r="O138" s="34">
        <v>140</v>
      </c>
      <c r="P138" s="33"/>
      <c r="Q138" s="35">
        <v>1</v>
      </c>
      <c r="R138" s="35">
        <v>0</v>
      </c>
      <c r="S138" s="34">
        <f t="shared" si="12"/>
        <v>0</v>
      </c>
      <c r="T138" s="34">
        <v>140</v>
      </c>
      <c r="U138" s="33"/>
      <c r="V138" s="35">
        <v>1</v>
      </c>
      <c r="W138" s="35">
        <v>0</v>
      </c>
      <c r="X138" s="34">
        <f t="shared" si="13"/>
        <v>0</v>
      </c>
      <c r="Y138" s="34">
        <v>135</v>
      </c>
      <c r="Z138" s="33"/>
      <c r="AA138" s="35">
        <v>1</v>
      </c>
      <c r="AB138" s="35">
        <v>0</v>
      </c>
      <c r="AC138" s="34">
        <f t="shared" si="14"/>
        <v>0</v>
      </c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</row>
    <row r="139" spans="1:41">
      <c r="A139" s="33" t="s">
        <v>52</v>
      </c>
      <c r="B139" s="33" t="s">
        <v>146</v>
      </c>
      <c r="C139" s="33" t="s">
        <v>54</v>
      </c>
      <c r="D139" s="33" t="s">
        <v>13</v>
      </c>
      <c r="E139" s="34">
        <v>140</v>
      </c>
      <c r="F139" s="33"/>
      <c r="G139" s="35">
        <v>1</v>
      </c>
      <c r="H139" s="35">
        <v>0</v>
      </c>
      <c r="I139" s="34">
        <f t="shared" si="10"/>
        <v>0</v>
      </c>
      <c r="J139" s="34">
        <v>140</v>
      </c>
      <c r="K139" s="35">
        <v>3</v>
      </c>
      <c r="L139" s="35">
        <v>1</v>
      </c>
      <c r="M139" s="35">
        <v>3</v>
      </c>
      <c r="N139" s="34">
        <f t="shared" si="11"/>
        <v>420</v>
      </c>
      <c r="O139" s="34">
        <v>140</v>
      </c>
      <c r="P139" s="33"/>
      <c r="Q139" s="35">
        <v>1</v>
      </c>
      <c r="R139" s="35">
        <v>0</v>
      </c>
      <c r="S139" s="34">
        <f t="shared" si="12"/>
        <v>0</v>
      </c>
      <c r="T139" s="34">
        <v>140</v>
      </c>
      <c r="U139" s="33"/>
      <c r="V139" s="35">
        <v>1</v>
      </c>
      <c r="W139" s="35">
        <v>0</v>
      </c>
      <c r="X139" s="34">
        <f t="shared" si="13"/>
        <v>0</v>
      </c>
      <c r="Y139" s="34">
        <v>135</v>
      </c>
      <c r="Z139" s="33"/>
      <c r="AA139" s="35">
        <v>1</v>
      </c>
      <c r="AB139" s="35">
        <v>0</v>
      </c>
      <c r="AC139" s="34">
        <f t="shared" si="14"/>
        <v>0</v>
      </c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</row>
    <row r="140" spans="1:41">
      <c r="A140" s="33" t="s">
        <v>52</v>
      </c>
      <c r="B140" s="33" t="s">
        <v>147</v>
      </c>
      <c r="C140" s="33" t="s">
        <v>54</v>
      </c>
      <c r="D140" s="33" t="s">
        <v>29</v>
      </c>
      <c r="E140" s="34">
        <v>140</v>
      </c>
      <c r="F140" s="33"/>
      <c r="G140" s="35">
        <v>2</v>
      </c>
      <c r="H140" s="35">
        <v>0</v>
      </c>
      <c r="I140" s="34">
        <f t="shared" si="10"/>
        <v>0</v>
      </c>
      <c r="J140" s="34">
        <v>140</v>
      </c>
      <c r="K140" s="35">
        <v>2</v>
      </c>
      <c r="L140" s="35">
        <v>2</v>
      </c>
      <c r="M140" s="35">
        <v>4</v>
      </c>
      <c r="N140" s="34">
        <f t="shared" si="11"/>
        <v>560</v>
      </c>
      <c r="O140" s="34">
        <v>140</v>
      </c>
      <c r="P140" s="33"/>
      <c r="Q140" s="35">
        <v>2</v>
      </c>
      <c r="R140" s="35">
        <v>0</v>
      </c>
      <c r="S140" s="34">
        <f t="shared" si="12"/>
        <v>0</v>
      </c>
      <c r="T140" s="34">
        <v>140</v>
      </c>
      <c r="U140" s="33"/>
      <c r="V140" s="35">
        <v>2</v>
      </c>
      <c r="W140" s="35">
        <v>0</v>
      </c>
      <c r="X140" s="34">
        <f t="shared" si="13"/>
        <v>0</v>
      </c>
      <c r="Y140" s="34">
        <v>135</v>
      </c>
      <c r="Z140" s="33"/>
      <c r="AA140" s="35">
        <v>2</v>
      </c>
      <c r="AB140" s="35">
        <v>0</v>
      </c>
      <c r="AC140" s="34">
        <f t="shared" si="14"/>
        <v>0</v>
      </c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</row>
    <row r="141" spans="1:41">
      <c r="A141" s="33" t="s">
        <v>52</v>
      </c>
      <c r="B141" s="33" t="s">
        <v>148</v>
      </c>
      <c r="C141" s="33" t="s">
        <v>68</v>
      </c>
      <c r="D141" s="33" t="s">
        <v>29</v>
      </c>
      <c r="E141" s="34">
        <v>140</v>
      </c>
      <c r="F141" s="33"/>
      <c r="G141" s="35">
        <v>2</v>
      </c>
      <c r="H141" s="35">
        <v>0</v>
      </c>
      <c r="I141" s="34">
        <f t="shared" si="10"/>
        <v>0</v>
      </c>
      <c r="J141" s="34">
        <v>140</v>
      </c>
      <c r="K141" s="35">
        <v>1</v>
      </c>
      <c r="L141" s="35">
        <v>2</v>
      </c>
      <c r="M141" s="35">
        <v>2</v>
      </c>
      <c r="N141" s="34">
        <f t="shared" si="11"/>
        <v>280</v>
      </c>
      <c r="O141" s="34">
        <v>140</v>
      </c>
      <c r="P141" s="33"/>
      <c r="Q141" s="35">
        <v>2</v>
      </c>
      <c r="R141" s="35">
        <v>0</v>
      </c>
      <c r="S141" s="34">
        <f t="shared" si="12"/>
        <v>0</v>
      </c>
      <c r="T141" s="34">
        <v>140</v>
      </c>
      <c r="U141" s="33"/>
      <c r="V141" s="35">
        <v>2</v>
      </c>
      <c r="W141" s="35">
        <v>0</v>
      </c>
      <c r="X141" s="34">
        <f t="shared" si="13"/>
        <v>0</v>
      </c>
      <c r="Y141" s="34">
        <v>135</v>
      </c>
      <c r="Z141" s="33"/>
      <c r="AA141" s="35">
        <v>2</v>
      </c>
      <c r="AB141" s="35">
        <v>0</v>
      </c>
      <c r="AC141" s="34">
        <f t="shared" si="14"/>
        <v>0</v>
      </c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</row>
    <row r="142" spans="1:41">
      <c r="A142" s="33" t="s">
        <v>52</v>
      </c>
      <c r="B142" s="33" t="s">
        <v>149</v>
      </c>
      <c r="C142" s="33" t="s">
        <v>54</v>
      </c>
      <c r="D142" s="33" t="s">
        <v>55</v>
      </c>
      <c r="E142" s="34">
        <v>140</v>
      </c>
      <c r="F142" s="33"/>
      <c r="G142" s="35">
        <v>3</v>
      </c>
      <c r="H142" s="35">
        <v>0</v>
      </c>
      <c r="I142" s="34">
        <f t="shared" si="10"/>
        <v>0</v>
      </c>
      <c r="J142" s="34">
        <v>140</v>
      </c>
      <c r="K142" s="35">
        <v>1</v>
      </c>
      <c r="L142" s="35">
        <v>3</v>
      </c>
      <c r="M142" s="35">
        <v>3</v>
      </c>
      <c r="N142" s="34">
        <f t="shared" si="11"/>
        <v>420</v>
      </c>
      <c r="O142" s="34">
        <v>140</v>
      </c>
      <c r="P142" s="33"/>
      <c r="Q142" s="35">
        <v>3</v>
      </c>
      <c r="R142" s="35">
        <v>0</v>
      </c>
      <c r="S142" s="34">
        <f t="shared" si="12"/>
        <v>0</v>
      </c>
      <c r="T142" s="34">
        <v>140</v>
      </c>
      <c r="U142" s="33"/>
      <c r="V142" s="35">
        <v>3</v>
      </c>
      <c r="W142" s="35">
        <v>0</v>
      </c>
      <c r="X142" s="34">
        <f t="shared" si="13"/>
        <v>0</v>
      </c>
      <c r="Y142" s="34">
        <v>135</v>
      </c>
      <c r="Z142" s="33"/>
      <c r="AA142" s="35">
        <v>3</v>
      </c>
      <c r="AB142" s="35">
        <v>0</v>
      </c>
      <c r="AC142" s="34">
        <f t="shared" si="14"/>
        <v>0</v>
      </c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</row>
    <row r="143" spans="1:41">
      <c r="A143" s="33" t="s">
        <v>52</v>
      </c>
      <c r="B143" s="33" t="s">
        <v>150</v>
      </c>
      <c r="C143" s="33" t="s">
        <v>54</v>
      </c>
      <c r="D143" s="33" t="s">
        <v>13</v>
      </c>
      <c r="E143" s="34">
        <v>140</v>
      </c>
      <c r="F143" s="33"/>
      <c r="G143" s="35">
        <v>1</v>
      </c>
      <c r="H143" s="35">
        <v>0</v>
      </c>
      <c r="I143" s="34">
        <f t="shared" si="10"/>
        <v>0</v>
      </c>
      <c r="J143" s="34">
        <v>140</v>
      </c>
      <c r="K143" s="35">
        <v>7</v>
      </c>
      <c r="L143" s="35">
        <v>1</v>
      </c>
      <c r="M143" s="35">
        <v>7</v>
      </c>
      <c r="N143" s="34">
        <f t="shared" si="11"/>
        <v>980</v>
      </c>
      <c r="O143" s="34">
        <v>140</v>
      </c>
      <c r="P143" s="33"/>
      <c r="Q143" s="35">
        <v>1</v>
      </c>
      <c r="R143" s="35">
        <v>0</v>
      </c>
      <c r="S143" s="34">
        <f t="shared" si="12"/>
        <v>0</v>
      </c>
      <c r="T143" s="34">
        <v>140</v>
      </c>
      <c r="U143" s="33"/>
      <c r="V143" s="35">
        <v>1</v>
      </c>
      <c r="W143" s="35">
        <v>0</v>
      </c>
      <c r="X143" s="34">
        <f t="shared" si="13"/>
        <v>0</v>
      </c>
      <c r="Y143" s="34">
        <v>135</v>
      </c>
      <c r="Z143" s="33"/>
      <c r="AA143" s="35">
        <v>1</v>
      </c>
      <c r="AB143" s="35">
        <v>0</v>
      </c>
      <c r="AC143" s="34">
        <f t="shared" si="14"/>
        <v>0</v>
      </c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</row>
    <row r="144" spans="1:41">
      <c r="A144" s="33" t="s">
        <v>52</v>
      </c>
      <c r="B144" s="33" t="s">
        <v>150</v>
      </c>
      <c r="C144" s="33" t="s">
        <v>68</v>
      </c>
      <c r="D144" s="33" t="s">
        <v>55</v>
      </c>
      <c r="E144" s="34">
        <v>140</v>
      </c>
      <c r="F144" s="33"/>
      <c r="G144" s="35">
        <v>3</v>
      </c>
      <c r="H144" s="35">
        <v>0</v>
      </c>
      <c r="I144" s="34">
        <f t="shared" si="10"/>
        <v>0</v>
      </c>
      <c r="J144" s="34">
        <v>140</v>
      </c>
      <c r="K144" s="35">
        <v>1</v>
      </c>
      <c r="L144" s="35">
        <v>3</v>
      </c>
      <c r="M144" s="35">
        <v>3</v>
      </c>
      <c r="N144" s="34">
        <f t="shared" si="11"/>
        <v>420</v>
      </c>
      <c r="O144" s="34">
        <v>140</v>
      </c>
      <c r="P144" s="33"/>
      <c r="Q144" s="35">
        <v>3</v>
      </c>
      <c r="R144" s="35">
        <v>0</v>
      </c>
      <c r="S144" s="34">
        <f t="shared" si="12"/>
        <v>0</v>
      </c>
      <c r="T144" s="34">
        <v>140</v>
      </c>
      <c r="U144" s="33"/>
      <c r="V144" s="35">
        <v>3</v>
      </c>
      <c r="W144" s="35">
        <v>0</v>
      </c>
      <c r="X144" s="34">
        <f t="shared" si="13"/>
        <v>0</v>
      </c>
      <c r="Y144" s="34">
        <v>135</v>
      </c>
      <c r="Z144" s="33"/>
      <c r="AA144" s="35">
        <v>3</v>
      </c>
      <c r="AB144" s="35">
        <v>0</v>
      </c>
      <c r="AC144" s="34">
        <f t="shared" si="14"/>
        <v>0</v>
      </c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</row>
    <row r="145" spans="1:41">
      <c r="A145" s="33" t="s">
        <v>52</v>
      </c>
      <c r="B145" s="33" t="s">
        <v>151</v>
      </c>
      <c r="C145" s="33" t="s">
        <v>54</v>
      </c>
      <c r="D145" s="33" t="s">
        <v>55</v>
      </c>
      <c r="E145" s="34">
        <v>140</v>
      </c>
      <c r="F145" s="33"/>
      <c r="G145" s="35">
        <v>3</v>
      </c>
      <c r="H145" s="35">
        <v>0</v>
      </c>
      <c r="I145" s="34">
        <f t="shared" si="10"/>
        <v>0</v>
      </c>
      <c r="J145" s="34">
        <v>140</v>
      </c>
      <c r="K145" s="35">
        <v>1</v>
      </c>
      <c r="L145" s="35">
        <v>3</v>
      </c>
      <c r="M145" s="35">
        <v>3</v>
      </c>
      <c r="N145" s="34">
        <f t="shared" si="11"/>
        <v>420</v>
      </c>
      <c r="O145" s="34">
        <v>140</v>
      </c>
      <c r="P145" s="33"/>
      <c r="Q145" s="35">
        <v>3</v>
      </c>
      <c r="R145" s="35">
        <v>0</v>
      </c>
      <c r="S145" s="34">
        <f t="shared" si="12"/>
        <v>0</v>
      </c>
      <c r="T145" s="34">
        <v>140</v>
      </c>
      <c r="U145" s="33"/>
      <c r="V145" s="35">
        <v>3</v>
      </c>
      <c r="W145" s="35">
        <v>0</v>
      </c>
      <c r="X145" s="34">
        <f t="shared" si="13"/>
        <v>0</v>
      </c>
      <c r="Y145" s="34">
        <v>135</v>
      </c>
      <c r="Z145" s="33"/>
      <c r="AA145" s="35">
        <v>3</v>
      </c>
      <c r="AB145" s="35">
        <v>0</v>
      </c>
      <c r="AC145" s="34">
        <f t="shared" si="14"/>
        <v>0</v>
      </c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</row>
    <row r="146" spans="1:41">
      <c r="A146" s="33" t="s">
        <v>52</v>
      </c>
      <c r="B146" s="33" t="s">
        <v>152</v>
      </c>
      <c r="C146" s="33" t="s">
        <v>54</v>
      </c>
      <c r="D146" s="33" t="s">
        <v>55</v>
      </c>
      <c r="E146" s="34">
        <v>140</v>
      </c>
      <c r="F146" s="33"/>
      <c r="G146" s="35">
        <v>3</v>
      </c>
      <c r="H146" s="35">
        <v>0</v>
      </c>
      <c r="I146" s="34">
        <f t="shared" si="10"/>
        <v>0</v>
      </c>
      <c r="J146" s="34">
        <v>140</v>
      </c>
      <c r="K146" s="35">
        <v>1</v>
      </c>
      <c r="L146" s="35">
        <v>3</v>
      </c>
      <c r="M146" s="35">
        <v>3</v>
      </c>
      <c r="N146" s="34">
        <f t="shared" si="11"/>
        <v>420</v>
      </c>
      <c r="O146" s="34">
        <v>140</v>
      </c>
      <c r="P146" s="33"/>
      <c r="Q146" s="35">
        <v>3</v>
      </c>
      <c r="R146" s="35">
        <v>0</v>
      </c>
      <c r="S146" s="34">
        <f t="shared" si="12"/>
        <v>0</v>
      </c>
      <c r="T146" s="34">
        <v>140</v>
      </c>
      <c r="U146" s="35">
        <v>1</v>
      </c>
      <c r="V146" s="35">
        <v>3</v>
      </c>
      <c r="W146" s="35">
        <v>3</v>
      </c>
      <c r="X146" s="34">
        <f t="shared" si="13"/>
        <v>420</v>
      </c>
      <c r="Y146" s="34">
        <v>135</v>
      </c>
      <c r="Z146" s="33"/>
      <c r="AA146" s="35">
        <v>3</v>
      </c>
      <c r="AB146" s="35">
        <v>0</v>
      </c>
      <c r="AC146" s="34">
        <f t="shared" si="14"/>
        <v>0</v>
      </c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</row>
    <row r="147" spans="1:41">
      <c r="A147" s="33" t="s">
        <v>52</v>
      </c>
      <c r="B147" s="33" t="s">
        <v>153</v>
      </c>
      <c r="C147" s="33" t="s">
        <v>54</v>
      </c>
      <c r="D147" s="33" t="s">
        <v>13</v>
      </c>
      <c r="E147" s="34">
        <v>140</v>
      </c>
      <c r="F147" s="33"/>
      <c r="G147" s="35">
        <v>1</v>
      </c>
      <c r="H147" s="35">
        <v>0</v>
      </c>
      <c r="I147" s="34">
        <f t="shared" si="10"/>
        <v>0</v>
      </c>
      <c r="J147" s="34">
        <v>140</v>
      </c>
      <c r="K147" s="35">
        <v>2</v>
      </c>
      <c r="L147" s="35">
        <v>1</v>
      </c>
      <c r="M147" s="35">
        <v>2</v>
      </c>
      <c r="N147" s="34">
        <f t="shared" si="11"/>
        <v>280</v>
      </c>
      <c r="O147" s="34">
        <v>140</v>
      </c>
      <c r="P147" s="33"/>
      <c r="Q147" s="35">
        <v>1</v>
      </c>
      <c r="R147" s="35">
        <v>0</v>
      </c>
      <c r="S147" s="34">
        <f t="shared" si="12"/>
        <v>0</v>
      </c>
      <c r="T147" s="34">
        <v>140</v>
      </c>
      <c r="U147" s="35">
        <v>1</v>
      </c>
      <c r="V147" s="35">
        <v>1</v>
      </c>
      <c r="W147" s="35">
        <v>1</v>
      </c>
      <c r="X147" s="34">
        <f t="shared" si="13"/>
        <v>140</v>
      </c>
      <c r="Y147" s="34">
        <v>135</v>
      </c>
      <c r="Z147" s="33"/>
      <c r="AA147" s="35">
        <v>1</v>
      </c>
      <c r="AB147" s="35">
        <v>0</v>
      </c>
      <c r="AC147" s="34">
        <f t="shared" si="14"/>
        <v>0</v>
      </c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</row>
    <row r="148" spans="1:41">
      <c r="A148" s="33" t="s">
        <v>52</v>
      </c>
      <c r="B148" s="33" t="s">
        <v>154</v>
      </c>
      <c r="C148" s="33" t="s">
        <v>54</v>
      </c>
      <c r="D148" s="33" t="s">
        <v>13</v>
      </c>
      <c r="E148" s="34">
        <v>140</v>
      </c>
      <c r="F148" s="33"/>
      <c r="G148" s="35">
        <v>1</v>
      </c>
      <c r="H148" s="35">
        <v>0</v>
      </c>
      <c r="I148" s="34">
        <f t="shared" si="10"/>
        <v>0</v>
      </c>
      <c r="J148" s="34">
        <v>140</v>
      </c>
      <c r="K148" s="35">
        <v>1</v>
      </c>
      <c r="L148" s="35">
        <v>1</v>
      </c>
      <c r="M148" s="35">
        <v>1</v>
      </c>
      <c r="N148" s="34">
        <f t="shared" si="11"/>
        <v>140</v>
      </c>
      <c r="O148" s="34">
        <v>140</v>
      </c>
      <c r="P148" s="33"/>
      <c r="Q148" s="35">
        <v>1</v>
      </c>
      <c r="R148" s="35">
        <v>0</v>
      </c>
      <c r="S148" s="34">
        <f t="shared" si="12"/>
        <v>0</v>
      </c>
      <c r="T148" s="34">
        <v>140</v>
      </c>
      <c r="U148" s="35">
        <v>1</v>
      </c>
      <c r="V148" s="35">
        <v>1</v>
      </c>
      <c r="W148" s="35">
        <v>1</v>
      </c>
      <c r="X148" s="34">
        <f t="shared" si="13"/>
        <v>140</v>
      </c>
      <c r="Y148" s="34">
        <v>135</v>
      </c>
      <c r="Z148" s="33"/>
      <c r="AA148" s="35">
        <v>1</v>
      </c>
      <c r="AB148" s="35">
        <v>0</v>
      </c>
      <c r="AC148" s="34">
        <f t="shared" si="14"/>
        <v>0</v>
      </c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</row>
    <row r="149" spans="1:41">
      <c r="A149" s="33" t="s">
        <v>52</v>
      </c>
      <c r="B149" s="33" t="s">
        <v>155</v>
      </c>
      <c r="C149" s="33" t="s">
        <v>54</v>
      </c>
      <c r="D149" s="33" t="s">
        <v>29</v>
      </c>
      <c r="E149" s="34">
        <v>140</v>
      </c>
      <c r="F149" s="33"/>
      <c r="G149" s="35">
        <v>2</v>
      </c>
      <c r="H149" s="35">
        <v>0</v>
      </c>
      <c r="I149" s="34">
        <f t="shared" si="10"/>
        <v>0</v>
      </c>
      <c r="J149" s="34">
        <v>140</v>
      </c>
      <c r="K149" s="33"/>
      <c r="L149" s="35">
        <v>2</v>
      </c>
      <c r="M149" s="35">
        <v>0</v>
      </c>
      <c r="N149" s="34">
        <f t="shared" si="11"/>
        <v>0</v>
      </c>
      <c r="O149" s="34">
        <v>140</v>
      </c>
      <c r="P149" s="33"/>
      <c r="Q149" s="35">
        <v>2</v>
      </c>
      <c r="R149" s="35">
        <v>0</v>
      </c>
      <c r="S149" s="34">
        <f t="shared" si="12"/>
        <v>0</v>
      </c>
      <c r="T149" s="34">
        <v>140</v>
      </c>
      <c r="U149" s="35">
        <v>1</v>
      </c>
      <c r="V149" s="35">
        <v>2</v>
      </c>
      <c r="W149" s="35">
        <v>2</v>
      </c>
      <c r="X149" s="34">
        <f t="shared" si="13"/>
        <v>280</v>
      </c>
      <c r="Y149" s="34">
        <v>135</v>
      </c>
      <c r="Z149" s="33"/>
      <c r="AA149" s="35">
        <v>2</v>
      </c>
      <c r="AB149" s="35">
        <v>0</v>
      </c>
      <c r="AC149" s="34">
        <f t="shared" si="14"/>
        <v>0</v>
      </c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</row>
    <row r="150" spans="1:41">
      <c r="A150" s="33" t="s">
        <v>52</v>
      </c>
      <c r="B150" s="33" t="s">
        <v>156</v>
      </c>
      <c r="C150" s="33" t="s">
        <v>54</v>
      </c>
      <c r="D150" s="33" t="s">
        <v>13</v>
      </c>
      <c r="E150" s="34">
        <v>140</v>
      </c>
      <c r="F150" s="33"/>
      <c r="G150" s="35">
        <v>1</v>
      </c>
      <c r="H150" s="35">
        <v>0</v>
      </c>
      <c r="I150" s="34">
        <f t="shared" si="10"/>
        <v>0</v>
      </c>
      <c r="J150" s="34">
        <v>140</v>
      </c>
      <c r="K150" s="35">
        <v>3</v>
      </c>
      <c r="L150" s="35">
        <v>1</v>
      </c>
      <c r="M150" s="35">
        <v>3</v>
      </c>
      <c r="N150" s="34">
        <f t="shared" si="11"/>
        <v>420</v>
      </c>
      <c r="O150" s="34">
        <v>140</v>
      </c>
      <c r="P150" s="33"/>
      <c r="Q150" s="35">
        <v>1</v>
      </c>
      <c r="R150" s="35">
        <v>0</v>
      </c>
      <c r="S150" s="34">
        <f t="shared" si="12"/>
        <v>0</v>
      </c>
      <c r="T150" s="34">
        <v>140</v>
      </c>
      <c r="U150" s="33"/>
      <c r="V150" s="35">
        <v>1</v>
      </c>
      <c r="W150" s="35">
        <v>0</v>
      </c>
      <c r="X150" s="34">
        <f t="shared" si="13"/>
        <v>0</v>
      </c>
      <c r="Y150" s="34">
        <v>135</v>
      </c>
      <c r="Z150" s="33"/>
      <c r="AA150" s="35">
        <v>1</v>
      </c>
      <c r="AB150" s="35">
        <v>0</v>
      </c>
      <c r="AC150" s="34">
        <f t="shared" si="14"/>
        <v>0</v>
      </c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</row>
    <row r="151" spans="1:41">
      <c r="A151" s="33" t="s">
        <v>52</v>
      </c>
      <c r="B151" s="33" t="s">
        <v>157</v>
      </c>
      <c r="C151" s="33" t="s">
        <v>54</v>
      </c>
      <c r="D151" s="33" t="s">
        <v>29</v>
      </c>
      <c r="E151" s="34">
        <v>140</v>
      </c>
      <c r="F151" s="33"/>
      <c r="G151" s="35">
        <v>2</v>
      </c>
      <c r="H151" s="35">
        <v>0</v>
      </c>
      <c r="I151" s="34">
        <f t="shared" si="10"/>
        <v>0</v>
      </c>
      <c r="J151" s="34">
        <v>140</v>
      </c>
      <c r="K151" s="33"/>
      <c r="L151" s="35">
        <v>2</v>
      </c>
      <c r="M151" s="35">
        <v>0</v>
      </c>
      <c r="N151" s="34">
        <f t="shared" si="11"/>
        <v>0</v>
      </c>
      <c r="O151" s="34">
        <v>140</v>
      </c>
      <c r="P151" s="35">
        <v>1</v>
      </c>
      <c r="Q151" s="35">
        <v>2</v>
      </c>
      <c r="R151" s="35">
        <v>2</v>
      </c>
      <c r="S151" s="34">
        <f t="shared" si="12"/>
        <v>280</v>
      </c>
      <c r="T151" s="34">
        <v>140</v>
      </c>
      <c r="U151" s="35">
        <v>1</v>
      </c>
      <c r="V151" s="35">
        <v>2</v>
      </c>
      <c r="W151" s="35">
        <v>2</v>
      </c>
      <c r="X151" s="34">
        <f t="shared" si="13"/>
        <v>280</v>
      </c>
      <c r="Y151" s="34">
        <v>135</v>
      </c>
      <c r="Z151" s="33"/>
      <c r="AA151" s="35">
        <v>2</v>
      </c>
      <c r="AB151" s="35">
        <v>0</v>
      </c>
      <c r="AC151" s="34">
        <f t="shared" si="14"/>
        <v>0</v>
      </c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</row>
    <row r="152" spans="1:41">
      <c r="A152" s="33" t="s">
        <v>52</v>
      </c>
      <c r="B152" s="33" t="s">
        <v>158</v>
      </c>
      <c r="C152" s="33" t="s">
        <v>54</v>
      </c>
      <c r="D152" s="33" t="s">
        <v>29</v>
      </c>
      <c r="E152" s="34">
        <v>140</v>
      </c>
      <c r="F152" s="33"/>
      <c r="G152" s="35">
        <v>2</v>
      </c>
      <c r="H152" s="35">
        <v>0</v>
      </c>
      <c r="I152" s="34">
        <f t="shared" si="10"/>
        <v>0</v>
      </c>
      <c r="J152" s="34">
        <v>140</v>
      </c>
      <c r="K152" s="35">
        <v>1</v>
      </c>
      <c r="L152" s="35">
        <v>2</v>
      </c>
      <c r="M152" s="35">
        <v>2</v>
      </c>
      <c r="N152" s="34">
        <f t="shared" si="11"/>
        <v>280</v>
      </c>
      <c r="O152" s="34">
        <v>140</v>
      </c>
      <c r="P152" s="33"/>
      <c r="Q152" s="35">
        <v>2</v>
      </c>
      <c r="R152" s="35">
        <v>0</v>
      </c>
      <c r="S152" s="34">
        <f t="shared" si="12"/>
        <v>0</v>
      </c>
      <c r="T152" s="34">
        <v>140</v>
      </c>
      <c r="U152" s="33"/>
      <c r="V152" s="35">
        <v>2</v>
      </c>
      <c r="W152" s="35">
        <v>0</v>
      </c>
      <c r="X152" s="34">
        <f t="shared" si="13"/>
        <v>0</v>
      </c>
      <c r="Y152" s="34">
        <v>135</v>
      </c>
      <c r="Z152" s="33"/>
      <c r="AA152" s="35">
        <v>2</v>
      </c>
      <c r="AB152" s="35">
        <v>0</v>
      </c>
      <c r="AC152" s="34">
        <f t="shared" si="14"/>
        <v>0</v>
      </c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</row>
    <row r="153" spans="1:41">
      <c r="A153" s="33" t="s">
        <v>52</v>
      </c>
      <c r="B153" s="33" t="s">
        <v>159</v>
      </c>
      <c r="C153" s="33" t="s">
        <v>54</v>
      </c>
      <c r="D153" s="33" t="s">
        <v>13</v>
      </c>
      <c r="E153" s="34">
        <v>140</v>
      </c>
      <c r="F153" s="33"/>
      <c r="G153" s="35">
        <v>1</v>
      </c>
      <c r="H153" s="35">
        <v>0</v>
      </c>
      <c r="I153" s="34">
        <f t="shared" si="10"/>
        <v>0</v>
      </c>
      <c r="J153" s="34">
        <v>140</v>
      </c>
      <c r="K153" s="35">
        <v>1</v>
      </c>
      <c r="L153" s="35">
        <v>1</v>
      </c>
      <c r="M153" s="35">
        <v>1</v>
      </c>
      <c r="N153" s="34">
        <f t="shared" si="11"/>
        <v>140</v>
      </c>
      <c r="O153" s="34">
        <v>140</v>
      </c>
      <c r="P153" s="33"/>
      <c r="Q153" s="35">
        <v>1</v>
      </c>
      <c r="R153" s="35">
        <v>0</v>
      </c>
      <c r="S153" s="34">
        <f t="shared" si="12"/>
        <v>0</v>
      </c>
      <c r="T153" s="34">
        <v>140</v>
      </c>
      <c r="U153" s="33"/>
      <c r="V153" s="35">
        <v>1</v>
      </c>
      <c r="W153" s="35">
        <v>0</v>
      </c>
      <c r="X153" s="34">
        <f t="shared" si="13"/>
        <v>0</v>
      </c>
      <c r="Y153" s="34">
        <v>135</v>
      </c>
      <c r="Z153" s="33"/>
      <c r="AA153" s="35">
        <v>1</v>
      </c>
      <c r="AB153" s="35">
        <v>0</v>
      </c>
      <c r="AC153" s="34">
        <f t="shared" si="14"/>
        <v>0</v>
      </c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</row>
    <row r="154" spans="1:41">
      <c r="A154" s="33" t="s">
        <v>52</v>
      </c>
      <c r="B154" s="33" t="s">
        <v>160</v>
      </c>
      <c r="C154" s="33" t="s">
        <v>54</v>
      </c>
      <c r="D154" s="33" t="s">
        <v>13</v>
      </c>
      <c r="E154" s="34">
        <v>140</v>
      </c>
      <c r="F154" s="33"/>
      <c r="G154" s="35">
        <v>1</v>
      </c>
      <c r="H154" s="35">
        <v>0</v>
      </c>
      <c r="I154" s="34">
        <f t="shared" si="10"/>
        <v>0</v>
      </c>
      <c r="J154" s="34">
        <v>140</v>
      </c>
      <c r="K154" s="33"/>
      <c r="L154" s="35">
        <v>1</v>
      </c>
      <c r="M154" s="35">
        <v>0</v>
      </c>
      <c r="N154" s="34">
        <f t="shared" si="11"/>
        <v>0</v>
      </c>
      <c r="O154" s="34">
        <v>140</v>
      </c>
      <c r="P154" s="35">
        <v>1</v>
      </c>
      <c r="Q154" s="35">
        <v>1</v>
      </c>
      <c r="R154" s="35">
        <v>1</v>
      </c>
      <c r="S154" s="34">
        <f t="shared" si="12"/>
        <v>140</v>
      </c>
      <c r="T154" s="34">
        <v>140</v>
      </c>
      <c r="U154" s="33"/>
      <c r="V154" s="35">
        <v>1</v>
      </c>
      <c r="W154" s="35">
        <v>0</v>
      </c>
      <c r="X154" s="34">
        <f t="shared" si="13"/>
        <v>0</v>
      </c>
      <c r="Y154" s="34">
        <v>135</v>
      </c>
      <c r="Z154" s="33"/>
      <c r="AA154" s="35">
        <v>1</v>
      </c>
      <c r="AB154" s="35">
        <v>0</v>
      </c>
      <c r="AC154" s="34">
        <f t="shared" si="14"/>
        <v>0</v>
      </c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</row>
    <row r="155" spans="1:41">
      <c r="A155" s="33" t="s">
        <v>52</v>
      </c>
      <c r="B155" s="33" t="s">
        <v>161</v>
      </c>
      <c r="C155" s="33" t="s">
        <v>54</v>
      </c>
      <c r="D155" s="33" t="s">
        <v>13</v>
      </c>
      <c r="E155" s="34">
        <v>140</v>
      </c>
      <c r="F155" s="33"/>
      <c r="G155" s="35">
        <v>1</v>
      </c>
      <c r="H155" s="35">
        <v>0</v>
      </c>
      <c r="I155" s="34">
        <f t="shared" si="10"/>
        <v>0</v>
      </c>
      <c r="J155" s="34">
        <v>140</v>
      </c>
      <c r="K155" s="35">
        <v>1</v>
      </c>
      <c r="L155" s="35">
        <v>1</v>
      </c>
      <c r="M155" s="35">
        <v>1</v>
      </c>
      <c r="N155" s="34">
        <f t="shared" si="11"/>
        <v>140</v>
      </c>
      <c r="O155" s="34">
        <v>140</v>
      </c>
      <c r="P155" s="33"/>
      <c r="Q155" s="35">
        <v>1</v>
      </c>
      <c r="R155" s="35">
        <v>0</v>
      </c>
      <c r="S155" s="34">
        <f t="shared" si="12"/>
        <v>0</v>
      </c>
      <c r="T155" s="34">
        <v>140</v>
      </c>
      <c r="U155" s="33"/>
      <c r="V155" s="35">
        <v>1</v>
      </c>
      <c r="W155" s="35">
        <v>0</v>
      </c>
      <c r="X155" s="34">
        <f t="shared" si="13"/>
        <v>0</v>
      </c>
      <c r="Y155" s="34">
        <v>135</v>
      </c>
      <c r="Z155" s="33"/>
      <c r="AA155" s="35">
        <v>1</v>
      </c>
      <c r="AB155" s="35">
        <v>0</v>
      </c>
      <c r="AC155" s="34">
        <f t="shared" si="14"/>
        <v>0</v>
      </c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</row>
    <row r="156" spans="1:41">
      <c r="A156" s="33" t="s">
        <v>52</v>
      </c>
      <c r="B156" s="33" t="s">
        <v>161</v>
      </c>
      <c r="C156" s="33" t="s">
        <v>54</v>
      </c>
      <c r="D156" s="33" t="s">
        <v>29</v>
      </c>
      <c r="E156" s="34">
        <v>140</v>
      </c>
      <c r="F156" s="33"/>
      <c r="G156" s="35">
        <v>2</v>
      </c>
      <c r="H156" s="35">
        <v>0</v>
      </c>
      <c r="I156" s="34">
        <f t="shared" si="10"/>
        <v>0</v>
      </c>
      <c r="J156" s="34">
        <v>140</v>
      </c>
      <c r="K156" s="35">
        <v>1</v>
      </c>
      <c r="L156" s="35">
        <v>2</v>
      </c>
      <c r="M156" s="35">
        <v>2</v>
      </c>
      <c r="N156" s="34">
        <f t="shared" si="11"/>
        <v>280</v>
      </c>
      <c r="O156" s="34">
        <v>140</v>
      </c>
      <c r="P156" s="35">
        <v>1</v>
      </c>
      <c r="Q156" s="35">
        <v>2</v>
      </c>
      <c r="R156" s="35">
        <v>2</v>
      </c>
      <c r="S156" s="34">
        <f t="shared" si="12"/>
        <v>280</v>
      </c>
      <c r="T156" s="34">
        <v>140</v>
      </c>
      <c r="U156" s="33"/>
      <c r="V156" s="35">
        <v>2</v>
      </c>
      <c r="W156" s="35">
        <v>0</v>
      </c>
      <c r="X156" s="34">
        <f t="shared" si="13"/>
        <v>0</v>
      </c>
      <c r="Y156" s="34">
        <v>135</v>
      </c>
      <c r="Z156" s="33"/>
      <c r="AA156" s="35">
        <v>2</v>
      </c>
      <c r="AB156" s="35">
        <v>0</v>
      </c>
      <c r="AC156" s="34">
        <f t="shared" si="14"/>
        <v>0</v>
      </c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</row>
    <row r="157" spans="1:41">
      <c r="A157" s="33" t="s">
        <v>52</v>
      </c>
      <c r="B157" s="33" t="s">
        <v>162</v>
      </c>
      <c r="C157" s="33" t="s">
        <v>54</v>
      </c>
      <c r="D157" s="33" t="s">
        <v>13</v>
      </c>
      <c r="E157" s="34">
        <v>140</v>
      </c>
      <c r="F157" s="35">
        <v>1</v>
      </c>
      <c r="G157" s="35">
        <v>1</v>
      </c>
      <c r="H157" s="35">
        <v>1</v>
      </c>
      <c r="I157" s="34">
        <f t="shared" si="10"/>
        <v>140</v>
      </c>
      <c r="J157" s="34">
        <v>140</v>
      </c>
      <c r="K157" s="33"/>
      <c r="L157" s="35">
        <v>1</v>
      </c>
      <c r="M157" s="35">
        <v>0</v>
      </c>
      <c r="N157" s="34">
        <f t="shared" si="11"/>
        <v>0</v>
      </c>
      <c r="O157" s="34">
        <v>140</v>
      </c>
      <c r="P157" s="33"/>
      <c r="Q157" s="35">
        <v>1</v>
      </c>
      <c r="R157" s="35">
        <v>0</v>
      </c>
      <c r="S157" s="34">
        <f t="shared" si="12"/>
        <v>0</v>
      </c>
      <c r="T157" s="34">
        <v>140</v>
      </c>
      <c r="U157" s="33"/>
      <c r="V157" s="35">
        <v>1</v>
      </c>
      <c r="W157" s="35">
        <v>0</v>
      </c>
      <c r="X157" s="34">
        <f t="shared" si="13"/>
        <v>0</v>
      </c>
      <c r="Y157" s="34">
        <v>135</v>
      </c>
      <c r="Z157" s="33"/>
      <c r="AA157" s="35">
        <v>1</v>
      </c>
      <c r="AB157" s="35">
        <v>0</v>
      </c>
      <c r="AC157" s="34">
        <f t="shared" si="14"/>
        <v>0</v>
      </c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</row>
    <row r="158" spans="1:41">
      <c r="A158" s="33" t="s">
        <v>52</v>
      </c>
      <c r="B158" s="33" t="s">
        <v>163</v>
      </c>
      <c r="C158" s="33" t="s">
        <v>68</v>
      </c>
      <c r="D158" s="33" t="s">
        <v>13</v>
      </c>
      <c r="E158" s="34">
        <v>140</v>
      </c>
      <c r="F158" s="33"/>
      <c r="G158" s="35">
        <v>1</v>
      </c>
      <c r="H158" s="35">
        <v>0</v>
      </c>
      <c r="I158" s="34">
        <f t="shared" si="10"/>
        <v>0</v>
      </c>
      <c r="J158" s="34">
        <v>140</v>
      </c>
      <c r="K158" s="35">
        <v>1</v>
      </c>
      <c r="L158" s="35">
        <v>1</v>
      </c>
      <c r="M158" s="35">
        <v>1</v>
      </c>
      <c r="N158" s="34">
        <f t="shared" si="11"/>
        <v>140</v>
      </c>
      <c r="O158" s="34">
        <v>140</v>
      </c>
      <c r="P158" s="33"/>
      <c r="Q158" s="35">
        <v>1</v>
      </c>
      <c r="R158" s="35">
        <v>0</v>
      </c>
      <c r="S158" s="34">
        <f t="shared" si="12"/>
        <v>0</v>
      </c>
      <c r="T158" s="34">
        <v>140</v>
      </c>
      <c r="U158" s="33"/>
      <c r="V158" s="35">
        <v>1</v>
      </c>
      <c r="W158" s="35">
        <v>0</v>
      </c>
      <c r="X158" s="34">
        <f t="shared" si="13"/>
        <v>0</v>
      </c>
      <c r="Y158" s="34">
        <v>135</v>
      </c>
      <c r="Z158" s="33"/>
      <c r="AA158" s="35">
        <v>1</v>
      </c>
      <c r="AB158" s="35">
        <v>0</v>
      </c>
      <c r="AC158" s="34">
        <f t="shared" si="14"/>
        <v>0</v>
      </c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</row>
    <row r="159" spans="1:41">
      <c r="A159" s="33" t="s">
        <v>52</v>
      </c>
      <c r="B159" s="33" t="s">
        <v>164</v>
      </c>
      <c r="C159" s="33" t="s">
        <v>54</v>
      </c>
      <c r="D159" s="33" t="s">
        <v>55</v>
      </c>
      <c r="E159" s="34">
        <v>140</v>
      </c>
      <c r="F159" s="33"/>
      <c r="G159" s="35">
        <v>3</v>
      </c>
      <c r="H159" s="35">
        <v>0</v>
      </c>
      <c r="I159" s="34">
        <f t="shared" si="10"/>
        <v>0</v>
      </c>
      <c r="J159" s="34">
        <v>140</v>
      </c>
      <c r="K159" s="33"/>
      <c r="L159" s="35">
        <v>3</v>
      </c>
      <c r="M159" s="35">
        <v>0</v>
      </c>
      <c r="N159" s="34">
        <f t="shared" si="11"/>
        <v>0</v>
      </c>
      <c r="O159" s="34">
        <v>140</v>
      </c>
      <c r="P159" s="35">
        <v>1</v>
      </c>
      <c r="Q159" s="35">
        <v>3</v>
      </c>
      <c r="R159" s="35">
        <v>3</v>
      </c>
      <c r="S159" s="34">
        <f t="shared" si="12"/>
        <v>420</v>
      </c>
      <c r="T159" s="34">
        <v>140</v>
      </c>
      <c r="U159" s="33"/>
      <c r="V159" s="35">
        <v>3</v>
      </c>
      <c r="W159" s="35">
        <v>0</v>
      </c>
      <c r="X159" s="34">
        <f t="shared" si="13"/>
        <v>0</v>
      </c>
      <c r="Y159" s="34">
        <v>135</v>
      </c>
      <c r="Z159" s="33"/>
      <c r="AA159" s="35">
        <v>3</v>
      </c>
      <c r="AB159" s="35">
        <v>0</v>
      </c>
      <c r="AC159" s="34">
        <f t="shared" si="14"/>
        <v>0</v>
      </c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</row>
    <row r="160" spans="1:41">
      <c r="A160" s="36" t="s">
        <v>52</v>
      </c>
      <c r="B160" s="36" t="s">
        <v>164</v>
      </c>
      <c r="C160" s="36" t="s">
        <v>68</v>
      </c>
      <c r="D160" s="36" t="s">
        <v>29</v>
      </c>
      <c r="E160" s="37">
        <v>120</v>
      </c>
      <c r="F160" s="36"/>
      <c r="G160" s="38">
        <v>2</v>
      </c>
      <c r="H160" s="38">
        <v>0</v>
      </c>
      <c r="I160" s="37">
        <f t="shared" si="10"/>
        <v>0</v>
      </c>
      <c r="J160" s="37">
        <v>120</v>
      </c>
      <c r="K160" s="38">
        <v>2</v>
      </c>
      <c r="L160" s="38">
        <v>2</v>
      </c>
      <c r="M160" s="38">
        <v>4</v>
      </c>
      <c r="N160" s="37">
        <f t="shared" si="11"/>
        <v>480</v>
      </c>
      <c r="O160" s="37">
        <v>120</v>
      </c>
      <c r="P160" s="36"/>
      <c r="Q160" s="38">
        <v>2</v>
      </c>
      <c r="R160" s="38">
        <v>0</v>
      </c>
      <c r="S160" s="37">
        <f t="shared" si="12"/>
        <v>0</v>
      </c>
      <c r="T160" s="37">
        <v>120</v>
      </c>
      <c r="U160" s="36"/>
      <c r="V160" s="38">
        <v>2</v>
      </c>
      <c r="W160" s="38">
        <v>0</v>
      </c>
      <c r="X160" s="37">
        <f t="shared" si="13"/>
        <v>0</v>
      </c>
      <c r="Y160" s="37">
        <v>110</v>
      </c>
      <c r="Z160" s="36"/>
      <c r="AA160" s="38">
        <v>2</v>
      </c>
      <c r="AB160" s="38">
        <v>0</v>
      </c>
      <c r="AC160" s="37">
        <f t="shared" si="14"/>
        <v>0</v>
      </c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</row>
    <row r="161" spans="1:41">
      <c r="A161" s="39" t="s">
        <v>52</v>
      </c>
      <c r="B161" s="39" t="s">
        <v>165</v>
      </c>
      <c r="C161" s="39" t="s">
        <v>70</v>
      </c>
      <c r="D161" s="39" t="s">
        <v>29</v>
      </c>
      <c r="E161" s="40">
        <v>140</v>
      </c>
      <c r="F161" s="39"/>
      <c r="G161" s="41">
        <v>2</v>
      </c>
      <c r="H161" s="41">
        <v>0</v>
      </c>
      <c r="I161" s="40">
        <f t="shared" si="10"/>
        <v>0</v>
      </c>
      <c r="J161" s="40">
        <v>140</v>
      </c>
      <c r="K161" s="39"/>
      <c r="L161" s="41">
        <v>2</v>
      </c>
      <c r="M161" s="41">
        <v>0</v>
      </c>
      <c r="N161" s="40">
        <f t="shared" si="11"/>
        <v>0</v>
      </c>
      <c r="O161" s="40">
        <v>120</v>
      </c>
      <c r="P161" s="39"/>
      <c r="Q161" s="41">
        <v>2</v>
      </c>
      <c r="R161" s="41">
        <v>0</v>
      </c>
      <c r="S161" s="40">
        <f t="shared" si="12"/>
        <v>0</v>
      </c>
      <c r="T161" s="40">
        <v>140</v>
      </c>
      <c r="U161" s="41">
        <v>1</v>
      </c>
      <c r="V161" s="41">
        <v>2</v>
      </c>
      <c r="W161" s="41">
        <v>2</v>
      </c>
      <c r="X161" s="40">
        <f t="shared" si="13"/>
        <v>280</v>
      </c>
      <c r="Y161" s="40">
        <v>140</v>
      </c>
      <c r="Z161" s="39"/>
      <c r="AA161" s="41">
        <v>2</v>
      </c>
      <c r="AB161" s="41">
        <v>0</v>
      </c>
      <c r="AC161" s="40">
        <f t="shared" si="14"/>
        <v>0</v>
      </c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</row>
    <row r="162" spans="1:41">
      <c r="A162" s="36" t="s">
        <v>52</v>
      </c>
      <c r="B162" s="36" t="s">
        <v>166</v>
      </c>
      <c r="C162" s="36" t="s">
        <v>68</v>
      </c>
      <c r="D162" s="36" t="s">
        <v>13</v>
      </c>
      <c r="E162" s="37">
        <v>120</v>
      </c>
      <c r="F162" s="36"/>
      <c r="G162" s="38">
        <v>1</v>
      </c>
      <c r="H162" s="38">
        <v>0</v>
      </c>
      <c r="I162" s="37">
        <f t="shared" si="10"/>
        <v>0</v>
      </c>
      <c r="J162" s="37">
        <v>120</v>
      </c>
      <c r="K162" s="38">
        <v>8</v>
      </c>
      <c r="L162" s="38">
        <v>1</v>
      </c>
      <c r="M162" s="38">
        <v>8</v>
      </c>
      <c r="N162" s="37">
        <f t="shared" si="11"/>
        <v>960</v>
      </c>
      <c r="O162" s="37">
        <v>120</v>
      </c>
      <c r="P162" s="36"/>
      <c r="Q162" s="38">
        <v>1</v>
      </c>
      <c r="R162" s="38">
        <v>0</v>
      </c>
      <c r="S162" s="37">
        <f t="shared" si="12"/>
        <v>0</v>
      </c>
      <c r="T162" s="37">
        <v>120</v>
      </c>
      <c r="U162" s="36"/>
      <c r="V162" s="38">
        <v>1</v>
      </c>
      <c r="W162" s="38">
        <v>0</v>
      </c>
      <c r="X162" s="37">
        <f t="shared" si="13"/>
        <v>0</v>
      </c>
      <c r="Y162" s="37">
        <v>110</v>
      </c>
      <c r="Z162" s="36"/>
      <c r="AA162" s="38">
        <v>1</v>
      </c>
      <c r="AB162" s="38">
        <v>0</v>
      </c>
      <c r="AC162" s="37">
        <f t="shared" si="14"/>
        <v>0</v>
      </c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</row>
    <row r="163" spans="1:41">
      <c r="A163" s="33" t="s">
        <v>52</v>
      </c>
      <c r="B163" s="33" t="s">
        <v>167</v>
      </c>
      <c r="C163" s="33" t="s">
        <v>54</v>
      </c>
      <c r="D163" s="33" t="s">
        <v>55</v>
      </c>
      <c r="E163" s="34">
        <v>140</v>
      </c>
      <c r="F163" s="33"/>
      <c r="G163" s="35">
        <v>3</v>
      </c>
      <c r="H163" s="35">
        <v>0</v>
      </c>
      <c r="I163" s="34">
        <f t="shared" si="10"/>
        <v>0</v>
      </c>
      <c r="J163" s="34">
        <v>140</v>
      </c>
      <c r="K163" s="33"/>
      <c r="L163" s="35">
        <v>3</v>
      </c>
      <c r="M163" s="35">
        <v>0</v>
      </c>
      <c r="N163" s="34">
        <f t="shared" si="11"/>
        <v>0</v>
      </c>
      <c r="O163" s="34">
        <v>140</v>
      </c>
      <c r="P163" s="35">
        <v>1</v>
      </c>
      <c r="Q163" s="35">
        <v>3</v>
      </c>
      <c r="R163" s="35">
        <v>3</v>
      </c>
      <c r="S163" s="34">
        <f t="shared" si="12"/>
        <v>420</v>
      </c>
      <c r="T163" s="34">
        <v>140</v>
      </c>
      <c r="U163" s="33"/>
      <c r="V163" s="35">
        <v>3</v>
      </c>
      <c r="W163" s="35">
        <v>0</v>
      </c>
      <c r="X163" s="34">
        <f t="shared" si="13"/>
        <v>0</v>
      </c>
      <c r="Y163" s="34">
        <v>135</v>
      </c>
      <c r="Z163" s="33"/>
      <c r="AA163" s="35">
        <v>3</v>
      </c>
      <c r="AB163" s="35">
        <v>0</v>
      </c>
      <c r="AC163" s="34">
        <f t="shared" si="14"/>
        <v>0</v>
      </c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</row>
    <row r="164" spans="1:41">
      <c r="A164" s="36" t="s">
        <v>52</v>
      </c>
      <c r="B164" s="36" t="s">
        <v>167</v>
      </c>
      <c r="C164" s="36" t="s">
        <v>68</v>
      </c>
      <c r="D164" s="36" t="s">
        <v>13</v>
      </c>
      <c r="E164" s="37">
        <v>120</v>
      </c>
      <c r="F164" s="36"/>
      <c r="G164" s="38">
        <v>1</v>
      </c>
      <c r="H164" s="38">
        <v>0</v>
      </c>
      <c r="I164" s="37">
        <f t="shared" si="10"/>
        <v>0</v>
      </c>
      <c r="J164" s="37">
        <v>120</v>
      </c>
      <c r="K164" s="38">
        <v>1</v>
      </c>
      <c r="L164" s="38">
        <v>1</v>
      </c>
      <c r="M164" s="38">
        <v>1</v>
      </c>
      <c r="N164" s="37">
        <f t="shared" si="11"/>
        <v>120</v>
      </c>
      <c r="O164" s="37">
        <v>120</v>
      </c>
      <c r="P164" s="36"/>
      <c r="Q164" s="38">
        <v>1</v>
      </c>
      <c r="R164" s="38">
        <v>0</v>
      </c>
      <c r="S164" s="37">
        <f t="shared" si="12"/>
        <v>0</v>
      </c>
      <c r="T164" s="37">
        <v>120</v>
      </c>
      <c r="U164" s="36"/>
      <c r="V164" s="38">
        <v>1</v>
      </c>
      <c r="W164" s="38">
        <v>0</v>
      </c>
      <c r="X164" s="37">
        <f t="shared" si="13"/>
        <v>0</v>
      </c>
      <c r="Y164" s="37">
        <v>110</v>
      </c>
      <c r="Z164" s="36"/>
      <c r="AA164" s="38">
        <v>1</v>
      </c>
      <c r="AB164" s="38">
        <v>0</v>
      </c>
      <c r="AC164" s="37">
        <f t="shared" si="14"/>
        <v>0</v>
      </c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</row>
    <row r="165" spans="1:41">
      <c r="A165" s="36" t="s">
        <v>52</v>
      </c>
      <c r="B165" s="36" t="s">
        <v>168</v>
      </c>
      <c r="C165" s="36" t="s">
        <v>68</v>
      </c>
      <c r="D165" s="36" t="s">
        <v>13</v>
      </c>
      <c r="E165" s="37">
        <v>120</v>
      </c>
      <c r="F165" s="38">
        <v>1</v>
      </c>
      <c r="G165" s="38">
        <v>1</v>
      </c>
      <c r="H165" s="38">
        <v>1</v>
      </c>
      <c r="I165" s="37">
        <f t="shared" si="10"/>
        <v>120</v>
      </c>
      <c r="J165" s="37">
        <v>120</v>
      </c>
      <c r="K165" s="38">
        <v>59</v>
      </c>
      <c r="L165" s="38">
        <v>1</v>
      </c>
      <c r="M165" s="38">
        <v>59</v>
      </c>
      <c r="N165" s="37">
        <f t="shared" si="11"/>
        <v>7080</v>
      </c>
      <c r="O165" s="37">
        <v>120</v>
      </c>
      <c r="P165" s="38">
        <v>6</v>
      </c>
      <c r="Q165" s="38">
        <v>1</v>
      </c>
      <c r="R165" s="38">
        <v>6</v>
      </c>
      <c r="S165" s="37">
        <f t="shared" si="12"/>
        <v>720</v>
      </c>
      <c r="T165" s="37">
        <v>120</v>
      </c>
      <c r="U165" s="38">
        <v>3</v>
      </c>
      <c r="V165" s="38">
        <v>1</v>
      </c>
      <c r="W165" s="38">
        <v>3</v>
      </c>
      <c r="X165" s="37">
        <f t="shared" si="13"/>
        <v>360</v>
      </c>
      <c r="Y165" s="37">
        <v>110</v>
      </c>
      <c r="Z165" s="36"/>
      <c r="AA165" s="38">
        <v>1</v>
      </c>
      <c r="AB165" s="38">
        <v>0</v>
      </c>
      <c r="AC165" s="37">
        <f t="shared" si="14"/>
        <v>0</v>
      </c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</row>
    <row r="166" spans="1:41">
      <c r="A166" s="36" t="s">
        <v>52</v>
      </c>
      <c r="B166" s="36" t="s">
        <v>168</v>
      </c>
      <c r="C166" s="36" t="s">
        <v>68</v>
      </c>
      <c r="D166" s="36" t="s">
        <v>29</v>
      </c>
      <c r="E166" s="37">
        <v>120</v>
      </c>
      <c r="F166" s="36"/>
      <c r="G166" s="38">
        <v>2</v>
      </c>
      <c r="H166" s="38">
        <v>0</v>
      </c>
      <c r="I166" s="37">
        <f t="shared" si="10"/>
        <v>0</v>
      </c>
      <c r="J166" s="37">
        <v>120</v>
      </c>
      <c r="K166" s="38">
        <v>1</v>
      </c>
      <c r="L166" s="38">
        <v>2</v>
      </c>
      <c r="M166" s="38">
        <v>2</v>
      </c>
      <c r="N166" s="37">
        <f t="shared" si="11"/>
        <v>240</v>
      </c>
      <c r="O166" s="37">
        <v>120</v>
      </c>
      <c r="P166" s="36"/>
      <c r="Q166" s="38">
        <v>2</v>
      </c>
      <c r="R166" s="38">
        <v>0</v>
      </c>
      <c r="S166" s="37">
        <f t="shared" si="12"/>
        <v>0</v>
      </c>
      <c r="T166" s="37">
        <v>120</v>
      </c>
      <c r="U166" s="36"/>
      <c r="V166" s="38">
        <v>2</v>
      </c>
      <c r="W166" s="38">
        <v>0</v>
      </c>
      <c r="X166" s="37">
        <f t="shared" si="13"/>
        <v>0</v>
      </c>
      <c r="Y166" s="37">
        <v>110</v>
      </c>
      <c r="Z166" s="36"/>
      <c r="AA166" s="38">
        <v>2</v>
      </c>
      <c r="AB166" s="38">
        <v>0</v>
      </c>
      <c r="AC166" s="37">
        <f t="shared" si="14"/>
        <v>0</v>
      </c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</row>
    <row r="167" spans="1:41">
      <c r="A167" s="36" t="s">
        <v>52</v>
      </c>
      <c r="B167" s="36" t="s">
        <v>169</v>
      </c>
      <c r="C167" s="36" t="s">
        <v>68</v>
      </c>
      <c r="D167" s="36" t="s">
        <v>13</v>
      </c>
      <c r="E167" s="37">
        <v>120</v>
      </c>
      <c r="F167" s="36"/>
      <c r="G167" s="38">
        <v>1</v>
      </c>
      <c r="H167" s="38">
        <v>0</v>
      </c>
      <c r="I167" s="37">
        <f t="shared" si="10"/>
        <v>0</v>
      </c>
      <c r="J167" s="37">
        <v>120</v>
      </c>
      <c r="K167" s="38">
        <v>6</v>
      </c>
      <c r="L167" s="38">
        <v>1</v>
      </c>
      <c r="M167" s="38">
        <v>6</v>
      </c>
      <c r="N167" s="37">
        <f t="shared" si="11"/>
        <v>720</v>
      </c>
      <c r="O167" s="37">
        <v>120</v>
      </c>
      <c r="P167" s="38">
        <v>1</v>
      </c>
      <c r="Q167" s="38">
        <v>1</v>
      </c>
      <c r="R167" s="38">
        <v>1</v>
      </c>
      <c r="S167" s="37">
        <f t="shared" si="12"/>
        <v>120</v>
      </c>
      <c r="T167" s="37">
        <v>120</v>
      </c>
      <c r="U167" s="36"/>
      <c r="V167" s="38">
        <v>1</v>
      </c>
      <c r="W167" s="38">
        <v>0</v>
      </c>
      <c r="X167" s="37">
        <f t="shared" si="13"/>
        <v>0</v>
      </c>
      <c r="Y167" s="37">
        <v>110</v>
      </c>
      <c r="Z167" s="36"/>
      <c r="AA167" s="38">
        <v>1</v>
      </c>
      <c r="AB167" s="38">
        <v>0</v>
      </c>
      <c r="AC167" s="37">
        <f t="shared" si="14"/>
        <v>0</v>
      </c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</row>
    <row r="168" spans="1:41">
      <c r="A168" s="36" t="s">
        <v>52</v>
      </c>
      <c r="B168" s="36" t="s">
        <v>169</v>
      </c>
      <c r="C168" s="36" t="s">
        <v>68</v>
      </c>
      <c r="D168" s="36" t="s">
        <v>29</v>
      </c>
      <c r="E168" s="37">
        <v>120</v>
      </c>
      <c r="F168" s="36"/>
      <c r="G168" s="38">
        <v>2</v>
      </c>
      <c r="H168" s="38">
        <v>0</v>
      </c>
      <c r="I168" s="37">
        <f t="shared" si="10"/>
        <v>0</v>
      </c>
      <c r="J168" s="37">
        <v>120</v>
      </c>
      <c r="K168" s="38">
        <v>1</v>
      </c>
      <c r="L168" s="38">
        <v>2</v>
      </c>
      <c r="M168" s="38">
        <v>2</v>
      </c>
      <c r="N168" s="37">
        <f t="shared" si="11"/>
        <v>240</v>
      </c>
      <c r="O168" s="37">
        <v>120</v>
      </c>
      <c r="P168" s="36"/>
      <c r="Q168" s="38">
        <v>2</v>
      </c>
      <c r="R168" s="38">
        <v>0</v>
      </c>
      <c r="S168" s="37">
        <f t="shared" si="12"/>
        <v>0</v>
      </c>
      <c r="T168" s="37">
        <v>120</v>
      </c>
      <c r="U168" s="36"/>
      <c r="V168" s="38">
        <v>2</v>
      </c>
      <c r="W168" s="38">
        <v>0</v>
      </c>
      <c r="X168" s="37">
        <f t="shared" si="13"/>
        <v>0</v>
      </c>
      <c r="Y168" s="37">
        <v>110</v>
      </c>
      <c r="Z168" s="36"/>
      <c r="AA168" s="38">
        <v>2</v>
      </c>
      <c r="AB168" s="38">
        <v>0</v>
      </c>
      <c r="AC168" s="37">
        <f t="shared" si="14"/>
        <v>0</v>
      </c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</row>
    <row r="169" spans="1:41">
      <c r="A169" s="36" t="s">
        <v>52</v>
      </c>
      <c r="B169" s="36" t="s">
        <v>170</v>
      </c>
      <c r="C169" s="36" t="s">
        <v>68</v>
      </c>
      <c r="D169" s="36" t="s">
        <v>13</v>
      </c>
      <c r="E169" s="37">
        <v>120</v>
      </c>
      <c r="F169" s="36"/>
      <c r="G169" s="38">
        <v>1</v>
      </c>
      <c r="H169" s="38">
        <v>0</v>
      </c>
      <c r="I169" s="37">
        <f t="shared" si="10"/>
        <v>0</v>
      </c>
      <c r="J169" s="37">
        <v>120</v>
      </c>
      <c r="K169" s="38">
        <v>1</v>
      </c>
      <c r="L169" s="38">
        <v>1</v>
      </c>
      <c r="M169" s="38">
        <v>1</v>
      </c>
      <c r="N169" s="37">
        <f t="shared" si="11"/>
        <v>120</v>
      </c>
      <c r="O169" s="37">
        <v>120</v>
      </c>
      <c r="P169" s="36"/>
      <c r="Q169" s="38">
        <v>1</v>
      </c>
      <c r="R169" s="38">
        <v>0</v>
      </c>
      <c r="S169" s="37">
        <f t="shared" si="12"/>
        <v>0</v>
      </c>
      <c r="T169" s="37">
        <v>120</v>
      </c>
      <c r="U169" s="36"/>
      <c r="V169" s="38">
        <v>1</v>
      </c>
      <c r="W169" s="38">
        <v>0</v>
      </c>
      <c r="X169" s="37">
        <f t="shared" si="13"/>
        <v>0</v>
      </c>
      <c r="Y169" s="37">
        <v>110</v>
      </c>
      <c r="Z169" s="36"/>
      <c r="AA169" s="38">
        <v>1</v>
      </c>
      <c r="AB169" s="38">
        <v>0</v>
      </c>
      <c r="AC169" s="37">
        <f t="shared" si="14"/>
        <v>0</v>
      </c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</row>
    <row r="170" spans="1:41">
      <c r="A170" s="33" t="s">
        <v>52</v>
      </c>
      <c r="B170" s="33" t="s">
        <v>171</v>
      </c>
      <c r="C170" s="33" t="s">
        <v>54</v>
      </c>
      <c r="D170" s="33" t="s">
        <v>13</v>
      </c>
      <c r="E170" s="34">
        <v>140</v>
      </c>
      <c r="F170" s="33"/>
      <c r="G170" s="35">
        <v>1</v>
      </c>
      <c r="H170" s="35">
        <v>0</v>
      </c>
      <c r="I170" s="34">
        <f t="shared" si="10"/>
        <v>0</v>
      </c>
      <c r="J170" s="34">
        <v>140</v>
      </c>
      <c r="K170" s="35">
        <v>1</v>
      </c>
      <c r="L170" s="35">
        <v>1</v>
      </c>
      <c r="M170" s="35">
        <v>1</v>
      </c>
      <c r="N170" s="34">
        <f t="shared" si="11"/>
        <v>140</v>
      </c>
      <c r="O170" s="34">
        <v>140</v>
      </c>
      <c r="P170" s="33"/>
      <c r="Q170" s="35">
        <v>1</v>
      </c>
      <c r="R170" s="35">
        <v>0</v>
      </c>
      <c r="S170" s="34">
        <f t="shared" si="12"/>
        <v>0</v>
      </c>
      <c r="T170" s="34">
        <v>140</v>
      </c>
      <c r="U170" s="33"/>
      <c r="V170" s="35">
        <v>1</v>
      </c>
      <c r="W170" s="35">
        <v>0</v>
      </c>
      <c r="X170" s="34">
        <f t="shared" si="13"/>
        <v>0</v>
      </c>
      <c r="Y170" s="34">
        <v>135</v>
      </c>
      <c r="Z170" s="33"/>
      <c r="AA170" s="35">
        <v>1</v>
      </c>
      <c r="AB170" s="35">
        <v>0</v>
      </c>
      <c r="AC170" s="34">
        <f t="shared" si="14"/>
        <v>0</v>
      </c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</row>
    <row r="171" spans="1:41">
      <c r="A171" s="36" t="s">
        <v>52</v>
      </c>
      <c r="B171" s="36" t="s">
        <v>172</v>
      </c>
      <c r="C171" s="36" t="s">
        <v>68</v>
      </c>
      <c r="D171" s="36" t="s">
        <v>13</v>
      </c>
      <c r="E171" s="37">
        <v>120</v>
      </c>
      <c r="F171" s="36"/>
      <c r="G171" s="38">
        <v>1</v>
      </c>
      <c r="H171" s="38">
        <v>0</v>
      </c>
      <c r="I171" s="37">
        <f t="shared" si="10"/>
        <v>0</v>
      </c>
      <c r="J171" s="37">
        <v>120</v>
      </c>
      <c r="K171" s="38">
        <v>1</v>
      </c>
      <c r="L171" s="38">
        <v>1</v>
      </c>
      <c r="M171" s="38">
        <v>1</v>
      </c>
      <c r="N171" s="37">
        <f t="shared" si="11"/>
        <v>120</v>
      </c>
      <c r="O171" s="37">
        <v>120</v>
      </c>
      <c r="P171" s="36"/>
      <c r="Q171" s="38">
        <v>1</v>
      </c>
      <c r="R171" s="38">
        <v>0</v>
      </c>
      <c r="S171" s="37">
        <f t="shared" si="12"/>
        <v>0</v>
      </c>
      <c r="T171" s="37">
        <v>120</v>
      </c>
      <c r="U171" s="36"/>
      <c r="V171" s="38">
        <v>1</v>
      </c>
      <c r="W171" s="38">
        <v>0</v>
      </c>
      <c r="X171" s="37">
        <f t="shared" si="13"/>
        <v>0</v>
      </c>
      <c r="Y171" s="37">
        <v>110</v>
      </c>
      <c r="Z171" s="36"/>
      <c r="AA171" s="38">
        <v>1</v>
      </c>
      <c r="AB171" s="38">
        <v>0</v>
      </c>
      <c r="AC171" s="37">
        <f t="shared" si="14"/>
        <v>0</v>
      </c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</row>
    <row r="172" spans="1:41">
      <c r="A172" s="36" t="s">
        <v>52</v>
      </c>
      <c r="B172" s="36" t="s">
        <v>173</v>
      </c>
      <c r="C172" s="36" t="s">
        <v>68</v>
      </c>
      <c r="D172" s="36" t="s">
        <v>13</v>
      </c>
      <c r="E172" s="37">
        <v>120</v>
      </c>
      <c r="F172" s="36"/>
      <c r="G172" s="38">
        <v>1</v>
      </c>
      <c r="H172" s="38">
        <v>0</v>
      </c>
      <c r="I172" s="37">
        <f t="shared" si="10"/>
        <v>0</v>
      </c>
      <c r="J172" s="37">
        <v>120</v>
      </c>
      <c r="K172" s="38">
        <v>6</v>
      </c>
      <c r="L172" s="38">
        <v>1</v>
      </c>
      <c r="M172" s="38">
        <v>6</v>
      </c>
      <c r="N172" s="37">
        <f t="shared" si="11"/>
        <v>720</v>
      </c>
      <c r="O172" s="37">
        <v>120</v>
      </c>
      <c r="P172" s="38">
        <v>1</v>
      </c>
      <c r="Q172" s="38">
        <v>1</v>
      </c>
      <c r="R172" s="38">
        <v>1</v>
      </c>
      <c r="S172" s="37">
        <f t="shared" si="12"/>
        <v>120</v>
      </c>
      <c r="T172" s="37">
        <v>120</v>
      </c>
      <c r="U172" s="36"/>
      <c r="V172" s="38">
        <v>1</v>
      </c>
      <c r="W172" s="38">
        <v>0</v>
      </c>
      <c r="X172" s="37">
        <f t="shared" si="13"/>
        <v>0</v>
      </c>
      <c r="Y172" s="37">
        <v>110</v>
      </c>
      <c r="Z172" s="36"/>
      <c r="AA172" s="38">
        <v>1</v>
      </c>
      <c r="AB172" s="38">
        <v>0</v>
      </c>
      <c r="AC172" s="37">
        <f t="shared" si="14"/>
        <v>0</v>
      </c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</row>
    <row r="173" spans="1:41">
      <c r="A173" s="36" t="s">
        <v>52</v>
      </c>
      <c r="B173" s="36" t="s">
        <v>173</v>
      </c>
      <c r="C173" s="36" t="s">
        <v>68</v>
      </c>
      <c r="D173" s="36" t="s">
        <v>29</v>
      </c>
      <c r="E173" s="37">
        <v>120</v>
      </c>
      <c r="F173" s="36"/>
      <c r="G173" s="38">
        <v>2</v>
      </c>
      <c r="H173" s="38">
        <v>0</v>
      </c>
      <c r="I173" s="37">
        <f t="shared" si="10"/>
        <v>0</v>
      </c>
      <c r="J173" s="37">
        <v>120</v>
      </c>
      <c r="K173" s="38">
        <v>1</v>
      </c>
      <c r="L173" s="38">
        <v>2</v>
      </c>
      <c r="M173" s="38">
        <v>2</v>
      </c>
      <c r="N173" s="37">
        <f t="shared" si="11"/>
        <v>240</v>
      </c>
      <c r="O173" s="37">
        <v>120</v>
      </c>
      <c r="P173" s="36"/>
      <c r="Q173" s="38">
        <v>2</v>
      </c>
      <c r="R173" s="38">
        <v>0</v>
      </c>
      <c r="S173" s="37">
        <f t="shared" si="12"/>
        <v>0</v>
      </c>
      <c r="T173" s="37">
        <v>120</v>
      </c>
      <c r="U173" s="36"/>
      <c r="V173" s="38">
        <v>2</v>
      </c>
      <c r="W173" s="38">
        <v>0</v>
      </c>
      <c r="X173" s="37">
        <f t="shared" si="13"/>
        <v>0</v>
      </c>
      <c r="Y173" s="37">
        <v>110</v>
      </c>
      <c r="Z173" s="36"/>
      <c r="AA173" s="38">
        <v>2</v>
      </c>
      <c r="AB173" s="38">
        <v>0</v>
      </c>
      <c r="AC173" s="37">
        <f t="shared" si="14"/>
        <v>0</v>
      </c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</row>
    <row r="174" spans="1:41">
      <c r="A174" s="36" t="s">
        <v>52</v>
      </c>
      <c r="B174" s="36" t="s">
        <v>174</v>
      </c>
      <c r="C174" s="36" t="s">
        <v>68</v>
      </c>
      <c r="D174" s="36" t="s">
        <v>13</v>
      </c>
      <c r="E174" s="37">
        <v>120</v>
      </c>
      <c r="F174" s="36"/>
      <c r="G174" s="38">
        <v>1</v>
      </c>
      <c r="H174" s="38">
        <v>0</v>
      </c>
      <c r="I174" s="37">
        <f t="shared" si="10"/>
        <v>0</v>
      </c>
      <c r="J174" s="37">
        <v>120</v>
      </c>
      <c r="K174" s="38">
        <v>1</v>
      </c>
      <c r="L174" s="38">
        <v>1</v>
      </c>
      <c r="M174" s="38">
        <v>1</v>
      </c>
      <c r="N174" s="37">
        <f t="shared" si="11"/>
        <v>120</v>
      </c>
      <c r="O174" s="37">
        <v>120</v>
      </c>
      <c r="P174" s="36"/>
      <c r="Q174" s="38">
        <v>1</v>
      </c>
      <c r="R174" s="38">
        <v>0</v>
      </c>
      <c r="S174" s="37">
        <f t="shared" si="12"/>
        <v>0</v>
      </c>
      <c r="T174" s="37">
        <v>120</v>
      </c>
      <c r="U174" s="36"/>
      <c r="V174" s="38">
        <v>1</v>
      </c>
      <c r="W174" s="38">
        <v>0</v>
      </c>
      <c r="X174" s="37">
        <f t="shared" si="13"/>
        <v>0</v>
      </c>
      <c r="Y174" s="37">
        <v>110</v>
      </c>
      <c r="Z174" s="36"/>
      <c r="AA174" s="38">
        <v>1</v>
      </c>
      <c r="AB174" s="38">
        <v>0</v>
      </c>
      <c r="AC174" s="37">
        <f t="shared" si="14"/>
        <v>0</v>
      </c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</row>
    <row r="175" spans="1:41">
      <c r="A175" s="36" t="s">
        <v>52</v>
      </c>
      <c r="B175" s="36" t="s">
        <v>175</v>
      </c>
      <c r="C175" s="36" t="s">
        <v>68</v>
      </c>
      <c r="D175" s="36" t="s">
        <v>13</v>
      </c>
      <c r="E175" s="37">
        <v>120</v>
      </c>
      <c r="F175" s="36"/>
      <c r="G175" s="38">
        <v>1</v>
      </c>
      <c r="H175" s="38">
        <v>0</v>
      </c>
      <c r="I175" s="37">
        <f t="shared" si="10"/>
        <v>0</v>
      </c>
      <c r="J175" s="37">
        <v>120</v>
      </c>
      <c r="K175" s="38">
        <v>5</v>
      </c>
      <c r="L175" s="38">
        <v>1</v>
      </c>
      <c r="M175" s="38">
        <v>5</v>
      </c>
      <c r="N175" s="37">
        <f t="shared" si="11"/>
        <v>600</v>
      </c>
      <c r="O175" s="37">
        <v>120</v>
      </c>
      <c r="P175" s="36"/>
      <c r="Q175" s="38">
        <v>1</v>
      </c>
      <c r="R175" s="38">
        <v>0</v>
      </c>
      <c r="S175" s="37">
        <f t="shared" si="12"/>
        <v>0</v>
      </c>
      <c r="T175" s="37">
        <v>120</v>
      </c>
      <c r="U175" s="36"/>
      <c r="V175" s="38">
        <v>1</v>
      </c>
      <c r="W175" s="38">
        <v>0</v>
      </c>
      <c r="X175" s="37">
        <f t="shared" si="13"/>
        <v>0</v>
      </c>
      <c r="Y175" s="37">
        <v>110</v>
      </c>
      <c r="Z175" s="36"/>
      <c r="AA175" s="38">
        <v>1</v>
      </c>
      <c r="AB175" s="38">
        <v>0</v>
      </c>
      <c r="AC175" s="37">
        <f t="shared" si="14"/>
        <v>0</v>
      </c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</row>
    <row r="176" spans="1:41">
      <c r="A176" s="36" t="s">
        <v>52</v>
      </c>
      <c r="B176" s="36" t="s">
        <v>176</v>
      </c>
      <c r="C176" s="36" t="s">
        <v>68</v>
      </c>
      <c r="D176" s="36" t="s">
        <v>13</v>
      </c>
      <c r="E176" s="37">
        <v>120</v>
      </c>
      <c r="F176" s="36"/>
      <c r="G176" s="38">
        <v>1</v>
      </c>
      <c r="H176" s="38">
        <v>0</v>
      </c>
      <c r="I176" s="37">
        <f t="shared" si="10"/>
        <v>0</v>
      </c>
      <c r="J176" s="37">
        <v>120</v>
      </c>
      <c r="K176" s="38">
        <v>6</v>
      </c>
      <c r="L176" s="38">
        <v>1</v>
      </c>
      <c r="M176" s="38">
        <v>6</v>
      </c>
      <c r="N176" s="37">
        <f t="shared" si="11"/>
        <v>720</v>
      </c>
      <c r="O176" s="37">
        <v>120</v>
      </c>
      <c r="P176" s="36"/>
      <c r="Q176" s="38">
        <v>1</v>
      </c>
      <c r="R176" s="38">
        <v>0</v>
      </c>
      <c r="S176" s="37">
        <f t="shared" si="12"/>
        <v>0</v>
      </c>
      <c r="T176" s="37">
        <v>120</v>
      </c>
      <c r="U176" s="36"/>
      <c r="V176" s="38">
        <v>1</v>
      </c>
      <c r="W176" s="38">
        <v>0</v>
      </c>
      <c r="X176" s="37">
        <f t="shared" si="13"/>
        <v>0</v>
      </c>
      <c r="Y176" s="37">
        <v>110</v>
      </c>
      <c r="Z176" s="36"/>
      <c r="AA176" s="38">
        <v>1</v>
      </c>
      <c r="AB176" s="38">
        <v>0</v>
      </c>
      <c r="AC176" s="37">
        <f t="shared" si="14"/>
        <v>0</v>
      </c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</row>
    <row r="177" spans="1:41">
      <c r="A177" s="36" t="s">
        <v>52</v>
      </c>
      <c r="B177" s="36" t="s">
        <v>177</v>
      </c>
      <c r="C177" s="36" t="s">
        <v>68</v>
      </c>
      <c r="D177" s="36" t="s">
        <v>13</v>
      </c>
      <c r="E177" s="37">
        <v>120</v>
      </c>
      <c r="F177" s="36"/>
      <c r="G177" s="38">
        <v>1</v>
      </c>
      <c r="H177" s="38">
        <v>0</v>
      </c>
      <c r="I177" s="37">
        <f t="shared" si="10"/>
        <v>0</v>
      </c>
      <c r="J177" s="37">
        <v>120</v>
      </c>
      <c r="K177" s="38">
        <v>9</v>
      </c>
      <c r="L177" s="38">
        <v>1</v>
      </c>
      <c r="M177" s="38">
        <v>9</v>
      </c>
      <c r="N177" s="37">
        <f t="shared" si="11"/>
        <v>1080</v>
      </c>
      <c r="O177" s="37">
        <v>120</v>
      </c>
      <c r="P177" s="36"/>
      <c r="Q177" s="38">
        <v>1</v>
      </c>
      <c r="R177" s="38">
        <v>0</v>
      </c>
      <c r="S177" s="37">
        <f t="shared" si="12"/>
        <v>0</v>
      </c>
      <c r="T177" s="37">
        <v>120</v>
      </c>
      <c r="U177" s="36"/>
      <c r="V177" s="38">
        <v>1</v>
      </c>
      <c r="W177" s="38">
        <v>0</v>
      </c>
      <c r="X177" s="37">
        <f t="shared" si="13"/>
        <v>0</v>
      </c>
      <c r="Y177" s="37">
        <v>110</v>
      </c>
      <c r="Z177" s="36"/>
      <c r="AA177" s="38">
        <v>1</v>
      </c>
      <c r="AB177" s="38">
        <v>0</v>
      </c>
      <c r="AC177" s="37">
        <f t="shared" si="14"/>
        <v>0</v>
      </c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</row>
    <row r="178" spans="1:41">
      <c r="A178" s="36" t="s">
        <v>52</v>
      </c>
      <c r="B178" s="36" t="s">
        <v>178</v>
      </c>
      <c r="C178" s="36" t="s">
        <v>68</v>
      </c>
      <c r="D178" s="36" t="s">
        <v>13</v>
      </c>
      <c r="E178" s="37">
        <v>120</v>
      </c>
      <c r="F178" s="36"/>
      <c r="G178" s="38">
        <v>1</v>
      </c>
      <c r="H178" s="38">
        <v>0</v>
      </c>
      <c r="I178" s="37">
        <f t="shared" si="10"/>
        <v>0</v>
      </c>
      <c r="J178" s="37">
        <v>120</v>
      </c>
      <c r="K178" s="38">
        <v>2</v>
      </c>
      <c r="L178" s="38">
        <v>1</v>
      </c>
      <c r="M178" s="38">
        <v>2</v>
      </c>
      <c r="N178" s="37">
        <f t="shared" si="11"/>
        <v>240</v>
      </c>
      <c r="O178" s="37">
        <v>120</v>
      </c>
      <c r="P178" s="36"/>
      <c r="Q178" s="38">
        <v>1</v>
      </c>
      <c r="R178" s="38">
        <v>0</v>
      </c>
      <c r="S178" s="37">
        <f t="shared" si="12"/>
        <v>0</v>
      </c>
      <c r="T178" s="37">
        <v>120</v>
      </c>
      <c r="U178" s="36"/>
      <c r="V178" s="38">
        <v>1</v>
      </c>
      <c r="W178" s="38">
        <v>0</v>
      </c>
      <c r="X178" s="37">
        <f t="shared" si="13"/>
        <v>0</v>
      </c>
      <c r="Y178" s="37">
        <v>110</v>
      </c>
      <c r="Z178" s="36"/>
      <c r="AA178" s="38">
        <v>1</v>
      </c>
      <c r="AB178" s="38">
        <v>0</v>
      </c>
      <c r="AC178" s="37">
        <f t="shared" si="14"/>
        <v>0</v>
      </c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</row>
    <row r="179" spans="1:41">
      <c r="A179" s="36" t="s">
        <v>52</v>
      </c>
      <c r="B179" s="36" t="s">
        <v>179</v>
      </c>
      <c r="C179" s="36" t="s">
        <v>68</v>
      </c>
      <c r="D179" s="36" t="s">
        <v>13</v>
      </c>
      <c r="E179" s="37">
        <v>120</v>
      </c>
      <c r="F179" s="36"/>
      <c r="G179" s="38">
        <v>1</v>
      </c>
      <c r="H179" s="38">
        <v>0</v>
      </c>
      <c r="I179" s="37">
        <f t="shared" si="10"/>
        <v>0</v>
      </c>
      <c r="J179" s="37">
        <v>120</v>
      </c>
      <c r="K179" s="38">
        <v>7</v>
      </c>
      <c r="L179" s="38">
        <v>1</v>
      </c>
      <c r="M179" s="38">
        <v>7</v>
      </c>
      <c r="N179" s="37">
        <f t="shared" si="11"/>
        <v>840</v>
      </c>
      <c r="O179" s="37">
        <v>120</v>
      </c>
      <c r="P179" s="36"/>
      <c r="Q179" s="38">
        <v>1</v>
      </c>
      <c r="R179" s="38">
        <v>0</v>
      </c>
      <c r="S179" s="37">
        <f t="shared" si="12"/>
        <v>0</v>
      </c>
      <c r="T179" s="37">
        <v>120</v>
      </c>
      <c r="U179" s="36"/>
      <c r="V179" s="38">
        <v>1</v>
      </c>
      <c r="W179" s="38">
        <v>0</v>
      </c>
      <c r="X179" s="37">
        <f t="shared" si="13"/>
        <v>0</v>
      </c>
      <c r="Y179" s="37">
        <v>110</v>
      </c>
      <c r="Z179" s="36"/>
      <c r="AA179" s="38">
        <v>1</v>
      </c>
      <c r="AB179" s="38">
        <v>0</v>
      </c>
      <c r="AC179" s="37">
        <f t="shared" si="14"/>
        <v>0</v>
      </c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</row>
    <row r="180" spans="1:41">
      <c r="A180" s="36" t="s">
        <v>52</v>
      </c>
      <c r="B180" s="36" t="s">
        <v>180</v>
      </c>
      <c r="C180" s="36" t="s">
        <v>68</v>
      </c>
      <c r="D180" s="36" t="s">
        <v>13</v>
      </c>
      <c r="E180" s="37">
        <v>120</v>
      </c>
      <c r="F180" s="36"/>
      <c r="G180" s="38">
        <v>1</v>
      </c>
      <c r="H180" s="38">
        <v>0</v>
      </c>
      <c r="I180" s="37">
        <f t="shared" si="10"/>
        <v>0</v>
      </c>
      <c r="J180" s="37">
        <v>120</v>
      </c>
      <c r="K180" s="38">
        <v>1</v>
      </c>
      <c r="L180" s="38">
        <v>1</v>
      </c>
      <c r="M180" s="38">
        <v>1</v>
      </c>
      <c r="N180" s="37">
        <f t="shared" si="11"/>
        <v>120</v>
      </c>
      <c r="O180" s="37">
        <v>120</v>
      </c>
      <c r="P180" s="36"/>
      <c r="Q180" s="38">
        <v>1</v>
      </c>
      <c r="R180" s="38">
        <v>0</v>
      </c>
      <c r="S180" s="37">
        <f t="shared" si="12"/>
        <v>0</v>
      </c>
      <c r="T180" s="37">
        <v>120</v>
      </c>
      <c r="U180" s="38">
        <v>1</v>
      </c>
      <c r="V180" s="38">
        <v>1</v>
      </c>
      <c r="W180" s="38">
        <v>1</v>
      </c>
      <c r="X180" s="37">
        <f t="shared" si="13"/>
        <v>120</v>
      </c>
      <c r="Y180" s="37">
        <v>110</v>
      </c>
      <c r="Z180" s="36"/>
      <c r="AA180" s="38">
        <v>1</v>
      </c>
      <c r="AB180" s="38">
        <v>0</v>
      </c>
      <c r="AC180" s="37">
        <f t="shared" si="14"/>
        <v>0</v>
      </c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</row>
    <row r="181" spans="1:41">
      <c r="A181" s="36" t="s">
        <v>52</v>
      </c>
      <c r="B181" s="36" t="s">
        <v>181</v>
      </c>
      <c r="C181" s="36" t="s">
        <v>68</v>
      </c>
      <c r="D181" s="36" t="s">
        <v>29</v>
      </c>
      <c r="E181" s="37">
        <v>120</v>
      </c>
      <c r="F181" s="36"/>
      <c r="G181" s="38">
        <v>2</v>
      </c>
      <c r="H181" s="38">
        <v>0</v>
      </c>
      <c r="I181" s="37">
        <f t="shared" si="10"/>
        <v>0</v>
      </c>
      <c r="J181" s="37">
        <v>120</v>
      </c>
      <c r="K181" s="38">
        <v>1</v>
      </c>
      <c r="L181" s="38">
        <v>2</v>
      </c>
      <c r="M181" s="38">
        <v>2</v>
      </c>
      <c r="N181" s="37">
        <f t="shared" si="11"/>
        <v>240</v>
      </c>
      <c r="O181" s="37">
        <v>120</v>
      </c>
      <c r="P181" s="36"/>
      <c r="Q181" s="38">
        <v>2</v>
      </c>
      <c r="R181" s="38">
        <v>0</v>
      </c>
      <c r="S181" s="37">
        <f t="shared" si="12"/>
        <v>0</v>
      </c>
      <c r="T181" s="37">
        <v>120</v>
      </c>
      <c r="U181" s="36"/>
      <c r="V181" s="38">
        <v>2</v>
      </c>
      <c r="W181" s="38">
        <v>0</v>
      </c>
      <c r="X181" s="37">
        <f t="shared" si="13"/>
        <v>0</v>
      </c>
      <c r="Y181" s="37">
        <v>110</v>
      </c>
      <c r="Z181" s="36"/>
      <c r="AA181" s="38">
        <v>2</v>
      </c>
      <c r="AB181" s="38">
        <v>0</v>
      </c>
      <c r="AC181" s="37">
        <f t="shared" si="14"/>
        <v>0</v>
      </c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</row>
    <row r="182" spans="1:41">
      <c r="A182" s="36" t="s">
        <v>52</v>
      </c>
      <c r="B182" s="36" t="s">
        <v>182</v>
      </c>
      <c r="C182" s="36" t="s">
        <v>68</v>
      </c>
      <c r="D182" s="36" t="s">
        <v>29</v>
      </c>
      <c r="E182" s="37">
        <v>120</v>
      </c>
      <c r="F182" s="36"/>
      <c r="G182" s="38">
        <v>2</v>
      </c>
      <c r="H182" s="38">
        <v>0</v>
      </c>
      <c r="I182" s="37">
        <f t="shared" si="10"/>
        <v>0</v>
      </c>
      <c r="J182" s="37">
        <v>120</v>
      </c>
      <c r="K182" s="38">
        <v>1</v>
      </c>
      <c r="L182" s="38">
        <v>2</v>
      </c>
      <c r="M182" s="38">
        <v>2</v>
      </c>
      <c r="N182" s="37">
        <f t="shared" si="11"/>
        <v>240</v>
      </c>
      <c r="O182" s="37">
        <v>120</v>
      </c>
      <c r="P182" s="36"/>
      <c r="Q182" s="38">
        <v>2</v>
      </c>
      <c r="R182" s="38">
        <v>0</v>
      </c>
      <c r="S182" s="37">
        <f t="shared" si="12"/>
        <v>0</v>
      </c>
      <c r="T182" s="37">
        <v>120</v>
      </c>
      <c r="U182" s="36"/>
      <c r="V182" s="38">
        <v>2</v>
      </c>
      <c r="W182" s="38">
        <v>0</v>
      </c>
      <c r="X182" s="37">
        <f t="shared" si="13"/>
        <v>0</v>
      </c>
      <c r="Y182" s="37">
        <v>110</v>
      </c>
      <c r="Z182" s="36"/>
      <c r="AA182" s="38">
        <v>2</v>
      </c>
      <c r="AB182" s="38">
        <v>0</v>
      </c>
      <c r="AC182" s="37">
        <f t="shared" si="14"/>
        <v>0</v>
      </c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</row>
    <row r="183" spans="1:41">
      <c r="A183" s="36" t="s">
        <v>52</v>
      </c>
      <c r="B183" s="36" t="s">
        <v>183</v>
      </c>
      <c r="C183" s="36" t="s">
        <v>68</v>
      </c>
      <c r="D183" s="36" t="s">
        <v>13</v>
      </c>
      <c r="E183" s="37">
        <v>120</v>
      </c>
      <c r="F183" s="36"/>
      <c r="G183" s="38">
        <v>1</v>
      </c>
      <c r="H183" s="38">
        <v>0</v>
      </c>
      <c r="I183" s="37">
        <f t="shared" si="10"/>
        <v>0</v>
      </c>
      <c r="J183" s="37">
        <v>120</v>
      </c>
      <c r="K183" s="38">
        <v>1</v>
      </c>
      <c r="L183" s="38">
        <v>1</v>
      </c>
      <c r="M183" s="38">
        <v>1</v>
      </c>
      <c r="N183" s="37">
        <f t="shared" si="11"/>
        <v>120</v>
      </c>
      <c r="O183" s="37">
        <v>120</v>
      </c>
      <c r="P183" s="36"/>
      <c r="Q183" s="38">
        <v>1</v>
      </c>
      <c r="R183" s="38">
        <v>0</v>
      </c>
      <c r="S183" s="37">
        <f t="shared" si="12"/>
        <v>0</v>
      </c>
      <c r="T183" s="37">
        <v>120</v>
      </c>
      <c r="U183" s="36"/>
      <c r="V183" s="38">
        <v>1</v>
      </c>
      <c r="W183" s="38">
        <v>0</v>
      </c>
      <c r="X183" s="37">
        <f t="shared" si="13"/>
        <v>0</v>
      </c>
      <c r="Y183" s="37">
        <v>110</v>
      </c>
      <c r="Z183" s="36"/>
      <c r="AA183" s="38">
        <v>1</v>
      </c>
      <c r="AB183" s="38">
        <v>0</v>
      </c>
      <c r="AC183" s="37">
        <f t="shared" si="14"/>
        <v>0</v>
      </c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</row>
    <row r="184" spans="1:41">
      <c r="A184" s="36" t="s">
        <v>52</v>
      </c>
      <c r="B184" s="36" t="s">
        <v>184</v>
      </c>
      <c r="C184" s="36" t="s">
        <v>68</v>
      </c>
      <c r="D184" s="36" t="s">
        <v>13</v>
      </c>
      <c r="E184" s="37">
        <v>120</v>
      </c>
      <c r="F184" s="36"/>
      <c r="G184" s="38">
        <v>1</v>
      </c>
      <c r="H184" s="38">
        <v>0</v>
      </c>
      <c r="I184" s="37">
        <f t="shared" si="10"/>
        <v>0</v>
      </c>
      <c r="J184" s="37">
        <v>120</v>
      </c>
      <c r="K184" s="38">
        <v>18</v>
      </c>
      <c r="L184" s="38">
        <v>1</v>
      </c>
      <c r="M184" s="38">
        <v>18</v>
      </c>
      <c r="N184" s="37">
        <f t="shared" si="11"/>
        <v>2160</v>
      </c>
      <c r="O184" s="37">
        <v>120</v>
      </c>
      <c r="P184" s="36"/>
      <c r="Q184" s="38">
        <v>1</v>
      </c>
      <c r="R184" s="38">
        <v>0</v>
      </c>
      <c r="S184" s="37">
        <f t="shared" si="12"/>
        <v>0</v>
      </c>
      <c r="T184" s="37">
        <v>120</v>
      </c>
      <c r="U184" s="36"/>
      <c r="V184" s="38">
        <v>1</v>
      </c>
      <c r="W184" s="38">
        <v>0</v>
      </c>
      <c r="X184" s="37">
        <f t="shared" si="13"/>
        <v>0</v>
      </c>
      <c r="Y184" s="37">
        <v>110</v>
      </c>
      <c r="Z184" s="36"/>
      <c r="AA184" s="38">
        <v>1</v>
      </c>
      <c r="AB184" s="38">
        <v>0</v>
      </c>
      <c r="AC184" s="37">
        <f t="shared" si="14"/>
        <v>0</v>
      </c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</row>
    <row r="185" spans="1:41">
      <c r="A185" s="36" t="s">
        <v>52</v>
      </c>
      <c r="B185" s="36" t="s">
        <v>185</v>
      </c>
      <c r="C185" s="36" t="s">
        <v>68</v>
      </c>
      <c r="D185" s="36" t="s">
        <v>13</v>
      </c>
      <c r="E185" s="37">
        <v>120</v>
      </c>
      <c r="F185" s="36"/>
      <c r="G185" s="38">
        <v>1</v>
      </c>
      <c r="H185" s="38">
        <v>0</v>
      </c>
      <c r="I185" s="37">
        <f t="shared" si="10"/>
        <v>0</v>
      </c>
      <c r="J185" s="37">
        <v>120</v>
      </c>
      <c r="K185" s="38">
        <v>1</v>
      </c>
      <c r="L185" s="38">
        <v>1</v>
      </c>
      <c r="M185" s="38">
        <v>1</v>
      </c>
      <c r="N185" s="37">
        <f t="shared" si="11"/>
        <v>120</v>
      </c>
      <c r="O185" s="37">
        <v>120</v>
      </c>
      <c r="P185" s="36"/>
      <c r="Q185" s="38">
        <v>1</v>
      </c>
      <c r="R185" s="38">
        <v>0</v>
      </c>
      <c r="S185" s="37">
        <f t="shared" si="12"/>
        <v>0</v>
      </c>
      <c r="T185" s="37">
        <v>120</v>
      </c>
      <c r="U185" s="36"/>
      <c r="V185" s="38">
        <v>1</v>
      </c>
      <c r="W185" s="38">
        <v>0</v>
      </c>
      <c r="X185" s="37">
        <f t="shared" si="13"/>
        <v>0</v>
      </c>
      <c r="Y185" s="37">
        <v>110</v>
      </c>
      <c r="Z185" s="36"/>
      <c r="AA185" s="38">
        <v>1</v>
      </c>
      <c r="AB185" s="38">
        <v>0</v>
      </c>
      <c r="AC185" s="37">
        <f t="shared" si="14"/>
        <v>0</v>
      </c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</row>
    <row r="186" spans="1:41">
      <c r="A186" s="36" t="s">
        <v>52</v>
      </c>
      <c r="B186" s="36" t="s">
        <v>186</v>
      </c>
      <c r="C186" s="36" t="s">
        <v>68</v>
      </c>
      <c r="D186" s="36" t="s">
        <v>13</v>
      </c>
      <c r="E186" s="37">
        <v>120</v>
      </c>
      <c r="F186" s="36"/>
      <c r="G186" s="38">
        <v>1</v>
      </c>
      <c r="H186" s="38">
        <v>0</v>
      </c>
      <c r="I186" s="37">
        <f t="shared" si="10"/>
        <v>0</v>
      </c>
      <c r="J186" s="37">
        <v>120</v>
      </c>
      <c r="K186" s="38">
        <v>1</v>
      </c>
      <c r="L186" s="38">
        <v>1</v>
      </c>
      <c r="M186" s="38">
        <v>1</v>
      </c>
      <c r="N186" s="37">
        <f t="shared" si="11"/>
        <v>120</v>
      </c>
      <c r="O186" s="37">
        <v>120</v>
      </c>
      <c r="P186" s="36"/>
      <c r="Q186" s="38">
        <v>1</v>
      </c>
      <c r="R186" s="38">
        <v>0</v>
      </c>
      <c r="S186" s="37">
        <f t="shared" si="12"/>
        <v>0</v>
      </c>
      <c r="T186" s="37">
        <v>120</v>
      </c>
      <c r="U186" s="36"/>
      <c r="V186" s="38">
        <v>1</v>
      </c>
      <c r="W186" s="38">
        <v>0</v>
      </c>
      <c r="X186" s="37">
        <f t="shared" si="13"/>
        <v>0</v>
      </c>
      <c r="Y186" s="37">
        <v>110</v>
      </c>
      <c r="Z186" s="36"/>
      <c r="AA186" s="38">
        <v>1</v>
      </c>
      <c r="AB186" s="38">
        <v>0</v>
      </c>
      <c r="AC186" s="37">
        <f t="shared" si="14"/>
        <v>0</v>
      </c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</row>
    <row r="187" spans="1:41">
      <c r="A187" s="36" t="s">
        <v>52</v>
      </c>
      <c r="B187" s="36" t="s">
        <v>187</v>
      </c>
      <c r="C187" s="36" t="s">
        <v>68</v>
      </c>
      <c r="D187" s="36" t="s">
        <v>13</v>
      </c>
      <c r="E187" s="37">
        <v>120</v>
      </c>
      <c r="F187" s="36"/>
      <c r="G187" s="38">
        <v>1</v>
      </c>
      <c r="H187" s="38">
        <v>0</v>
      </c>
      <c r="I187" s="37">
        <f t="shared" si="10"/>
        <v>0</v>
      </c>
      <c r="J187" s="37">
        <v>120</v>
      </c>
      <c r="K187" s="38">
        <v>1</v>
      </c>
      <c r="L187" s="38">
        <v>1</v>
      </c>
      <c r="M187" s="38">
        <v>1</v>
      </c>
      <c r="N187" s="37">
        <f t="shared" si="11"/>
        <v>120</v>
      </c>
      <c r="O187" s="37">
        <v>120</v>
      </c>
      <c r="P187" s="36"/>
      <c r="Q187" s="38">
        <v>1</v>
      </c>
      <c r="R187" s="38">
        <v>0</v>
      </c>
      <c r="S187" s="37">
        <f t="shared" si="12"/>
        <v>0</v>
      </c>
      <c r="T187" s="37">
        <v>120</v>
      </c>
      <c r="U187" s="38">
        <v>1</v>
      </c>
      <c r="V187" s="38">
        <v>1</v>
      </c>
      <c r="W187" s="38">
        <v>1</v>
      </c>
      <c r="X187" s="37">
        <f t="shared" si="13"/>
        <v>120</v>
      </c>
      <c r="Y187" s="37">
        <v>110</v>
      </c>
      <c r="Z187" s="36"/>
      <c r="AA187" s="38">
        <v>1</v>
      </c>
      <c r="AB187" s="38">
        <v>0</v>
      </c>
      <c r="AC187" s="37">
        <f t="shared" si="14"/>
        <v>0</v>
      </c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</row>
    <row r="188" spans="1:41">
      <c r="A188" s="39" t="s">
        <v>52</v>
      </c>
      <c r="B188" s="39" t="s">
        <v>188</v>
      </c>
      <c r="C188" s="39" t="s">
        <v>70</v>
      </c>
      <c r="D188" s="39" t="s">
        <v>189</v>
      </c>
      <c r="E188" s="40">
        <v>140</v>
      </c>
      <c r="F188" s="39"/>
      <c r="G188" s="41">
        <v>4</v>
      </c>
      <c r="H188" s="41">
        <v>0</v>
      </c>
      <c r="I188" s="40">
        <f t="shared" si="10"/>
        <v>0</v>
      </c>
      <c r="J188" s="40">
        <v>140</v>
      </c>
      <c r="K188" s="39"/>
      <c r="L188" s="41">
        <v>4</v>
      </c>
      <c r="M188" s="41">
        <v>0</v>
      </c>
      <c r="N188" s="40">
        <f t="shared" si="11"/>
        <v>0</v>
      </c>
      <c r="O188" s="40">
        <v>120</v>
      </c>
      <c r="P188" s="39"/>
      <c r="Q188" s="41">
        <v>4</v>
      </c>
      <c r="R188" s="41">
        <v>0</v>
      </c>
      <c r="S188" s="40">
        <f t="shared" si="12"/>
        <v>0</v>
      </c>
      <c r="T188" s="40">
        <v>140</v>
      </c>
      <c r="U188" s="41">
        <v>1</v>
      </c>
      <c r="V188" s="41">
        <v>4</v>
      </c>
      <c r="W188" s="41">
        <v>4</v>
      </c>
      <c r="X188" s="40">
        <f t="shared" si="13"/>
        <v>560</v>
      </c>
      <c r="Y188" s="40">
        <v>140</v>
      </c>
      <c r="Z188" s="39"/>
      <c r="AA188" s="41">
        <v>4</v>
      </c>
      <c r="AB188" s="41">
        <v>0</v>
      </c>
      <c r="AC188" s="40">
        <f t="shared" si="14"/>
        <v>0</v>
      </c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</row>
    <row r="189" spans="1:41">
      <c r="A189" s="39" t="s">
        <v>52</v>
      </c>
      <c r="B189" s="39" t="s">
        <v>190</v>
      </c>
      <c r="C189" s="39" t="s">
        <v>70</v>
      </c>
      <c r="D189" s="39" t="s">
        <v>13</v>
      </c>
      <c r="E189" s="40">
        <v>140</v>
      </c>
      <c r="F189" s="39"/>
      <c r="G189" s="41">
        <v>1</v>
      </c>
      <c r="H189" s="41">
        <v>0</v>
      </c>
      <c r="I189" s="40">
        <f t="shared" si="10"/>
        <v>0</v>
      </c>
      <c r="J189" s="40">
        <v>140</v>
      </c>
      <c r="K189" s="41">
        <v>1</v>
      </c>
      <c r="L189" s="41">
        <v>1</v>
      </c>
      <c r="M189" s="41">
        <v>1</v>
      </c>
      <c r="N189" s="40">
        <f t="shared" si="11"/>
        <v>140</v>
      </c>
      <c r="O189" s="40">
        <v>120</v>
      </c>
      <c r="P189" s="39"/>
      <c r="Q189" s="41">
        <v>1</v>
      </c>
      <c r="R189" s="41">
        <v>0</v>
      </c>
      <c r="S189" s="40">
        <f t="shared" si="12"/>
        <v>0</v>
      </c>
      <c r="T189" s="40">
        <v>140</v>
      </c>
      <c r="U189" s="39"/>
      <c r="V189" s="41">
        <v>1</v>
      </c>
      <c r="W189" s="41">
        <v>0</v>
      </c>
      <c r="X189" s="40">
        <f t="shared" si="13"/>
        <v>0</v>
      </c>
      <c r="Y189" s="40">
        <v>140</v>
      </c>
      <c r="Z189" s="39"/>
      <c r="AA189" s="41">
        <v>1</v>
      </c>
      <c r="AB189" s="41">
        <v>0</v>
      </c>
      <c r="AC189" s="40">
        <f t="shared" si="14"/>
        <v>0</v>
      </c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</row>
    <row r="190" spans="1:41">
      <c r="A190" s="24" t="s">
        <v>52</v>
      </c>
      <c r="B190" s="24" t="s">
        <v>190</v>
      </c>
      <c r="C190" s="24" t="s">
        <v>68</v>
      </c>
      <c r="D190" s="24" t="s">
        <v>13</v>
      </c>
      <c r="E190" s="25">
        <v>120</v>
      </c>
      <c r="F190" s="24"/>
      <c r="G190" s="26">
        <v>1</v>
      </c>
      <c r="H190" s="26">
        <v>0</v>
      </c>
      <c r="I190" s="25">
        <f t="shared" si="10"/>
        <v>0</v>
      </c>
      <c r="J190" s="25">
        <v>120</v>
      </c>
      <c r="K190" s="24"/>
      <c r="L190" s="26">
        <v>1</v>
      </c>
      <c r="M190" s="26">
        <v>0</v>
      </c>
      <c r="N190" s="25">
        <f t="shared" si="11"/>
        <v>0</v>
      </c>
      <c r="O190" s="25">
        <v>120</v>
      </c>
      <c r="P190" s="24"/>
      <c r="Q190" s="26">
        <v>1</v>
      </c>
      <c r="R190" s="26">
        <v>0</v>
      </c>
      <c r="S190" s="25">
        <f t="shared" si="12"/>
        <v>0</v>
      </c>
      <c r="T190" s="25">
        <v>120</v>
      </c>
      <c r="U190" s="24"/>
      <c r="V190" s="26">
        <v>1</v>
      </c>
      <c r="W190" s="26">
        <v>0</v>
      </c>
      <c r="X190" s="25">
        <f t="shared" si="13"/>
        <v>0</v>
      </c>
      <c r="Y190" s="25">
        <v>110</v>
      </c>
      <c r="Z190" s="26">
        <v>1</v>
      </c>
      <c r="AA190" s="26">
        <v>1</v>
      </c>
      <c r="AB190" s="26">
        <v>1</v>
      </c>
      <c r="AC190" s="25">
        <f t="shared" si="14"/>
        <v>110</v>
      </c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</row>
    <row r="191" spans="1:41">
      <c r="A191" s="24" t="s">
        <v>52</v>
      </c>
      <c r="B191" s="24" t="s">
        <v>191</v>
      </c>
      <c r="C191" s="24" t="s">
        <v>68</v>
      </c>
      <c r="D191" s="24" t="s">
        <v>29</v>
      </c>
      <c r="E191" s="25">
        <v>120</v>
      </c>
      <c r="F191" s="24"/>
      <c r="G191" s="26">
        <v>2</v>
      </c>
      <c r="H191" s="26">
        <v>0</v>
      </c>
      <c r="I191" s="25">
        <f t="shared" si="10"/>
        <v>0</v>
      </c>
      <c r="J191" s="25">
        <v>120</v>
      </c>
      <c r="K191" s="26">
        <v>1</v>
      </c>
      <c r="L191" s="26">
        <v>2</v>
      </c>
      <c r="M191" s="26">
        <v>2</v>
      </c>
      <c r="N191" s="25">
        <f t="shared" si="11"/>
        <v>240</v>
      </c>
      <c r="O191" s="25">
        <v>120</v>
      </c>
      <c r="P191" s="24"/>
      <c r="Q191" s="26">
        <v>2</v>
      </c>
      <c r="R191" s="26">
        <v>0</v>
      </c>
      <c r="S191" s="25">
        <f t="shared" si="12"/>
        <v>0</v>
      </c>
      <c r="T191" s="25">
        <v>120</v>
      </c>
      <c r="U191" s="24"/>
      <c r="V191" s="26">
        <v>2</v>
      </c>
      <c r="W191" s="26">
        <v>0</v>
      </c>
      <c r="X191" s="25">
        <f t="shared" si="13"/>
        <v>0</v>
      </c>
      <c r="Y191" s="25">
        <v>110</v>
      </c>
      <c r="Z191" s="24"/>
      <c r="AA191" s="26">
        <v>2</v>
      </c>
      <c r="AB191" s="26">
        <v>0</v>
      </c>
      <c r="AC191" s="25">
        <f t="shared" si="14"/>
        <v>0</v>
      </c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</row>
    <row r="192" spans="1:41">
      <c r="A192" s="39" t="s">
        <v>52</v>
      </c>
      <c r="B192" s="39" t="s">
        <v>192</v>
      </c>
      <c r="C192" s="39" t="s">
        <v>70</v>
      </c>
      <c r="D192" s="39" t="s">
        <v>29</v>
      </c>
      <c r="E192" s="40">
        <v>140</v>
      </c>
      <c r="F192" s="39"/>
      <c r="G192" s="41">
        <v>2</v>
      </c>
      <c r="H192" s="41">
        <v>0</v>
      </c>
      <c r="I192" s="40">
        <f t="shared" si="10"/>
        <v>0</v>
      </c>
      <c r="J192" s="40">
        <v>140</v>
      </c>
      <c r="K192" s="41">
        <v>1</v>
      </c>
      <c r="L192" s="41">
        <v>2</v>
      </c>
      <c r="M192" s="41">
        <v>2</v>
      </c>
      <c r="N192" s="40">
        <f t="shared" si="11"/>
        <v>280</v>
      </c>
      <c r="O192" s="40">
        <v>120</v>
      </c>
      <c r="P192" s="39"/>
      <c r="Q192" s="41">
        <v>2</v>
      </c>
      <c r="R192" s="41">
        <v>0</v>
      </c>
      <c r="S192" s="40">
        <f t="shared" si="12"/>
        <v>0</v>
      </c>
      <c r="T192" s="40">
        <v>140</v>
      </c>
      <c r="U192" s="39"/>
      <c r="V192" s="41">
        <v>2</v>
      </c>
      <c r="W192" s="41">
        <v>0</v>
      </c>
      <c r="X192" s="40">
        <f t="shared" si="13"/>
        <v>0</v>
      </c>
      <c r="Y192" s="40">
        <v>140</v>
      </c>
      <c r="Z192" s="39"/>
      <c r="AA192" s="41">
        <v>2</v>
      </c>
      <c r="AB192" s="41">
        <v>0</v>
      </c>
      <c r="AC192" s="40">
        <f t="shared" si="14"/>
        <v>0</v>
      </c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</row>
    <row r="193" spans="1:41">
      <c r="A193" s="24" t="s">
        <v>52</v>
      </c>
      <c r="B193" s="24" t="s">
        <v>192</v>
      </c>
      <c r="C193" s="24" t="s">
        <v>68</v>
      </c>
      <c r="D193" s="24" t="s">
        <v>29</v>
      </c>
      <c r="E193" s="25">
        <v>120</v>
      </c>
      <c r="F193" s="24"/>
      <c r="G193" s="26">
        <v>2</v>
      </c>
      <c r="H193" s="26">
        <v>0</v>
      </c>
      <c r="I193" s="25">
        <f t="shared" si="10"/>
        <v>0</v>
      </c>
      <c r="J193" s="25">
        <v>120</v>
      </c>
      <c r="K193" s="26">
        <v>18</v>
      </c>
      <c r="L193" s="26">
        <v>2</v>
      </c>
      <c r="M193" s="26">
        <v>36</v>
      </c>
      <c r="N193" s="25">
        <f t="shared" si="11"/>
        <v>4320</v>
      </c>
      <c r="O193" s="25">
        <v>120</v>
      </c>
      <c r="P193" s="24"/>
      <c r="Q193" s="26">
        <v>2</v>
      </c>
      <c r="R193" s="26">
        <v>0</v>
      </c>
      <c r="S193" s="25">
        <f t="shared" si="12"/>
        <v>0</v>
      </c>
      <c r="T193" s="25">
        <v>120</v>
      </c>
      <c r="U193" s="26">
        <v>1</v>
      </c>
      <c r="V193" s="26">
        <v>2</v>
      </c>
      <c r="W193" s="26">
        <v>2</v>
      </c>
      <c r="X193" s="25">
        <f t="shared" si="13"/>
        <v>240</v>
      </c>
      <c r="Y193" s="25">
        <v>110</v>
      </c>
      <c r="Z193" s="24"/>
      <c r="AA193" s="26">
        <v>2</v>
      </c>
      <c r="AB193" s="26">
        <v>0</v>
      </c>
      <c r="AC193" s="25">
        <f t="shared" si="14"/>
        <v>0</v>
      </c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</row>
    <row r="194" spans="1:41">
      <c r="A194" s="39" t="s">
        <v>52</v>
      </c>
      <c r="B194" s="39" t="s">
        <v>193</v>
      </c>
      <c r="C194" s="39" t="s">
        <v>70</v>
      </c>
      <c r="D194" s="39" t="s">
        <v>29</v>
      </c>
      <c r="E194" s="40">
        <v>140</v>
      </c>
      <c r="F194" s="39"/>
      <c r="G194" s="41">
        <v>2</v>
      </c>
      <c r="H194" s="41">
        <v>0</v>
      </c>
      <c r="I194" s="40">
        <f t="shared" si="10"/>
        <v>0</v>
      </c>
      <c r="J194" s="40">
        <v>140</v>
      </c>
      <c r="K194" s="39"/>
      <c r="L194" s="41">
        <v>2</v>
      </c>
      <c r="M194" s="41">
        <v>0</v>
      </c>
      <c r="N194" s="40">
        <f t="shared" si="11"/>
        <v>0</v>
      </c>
      <c r="O194" s="40">
        <v>120</v>
      </c>
      <c r="P194" s="39"/>
      <c r="Q194" s="41">
        <v>2</v>
      </c>
      <c r="R194" s="41">
        <v>0</v>
      </c>
      <c r="S194" s="40">
        <f t="shared" si="12"/>
        <v>0</v>
      </c>
      <c r="T194" s="40">
        <v>140</v>
      </c>
      <c r="U194" s="41">
        <v>1</v>
      </c>
      <c r="V194" s="41">
        <v>2</v>
      </c>
      <c r="W194" s="41">
        <v>2</v>
      </c>
      <c r="X194" s="40">
        <f t="shared" si="13"/>
        <v>280</v>
      </c>
      <c r="Y194" s="40">
        <v>140</v>
      </c>
      <c r="Z194" s="39"/>
      <c r="AA194" s="41">
        <v>2</v>
      </c>
      <c r="AB194" s="41">
        <v>0</v>
      </c>
      <c r="AC194" s="40">
        <f t="shared" si="14"/>
        <v>0</v>
      </c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</row>
    <row r="195" spans="1:41">
      <c r="A195" s="24" t="s">
        <v>52</v>
      </c>
      <c r="B195" s="24" t="s">
        <v>193</v>
      </c>
      <c r="C195" s="24" t="s">
        <v>68</v>
      </c>
      <c r="D195" s="24" t="s">
        <v>29</v>
      </c>
      <c r="E195" s="25">
        <v>120</v>
      </c>
      <c r="F195" s="24"/>
      <c r="G195" s="26">
        <v>2</v>
      </c>
      <c r="H195" s="26">
        <v>0</v>
      </c>
      <c r="I195" s="25">
        <f t="shared" ref="I195:I258" si="15">E195*H195</f>
        <v>0</v>
      </c>
      <c r="J195" s="25">
        <v>120</v>
      </c>
      <c r="K195" s="24"/>
      <c r="L195" s="26">
        <v>2</v>
      </c>
      <c r="M195" s="26">
        <v>0</v>
      </c>
      <c r="N195" s="25">
        <f t="shared" ref="N195:N258" si="16">J195*M195</f>
        <v>0</v>
      </c>
      <c r="O195" s="25">
        <v>120</v>
      </c>
      <c r="P195" s="24"/>
      <c r="Q195" s="26">
        <v>2</v>
      </c>
      <c r="R195" s="26">
        <v>0</v>
      </c>
      <c r="S195" s="25">
        <f t="shared" ref="S195:S258" si="17">O195*R195</f>
        <v>0</v>
      </c>
      <c r="T195" s="25">
        <v>120</v>
      </c>
      <c r="U195" s="26">
        <v>1</v>
      </c>
      <c r="V195" s="26">
        <v>2</v>
      </c>
      <c r="W195" s="26">
        <v>2</v>
      </c>
      <c r="X195" s="25">
        <f t="shared" ref="X195:X258" si="18">T195*W195</f>
        <v>240</v>
      </c>
      <c r="Y195" s="25">
        <v>110</v>
      </c>
      <c r="Z195" s="24"/>
      <c r="AA195" s="26">
        <v>2</v>
      </c>
      <c r="AB195" s="26">
        <v>0</v>
      </c>
      <c r="AC195" s="25">
        <f t="shared" ref="AC195:AC258" si="19">Y195*AB195</f>
        <v>0</v>
      </c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</row>
    <row r="196" spans="1:41">
      <c r="A196" s="24" t="s">
        <v>52</v>
      </c>
      <c r="B196" s="24" t="s">
        <v>194</v>
      </c>
      <c r="C196" s="24" t="s">
        <v>68</v>
      </c>
      <c r="D196" s="24" t="s">
        <v>29</v>
      </c>
      <c r="E196" s="25">
        <v>120</v>
      </c>
      <c r="F196" s="24"/>
      <c r="G196" s="26">
        <v>2</v>
      </c>
      <c r="H196" s="26">
        <v>0</v>
      </c>
      <c r="I196" s="25">
        <f t="shared" si="15"/>
        <v>0</v>
      </c>
      <c r="J196" s="25">
        <v>120</v>
      </c>
      <c r="K196" s="26">
        <v>5</v>
      </c>
      <c r="L196" s="26">
        <v>2</v>
      </c>
      <c r="M196" s="26">
        <v>10</v>
      </c>
      <c r="N196" s="25">
        <f t="shared" si="16"/>
        <v>1200</v>
      </c>
      <c r="O196" s="25">
        <v>120</v>
      </c>
      <c r="P196" s="24"/>
      <c r="Q196" s="26">
        <v>2</v>
      </c>
      <c r="R196" s="26">
        <v>0</v>
      </c>
      <c r="S196" s="25">
        <f t="shared" si="17"/>
        <v>0</v>
      </c>
      <c r="T196" s="25">
        <v>120</v>
      </c>
      <c r="U196" s="24"/>
      <c r="V196" s="26">
        <v>2</v>
      </c>
      <c r="W196" s="26">
        <v>0</v>
      </c>
      <c r="X196" s="25">
        <f t="shared" si="18"/>
        <v>0</v>
      </c>
      <c r="Y196" s="25">
        <v>110</v>
      </c>
      <c r="Z196" s="24"/>
      <c r="AA196" s="26">
        <v>2</v>
      </c>
      <c r="AB196" s="26">
        <v>0</v>
      </c>
      <c r="AC196" s="25">
        <f t="shared" si="19"/>
        <v>0</v>
      </c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</row>
    <row r="197" spans="1:41">
      <c r="A197" s="24" t="s">
        <v>52</v>
      </c>
      <c r="B197" s="24" t="s">
        <v>195</v>
      </c>
      <c r="C197" s="24" t="s">
        <v>68</v>
      </c>
      <c r="D197" s="24" t="s">
        <v>29</v>
      </c>
      <c r="E197" s="25">
        <v>120</v>
      </c>
      <c r="F197" s="24"/>
      <c r="G197" s="26">
        <v>2</v>
      </c>
      <c r="H197" s="26">
        <v>0</v>
      </c>
      <c r="I197" s="25">
        <f t="shared" si="15"/>
        <v>0</v>
      </c>
      <c r="J197" s="25">
        <v>120</v>
      </c>
      <c r="K197" s="26">
        <v>2</v>
      </c>
      <c r="L197" s="26">
        <v>2</v>
      </c>
      <c r="M197" s="26">
        <v>4</v>
      </c>
      <c r="N197" s="25">
        <f t="shared" si="16"/>
        <v>480</v>
      </c>
      <c r="O197" s="25">
        <v>120</v>
      </c>
      <c r="P197" s="24"/>
      <c r="Q197" s="26">
        <v>2</v>
      </c>
      <c r="R197" s="26">
        <v>0</v>
      </c>
      <c r="S197" s="25">
        <f t="shared" si="17"/>
        <v>0</v>
      </c>
      <c r="T197" s="25">
        <v>120</v>
      </c>
      <c r="U197" s="24"/>
      <c r="V197" s="26">
        <v>2</v>
      </c>
      <c r="W197" s="26">
        <v>0</v>
      </c>
      <c r="X197" s="25">
        <f t="shared" si="18"/>
        <v>0</v>
      </c>
      <c r="Y197" s="25">
        <v>110</v>
      </c>
      <c r="Z197" s="24"/>
      <c r="AA197" s="26">
        <v>2</v>
      </c>
      <c r="AB197" s="26">
        <v>0</v>
      </c>
      <c r="AC197" s="25">
        <f t="shared" si="19"/>
        <v>0</v>
      </c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</row>
    <row r="198" spans="1:41">
      <c r="A198" s="39" t="s">
        <v>52</v>
      </c>
      <c r="B198" s="39" t="s">
        <v>196</v>
      </c>
      <c r="C198" s="39" t="s">
        <v>70</v>
      </c>
      <c r="D198" s="39" t="s">
        <v>29</v>
      </c>
      <c r="E198" s="40">
        <v>140</v>
      </c>
      <c r="F198" s="39"/>
      <c r="G198" s="41">
        <v>2</v>
      </c>
      <c r="H198" s="41">
        <v>0</v>
      </c>
      <c r="I198" s="40">
        <f t="shared" si="15"/>
        <v>0</v>
      </c>
      <c r="J198" s="40">
        <v>140</v>
      </c>
      <c r="K198" s="39"/>
      <c r="L198" s="41">
        <v>2</v>
      </c>
      <c r="M198" s="41">
        <v>0</v>
      </c>
      <c r="N198" s="40">
        <f t="shared" si="16"/>
        <v>0</v>
      </c>
      <c r="O198" s="40">
        <v>120</v>
      </c>
      <c r="P198" s="39"/>
      <c r="Q198" s="41">
        <v>2</v>
      </c>
      <c r="R198" s="41">
        <v>0</v>
      </c>
      <c r="S198" s="40">
        <f t="shared" si="17"/>
        <v>0</v>
      </c>
      <c r="T198" s="40">
        <v>140</v>
      </c>
      <c r="U198" s="41">
        <v>1</v>
      </c>
      <c r="V198" s="41">
        <v>2</v>
      </c>
      <c r="W198" s="41">
        <v>2</v>
      </c>
      <c r="X198" s="40">
        <f t="shared" si="18"/>
        <v>280</v>
      </c>
      <c r="Y198" s="40">
        <v>140</v>
      </c>
      <c r="Z198" s="39"/>
      <c r="AA198" s="41">
        <v>2</v>
      </c>
      <c r="AB198" s="41">
        <v>0</v>
      </c>
      <c r="AC198" s="40">
        <f t="shared" si="19"/>
        <v>0</v>
      </c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</row>
    <row r="199" spans="1:41">
      <c r="A199" s="24" t="s">
        <v>52</v>
      </c>
      <c r="B199" s="24" t="s">
        <v>196</v>
      </c>
      <c r="C199" s="24" t="s">
        <v>68</v>
      </c>
      <c r="D199" s="24" t="s">
        <v>29</v>
      </c>
      <c r="E199" s="25">
        <v>120</v>
      </c>
      <c r="F199" s="24"/>
      <c r="G199" s="26">
        <v>2</v>
      </c>
      <c r="H199" s="26">
        <v>0</v>
      </c>
      <c r="I199" s="25">
        <f t="shared" si="15"/>
        <v>0</v>
      </c>
      <c r="J199" s="25">
        <v>120</v>
      </c>
      <c r="K199" s="26">
        <v>8</v>
      </c>
      <c r="L199" s="26">
        <v>2</v>
      </c>
      <c r="M199" s="26">
        <v>16</v>
      </c>
      <c r="N199" s="25">
        <f t="shared" si="16"/>
        <v>1920</v>
      </c>
      <c r="O199" s="25">
        <v>120</v>
      </c>
      <c r="P199" s="24"/>
      <c r="Q199" s="26">
        <v>2</v>
      </c>
      <c r="R199" s="26">
        <v>0</v>
      </c>
      <c r="S199" s="25">
        <f t="shared" si="17"/>
        <v>0</v>
      </c>
      <c r="T199" s="25">
        <v>120</v>
      </c>
      <c r="U199" s="26">
        <v>3</v>
      </c>
      <c r="V199" s="26">
        <v>2</v>
      </c>
      <c r="W199" s="26">
        <v>6</v>
      </c>
      <c r="X199" s="25">
        <f t="shared" si="18"/>
        <v>720</v>
      </c>
      <c r="Y199" s="25">
        <v>110</v>
      </c>
      <c r="Z199" s="24"/>
      <c r="AA199" s="26">
        <v>2</v>
      </c>
      <c r="AB199" s="26">
        <v>0</v>
      </c>
      <c r="AC199" s="25">
        <f t="shared" si="19"/>
        <v>0</v>
      </c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</row>
    <row r="200" spans="1:41">
      <c r="A200" s="39" t="s">
        <v>52</v>
      </c>
      <c r="B200" s="39" t="s">
        <v>197</v>
      </c>
      <c r="C200" s="39" t="s">
        <v>70</v>
      </c>
      <c r="D200" s="39" t="s">
        <v>29</v>
      </c>
      <c r="E200" s="40">
        <v>140</v>
      </c>
      <c r="F200" s="39"/>
      <c r="G200" s="41">
        <v>2</v>
      </c>
      <c r="H200" s="41">
        <v>0</v>
      </c>
      <c r="I200" s="40">
        <f t="shared" si="15"/>
        <v>0</v>
      </c>
      <c r="J200" s="40">
        <v>140</v>
      </c>
      <c r="K200" s="39"/>
      <c r="L200" s="41">
        <v>2</v>
      </c>
      <c r="M200" s="41">
        <v>0</v>
      </c>
      <c r="N200" s="40">
        <f t="shared" si="16"/>
        <v>0</v>
      </c>
      <c r="O200" s="40">
        <v>120</v>
      </c>
      <c r="P200" s="39"/>
      <c r="Q200" s="41">
        <v>2</v>
      </c>
      <c r="R200" s="41">
        <v>0</v>
      </c>
      <c r="S200" s="40">
        <f t="shared" si="17"/>
        <v>0</v>
      </c>
      <c r="T200" s="40">
        <v>140</v>
      </c>
      <c r="U200" s="39"/>
      <c r="V200" s="41">
        <v>2</v>
      </c>
      <c r="W200" s="41">
        <v>0</v>
      </c>
      <c r="X200" s="40">
        <f t="shared" si="18"/>
        <v>0</v>
      </c>
      <c r="Y200" s="40">
        <v>140</v>
      </c>
      <c r="Z200" s="41">
        <v>1</v>
      </c>
      <c r="AA200" s="41">
        <v>2</v>
      </c>
      <c r="AB200" s="41">
        <v>2</v>
      </c>
      <c r="AC200" s="40">
        <f t="shared" si="19"/>
        <v>280</v>
      </c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</row>
    <row r="201" spans="1:41">
      <c r="A201" s="24" t="s">
        <v>52</v>
      </c>
      <c r="B201" s="24" t="s">
        <v>197</v>
      </c>
      <c r="C201" s="24" t="s">
        <v>68</v>
      </c>
      <c r="D201" s="24" t="s">
        <v>29</v>
      </c>
      <c r="E201" s="25">
        <v>120</v>
      </c>
      <c r="F201" s="24"/>
      <c r="G201" s="26">
        <v>2</v>
      </c>
      <c r="H201" s="26">
        <v>0</v>
      </c>
      <c r="I201" s="25">
        <f t="shared" si="15"/>
        <v>0</v>
      </c>
      <c r="J201" s="25">
        <v>120</v>
      </c>
      <c r="K201" s="26">
        <v>1</v>
      </c>
      <c r="L201" s="26">
        <v>2</v>
      </c>
      <c r="M201" s="26">
        <v>2</v>
      </c>
      <c r="N201" s="25">
        <f t="shared" si="16"/>
        <v>240</v>
      </c>
      <c r="O201" s="25">
        <v>120</v>
      </c>
      <c r="P201" s="24"/>
      <c r="Q201" s="26">
        <v>2</v>
      </c>
      <c r="R201" s="26">
        <v>0</v>
      </c>
      <c r="S201" s="25">
        <f t="shared" si="17"/>
        <v>0</v>
      </c>
      <c r="T201" s="25">
        <v>120</v>
      </c>
      <c r="U201" s="26">
        <v>1</v>
      </c>
      <c r="V201" s="26">
        <v>2</v>
      </c>
      <c r="W201" s="26">
        <v>2</v>
      </c>
      <c r="X201" s="25">
        <f t="shared" si="18"/>
        <v>240</v>
      </c>
      <c r="Y201" s="25">
        <v>110</v>
      </c>
      <c r="Z201" s="24"/>
      <c r="AA201" s="26">
        <v>2</v>
      </c>
      <c r="AB201" s="26">
        <v>0</v>
      </c>
      <c r="AC201" s="25">
        <f t="shared" si="19"/>
        <v>0</v>
      </c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</row>
    <row r="202" spans="1:41">
      <c r="A202" s="24" t="s">
        <v>52</v>
      </c>
      <c r="B202" s="24" t="s">
        <v>198</v>
      </c>
      <c r="C202" s="24" t="s">
        <v>68</v>
      </c>
      <c r="D202" s="24" t="s">
        <v>29</v>
      </c>
      <c r="E202" s="25">
        <v>120</v>
      </c>
      <c r="F202" s="24"/>
      <c r="G202" s="26">
        <v>2</v>
      </c>
      <c r="H202" s="26">
        <v>0</v>
      </c>
      <c r="I202" s="25">
        <f t="shared" si="15"/>
        <v>0</v>
      </c>
      <c r="J202" s="25">
        <v>120</v>
      </c>
      <c r="K202" s="26">
        <v>2</v>
      </c>
      <c r="L202" s="26">
        <v>2</v>
      </c>
      <c r="M202" s="26">
        <v>4</v>
      </c>
      <c r="N202" s="25">
        <f t="shared" si="16"/>
        <v>480</v>
      </c>
      <c r="O202" s="25">
        <v>120</v>
      </c>
      <c r="P202" s="24"/>
      <c r="Q202" s="26">
        <v>2</v>
      </c>
      <c r="R202" s="26">
        <v>0</v>
      </c>
      <c r="S202" s="25">
        <f t="shared" si="17"/>
        <v>0</v>
      </c>
      <c r="T202" s="25">
        <v>120</v>
      </c>
      <c r="U202" s="24"/>
      <c r="V202" s="26">
        <v>2</v>
      </c>
      <c r="W202" s="26">
        <v>0</v>
      </c>
      <c r="X202" s="25">
        <f t="shared" si="18"/>
        <v>0</v>
      </c>
      <c r="Y202" s="25">
        <v>110</v>
      </c>
      <c r="Z202" s="24"/>
      <c r="AA202" s="26">
        <v>2</v>
      </c>
      <c r="AB202" s="26">
        <v>0</v>
      </c>
      <c r="AC202" s="25">
        <f t="shared" si="19"/>
        <v>0</v>
      </c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</row>
    <row r="203" spans="1:41">
      <c r="A203" s="24" t="s">
        <v>52</v>
      </c>
      <c r="B203" s="24" t="s">
        <v>199</v>
      </c>
      <c r="C203" s="24" t="s">
        <v>68</v>
      </c>
      <c r="D203" s="24" t="s">
        <v>29</v>
      </c>
      <c r="E203" s="25">
        <v>120</v>
      </c>
      <c r="F203" s="24"/>
      <c r="G203" s="26">
        <v>2</v>
      </c>
      <c r="H203" s="26">
        <v>0</v>
      </c>
      <c r="I203" s="25">
        <f t="shared" si="15"/>
        <v>0</v>
      </c>
      <c r="J203" s="25">
        <v>120</v>
      </c>
      <c r="K203" s="26">
        <v>2</v>
      </c>
      <c r="L203" s="26">
        <v>2</v>
      </c>
      <c r="M203" s="26">
        <v>4</v>
      </c>
      <c r="N203" s="25">
        <f t="shared" si="16"/>
        <v>480</v>
      </c>
      <c r="O203" s="25">
        <v>120</v>
      </c>
      <c r="P203" s="24"/>
      <c r="Q203" s="26">
        <v>2</v>
      </c>
      <c r="R203" s="26">
        <v>0</v>
      </c>
      <c r="S203" s="25">
        <f t="shared" si="17"/>
        <v>0</v>
      </c>
      <c r="T203" s="25">
        <v>120</v>
      </c>
      <c r="U203" s="24"/>
      <c r="V203" s="26">
        <v>2</v>
      </c>
      <c r="W203" s="26">
        <v>0</v>
      </c>
      <c r="X203" s="25">
        <f t="shared" si="18"/>
        <v>0</v>
      </c>
      <c r="Y203" s="25">
        <v>110</v>
      </c>
      <c r="Z203" s="24"/>
      <c r="AA203" s="26">
        <v>2</v>
      </c>
      <c r="AB203" s="26">
        <v>0</v>
      </c>
      <c r="AC203" s="25">
        <f t="shared" si="19"/>
        <v>0</v>
      </c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</row>
    <row r="204" spans="1:41">
      <c r="A204" s="24" t="s">
        <v>52</v>
      </c>
      <c r="B204" s="24" t="s">
        <v>200</v>
      </c>
      <c r="C204" s="24" t="s">
        <v>68</v>
      </c>
      <c r="D204" s="24" t="s">
        <v>29</v>
      </c>
      <c r="E204" s="25">
        <v>120</v>
      </c>
      <c r="F204" s="24"/>
      <c r="G204" s="26">
        <v>2</v>
      </c>
      <c r="H204" s="26">
        <v>0</v>
      </c>
      <c r="I204" s="25">
        <f t="shared" si="15"/>
        <v>0</v>
      </c>
      <c r="J204" s="25">
        <v>120</v>
      </c>
      <c r="K204" s="26">
        <v>2</v>
      </c>
      <c r="L204" s="26">
        <v>2</v>
      </c>
      <c r="M204" s="26">
        <v>4</v>
      </c>
      <c r="N204" s="25">
        <f t="shared" si="16"/>
        <v>480</v>
      </c>
      <c r="O204" s="25">
        <v>120</v>
      </c>
      <c r="P204" s="24"/>
      <c r="Q204" s="26">
        <v>2</v>
      </c>
      <c r="R204" s="26">
        <v>0</v>
      </c>
      <c r="S204" s="25">
        <f t="shared" si="17"/>
        <v>0</v>
      </c>
      <c r="T204" s="25">
        <v>120</v>
      </c>
      <c r="U204" s="24"/>
      <c r="V204" s="26">
        <v>2</v>
      </c>
      <c r="W204" s="26">
        <v>0</v>
      </c>
      <c r="X204" s="25">
        <f t="shared" si="18"/>
        <v>0</v>
      </c>
      <c r="Y204" s="25">
        <v>110</v>
      </c>
      <c r="Z204" s="24"/>
      <c r="AA204" s="26">
        <v>2</v>
      </c>
      <c r="AB204" s="26">
        <v>0</v>
      </c>
      <c r="AC204" s="25">
        <f t="shared" si="19"/>
        <v>0</v>
      </c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</row>
    <row r="205" spans="1:41">
      <c r="A205" s="24" t="s">
        <v>52</v>
      </c>
      <c r="B205" s="24" t="s">
        <v>201</v>
      </c>
      <c r="C205" s="24" t="s">
        <v>68</v>
      </c>
      <c r="D205" s="24" t="s">
        <v>29</v>
      </c>
      <c r="E205" s="25">
        <v>120</v>
      </c>
      <c r="F205" s="24"/>
      <c r="G205" s="26">
        <v>2</v>
      </c>
      <c r="H205" s="26">
        <v>0</v>
      </c>
      <c r="I205" s="25">
        <f t="shared" si="15"/>
        <v>0</v>
      </c>
      <c r="J205" s="25">
        <v>120</v>
      </c>
      <c r="K205" s="26">
        <v>2</v>
      </c>
      <c r="L205" s="26">
        <v>2</v>
      </c>
      <c r="M205" s="26">
        <v>4</v>
      </c>
      <c r="N205" s="25">
        <f t="shared" si="16"/>
        <v>480</v>
      </c>
      <c r="O205" s="25">
        <v>120</v>
      </c>
      <c r="P205" s="24"/>
      <c r="Q205" s="26">
        <v>2</v>
      </c>
      <c r="R205" s="26">
        <v>0</v>
      </c>
      <c r="S205" s="25">
        <f t="shared" si="17"/>
        <v>0</v>
      </c>
      <c r="T205" s="25">
        <v>120</v>
      </c>
      <c r="U205" s="24"/>
      <c r="V205" s="26">
        <v>2</v>
      </c>
      <c r="W205" s="26">
        <v>0</v>
      </c>
      <c r="X205" s="25">
        <f t="shared" si="18"/>
        <v>0</v>
      </c>
      <c r="Y205" s="25">
        <v>110</v>
      </c>
      <c r="Z205" s="24"/>
      <c r="AA205" s="26">
        <v>2</v>
      </c>
      <c r="AB205" s="26">
        <v>0</v>
      </c>
      <c r="AC205" s="25">
        <f t="shared" si="19"/>
        <v>0</v>
      </c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</row>
    <row r="206" spans="1:41">
      <c r="A206" s="24" t="s">
        <v>52</v>
      </c>
      <c r="B206" s="24" t="s">
        <v>202</v>
      </c>
      <c r="C206" s="24" t="s">
        <v>68</v>
      </c>
      <c r="D206" s="24" t="s">
        <v>29</v>
      </c>
      <c r="E206" s="25">
        <v>120</v>
      </c>
      <c r="F206" s="24"/>
      <c r="G206" s="26">
        <v>2</v>
      </c>
      <c r="H206" s="26">
        <v>0</v>
      </c>
      <c r="I206" s="25">
        <f t="shared" si="15"/>
        <v>0</v>
      </c>
      <c r="J206" s="25">
        <v>120</v>
      </c>
      <c r="K206" s="26">
        <v>1</v>
      </c>
      <c r="L206" s="26">
        <v>2</v>
      </c>
      <c r="M206" s="26">
        <v>2</v>
      </c>
      <c r="N206" s="25">
        <f t="shared" si="16"/>
        <v>240</v>
      </c>
      <c r="O206" s="25">
        <v>120</v>
      </c>
      <c r="P206" s="24"/>
      <c r="Q206" s="26">
        <v>2</v>
      </c>
      <c r="R206" s="26">
        <v>0</v>
      </c>
      <c r="S206" s="25">
        <f t="shared" si="17"/>
        <v>0</v>
      </c>
      <c r="T206" s="25">
        <v>120</v>
      </c>
      <c r="U206" s="26">
        <v>1</v>
      </c>
      <c r="V206" s="26">
        <v>2</v>
      </c>
      <c r="W206" s="26">
        <v>2</v>
      </c>
      <c r="X206" s="25">
        <f t="shared" si="18"/>
        <v>240</v>
      </c>
      <c r="Y206" s="25">
        <v>110</v>
      </c>
      <c r="Z206" s="24"/>
      <c r="AA206" s="26">
        <v>2</v>
      </c>
      <c r="AB206" s="26">
        <v>0</v>
      </c>
      <c r="AC206" s="25">
        <f t="shared" si="19"/>
        <v>0</v>
      </c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</row>
    <row r="207" spans="1:41">
      <c r="A207" s="39" t="s">
        <v>52</v>
      </c>
      <c r="B207" s="39" t="s">
        <v>203</v>
      </c>
      <c r="C207" s="39" t="s">
        <v>70</v>
      </c>
      <c r="D207" s="39" t="s">
        <v>55</v>
      </c>
      <c r="E207" s="40">
        <v>140</v>
      </c>
      <c r="F207" s="39"/>
      <c r="G207" s="41">
        <v>3</v>
      </c>
      <c r="H207" s="41">
        <v>0</v>
      </c>
      <c r="I207" s="40">
        <f t="shared" si="15"/>
        <v>0</v>
      </c>
      <c r="J207" s="40">
        <v>140</v>
      </c>
      <c r="K207" s="39"/>
      <c r="L207" s="41">
        <v>3</v>
      </c>
      <c r="M207" s="41">
        <v>0</v>
      </c>
      <c r="N207" s="40">
        <f t="shared" si="16"/>
        <v>0</v>
      </c>
      <c r="O207" s="40">
        <v>120</v>
      </c>
      <c r="P207" s="39"/>
      <c r="Q207" s="41">
        <v>3</v>
      </c>
      <c r="R207" s="41">
        <v>0</v>
      </c>
      <c r="S207" s="40">
        <f t="shared" si="17"/>
        <v>0</v>
      </c>
      <c r="T207" s="40">
        <v>140</v>
      </c>
      <c r="U207" s="41">
        <v>1</v>
      </c>
      <c r="V207" s="41">
        <v>3</v>
      </c>
      <c r="W207" s="41">
        <v>3</v>
      </c>
      <c r="X207" s="40">
        <f t="shared" si="18"/>
        <v>420</v>
      </c>
      <c r="Y207" s="40">
        <v>140</v>
      </c>
      <c r="Z207" s="39"/>
      <c r="AA207" s="41">
        <v>3</v>
      </c>
      <c r="AB207" s="41">
        <v>0</v>
      </c>
      <c r="AC207" s="40">
        <f t="shared" si="19"/>
        <v>0</v>
      </c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</row>
    <row r="208" spans="1:41">
      <c r="A208" s="24" t="s">
        <v>52</v>
      </c>
      <c r="B208" s="24" t="s">
        <v>203</v>
      </c>
      <c r="C208" s="24" t="s">
        <v>68</v>
      </c>
      <c r="D208" s="24" t="s">
        <v>55</v>
      </c>
      <c r="E208" s="25">
        <v>120</v>
      </c>
      <c r="F208" s="24"/>
      <c r="G208" s="26">
        <v>3</v>
      </c>
      <c r="H208" s="26">
        <v>0</v>
      </c>
      <c r="I208" s="25">
        <f t="shared" si="15"/>
        <v>0</v>
      </c>
      <c r="J208" s="25">
        <v>120</v>
      </c>
      <c r="K208" s="26">
        <v>1</v>
      </c>
      <c r="L208" s="26">
        <v>3</v>
      </c>
      <c r="M208" s="26">
        <v>3</v>
      </c>
      <c r="N208" s="25">
        <f t="shared" si="16"/>
        <v>360</v>
      </c>
      <c r="O208" s="25">
        <v>120</v>
      </c>
      <c r="P208" s="24"/>
      <c r="Q208" s="26">
        <v>3</v>
      </c>
      <c r="R208" s="26">
        <v>0</v>
      </c>
      <c r="S208" s="25">
        <f t="shared" si="17"/>
        <v>0</v>
      </c>
      <c r="T208" s="25">
        <v>120</v>
      </c>
      <c r="U208" s="24"/>
      <c r="V208" s="26">
        <v>3</v>
      </c>
      <c r="W208" s="26">
        <v>0</v>
      </c>
      <c r="X208" s="25">
        <f t="shared" si="18"/>
        <v>0</v>
      </c>
      <c r="Y208" s="25">
        <v>110</v>
      </c>
      <c r="Z208" s="24"/>
      <c r="AA208" s="26">
        <v>3</v>
      </c>
      <c r="AB208" s="26">
        <v>0</v>
      </c>
      <c r="AC208" s="25">
        <f t="shared" si="19"/>
        <v>0</v>
      </c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</row>
    <row r="209" spans="1:41">
      <c r="A209" s="24" t="s">
        <v>52</v>
      </c>
      <c r="B209" s="24" t="s">
        <v>204</v>
      </c>
      <c r="C209" s="24" t="s">
        <v>68</v>
      </c>
      <c r="D209" s="24" t="s">
        <v>29</v>
      </c>
      <c r="E209" s="25">
        <v>120</v>
      </c>
      <c r="F209" s="24"/>
      <c r="G209" s="26">
        <v>2</v>
      </c>
      <c r="H209" s="26">
        <v>0</v>
      </c>
      <c r="I209" s="25">
        <f t="shared" si="15"/>
        <v>0</v>
      </c>
      <c r="J209" s="25">
        <v>120</v>
      </c>
      <c r="K209" s="26">
        <v>1</v>
      </c>
      <c r="L209" s="26">
        <v>2</v>
      </c>
      <c r="M209" s="26">
        <v>2</v>
      </c>
      <c r="N209" s="25">
        <f t="shared" si="16"/>
        <v>240</v>
      </c>
      <c r="O209" s="25">
        <v>120</v>
      </c>
      <c r="P209" s="24"/>
      <c r="Q209" s="26">
        <v>2</v>
      </c>
      <c r="R209" s="26">
        <v>0</v>
      </c>
      <c r="S209" s="25">
        <f t="shared" si="17"/>
        <v>0</v>
      </c>
      <c r="T209" s="25">
        <v>120</v>
      </c>
      <c r="U209" s="24"/>
      <c r="V209" s="26">
        <v>2</v>
      </c>
      <c r="W209" s="26">
        <v>0</v>
      </c>
      <c r="X209" s="25">
        <f t="shared" si="18"/>
        <v>0</v>
      </c>
      <c r="Y209" s="25">
        <v>110</v>
      </c>
      <c r="Z209" s="24"/>
      <c r="AA209" s="26">
        <v>2</v>
      </c>
      <c r="AB209" s="26">
        <v>0</v>
      </c>
      <c r="AC209" s="25">
        <f t="shared" si="19"/>
        <v>0</v>
      </c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</row>
    <row r="210" spans="1:41">
      <c r="A210" s="39" t="s">
        <v>52</v>
      </c>
      <c r="B210" s="39" t="s">
        <v>205</v>
      </c>
      <c r="C210" s="39" t="s">
        <v>70</v>
      </c>
      <c r="D210" s="39" t="s">
        <v>29</v>
      </c>
      <c r="E210" s="40">
        <v>140</v>
      </c>
      <c r="F210" s="39"/>
      <c r="G210" s="41">
        <v>2</v>
      </c>
      <c r="H210" s="41">
        <v>0</v>
      </c>
      <c r="I210" s="40">
        <f t="shared" si="15"/>
        <v>0</v>
      </c>
      <c r="J210" s="40">
        <v>140</v>
      </c>
      <c r="K210" s="41">
        <v>1</v>
      </c>
      <c r="L210" s="41">
        <v>2</v>
      </c>
      <c r="M210" s="41">
        <v>2</v>
      </c>
      <c r="N210" s="40">
        <f t="shared" si="16"/>
        <v>280</v>
      </c>
      <c r="O210" s="40">
        <v>120</v>
      </c>
      <c r="P210" s="39"/>
      <c r="Q210" s="41">
        <v>2</v>
      </c>
      <c r="R210" s="41">
        <v>0</v>
      </c>
      <c r="S210" s="40">
        <f t="shared" si="17"/>
        <v>0</v>
      </c>
      <c r="T210" s="40">
        <v>140</v>
      </c>
      <c r="U210" s="39"/>
      <c r="V210" s="41">
        <v>2</v>
      </c>
      <c r="W210" s="41">
        <v>0</v>
      </c>
      <c r="X210" s="40">
        <f t="shared" si="18"/>
        <v>0</v>
      </c>
      <c r="Y210" s="40">
        <v>140</v>
      </c>
      <c r="Z210" s="39"/>
      <c r="AA210" s="41">
        <v>2</v>
      </c>
      <c r="AB210" s="41">
        <v>0</v>
      </c>
      <c r="AC210" s="40">
        <f t="shared" si="19"/>
        <v>0</v>
      </c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</row>
    <row r="211" spans="1:41">
      <c r="A211" s="24" t="s">
        <v>52</v>
      </c>
      <c r="B211" s="24" t="s">
        <v>206</v>
      </c>
      <c r="C211" s="24" t="s">
        <v>68</v>
      </c>
      <c r="D211" s="24" t="s">
        <v>55</v>
      </c>
      <c r="E211" s="25">
        <v>120</v>
      </c>
      <c r="F211" s="24"/>
      <c r="G211" s="26">
        <v>3</v>
      </c>
      <c r="H211" s="26">
        <v>0</v>
      </c>
      <c r="I211" s="25">
        <f t="shared" si="15"/>
        <v>0</v>
      </c>
      <c r="J211" s="25">
        <v>120</v>
      </c>
      <c r="K211" s="26">
        <v>1</v>
      </c>
      <c r="L211" s="26">
        <v>3</v>
      </c>
      <c r="M211" s="26">
        <v>3</v>
      </c>
      <c r="N211" s="25">
        <f t="shared" si="16"/>
        <v>360</v>
      </c>
      <c r="O211" s="25">
        <v>120</v>
      </c>
      <c r="P211" s="24"/>
      <c r="Q211" s="26">
        <v>3</v>
      </c>
      <c r="R211" s="26">
        <v>0</v>
      </c>
      <c r="S211" s="25">
        <f t="shared" si="17"/>
        <v>0</v>
      </c>
      <c r="T211" s="25">
        <v>120</v>
      </c>
      <c r="U211" s="24"/>
      <c r="V211" s="26">
        <v>3</v>
      </c>
      <c r="W211" s="26">
        <v>0</v>
      </c>
      <c r="X211" s="25">
        <f t="shared" si="18"/>
        <v>0</v>
      </c>
      <c r="Y211" s="25">
        <v>110</v>
      </c>
      <c r="Z211" s="24"/>
      <c r="AA211" s="26">
        <v>3</v>
      </c>
      <c r="AB211" s="26">
        <v>0</v>
      </c>
      <c r="AC211" s="25">
        <f t="shared" si="19"/>
        <v>0</v>
      </c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</row>
    <row r="212" spans="1:41">
      <c r="A212" s="24" t="s">
        <v>52</v>
      </c>
      <c r="B212" s="24" t="s">
        <v>207</v>
      </c>
      <c r="C212" s="24" t="s">
        <v>68</v>
      </c>
      <c r="D212" s="24" t="s">
        <v>13</v>
      </c>
      <c r="E212" s="25">
        <v>120</v>
      </c>
      <c r="F212" s="24"/>
      <c r="G212" s="26">
        <v>1</v>
      </c>
      <c r="H212" s="26">
        <v>0</v>
      </c>
      <c r="I212" s="25">
        <f t="shared" si="15"/>
        <v>0</v>
      </c>
      <c r="J212" s="25">
        <v>120</v>
      </c>
      <c r="K212" s="24"/>
      <c r="L212" s="26">
        <v>1</v>
      </c>
      <c r="M212" s="26">
        <v>0</v>
      </c>
      <c r="N212" s="25">
        <f t="shared" si="16"/>
        <v>0</v>
      </c>
      <c r="O212" s="25">
        <v>120</v>
      </c>
      <c r="P212" s="24"/>
      <c r="Q212" s="26">
        <v>1</v>
      </c>
      <c r="R212" s="26">
        <v>0</v>
      </c>
      <c r="S212" s="25">
        <f t="shared" si="17"/>
        <v>0</v>
      </c>
      <c r="T212" s="25">
        <v>120</v>
      </c>
      <c r="U212" s="24"/>
      <c r="V212" s="26">
        <v>1</v>
      </c>
      <c r="W212" s="26">
        <v>0</v>
      </c>
      <c r="X212" s="25">
        <f t="shared" si="18"/>
        <v>0</v>
      </c>
      <c r="Y212" s="25">
        <v>110</v>
      </c>
      <c r="Z212" s="26">
        <v>1</v>
      </c>
      <c r="AA212" s="26">
        <v>1</v>
      </c>
      <c r="AB212" s="26">
        <v>1</v>
      </c>
      <c r="AC212" s="25">
        <f t="shared" si="19"/>
        <v>110</v>
      </c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</row>
    <row r="213" spans="1:41">
      <c r="A213" s="24" t="s">
        <v>52</v>
      </c>
      <c r="B213" s="24" t="s">
        <v>207</v>
      </c>
      <c r="C213" s="24" t="s">
        <v>68</v>
      </c>
      <c r="D213" s="24" t="s">
        <v>29</v>
      </c>
      <c r="E213" s="25">
        <v>120</v>
      </c>
      <c r="F213" s="24"/>
      <c r="G213" s="26">
        <v>2</v>
      </c>
      <c r="H213" s="26">
        <v>0</v>
      </c>
      <c r="I213" s="25">
        <f t="shared" si="15"/>
        <v>0</v>
      </c>
      <c r="J213" s="25">
        <v>120</v>
      </c>
      <c r="K213" s="26">
        <v>2</v>
      </c>
      <c r="L213" s="26">
        <v>2</v>
      </c>
      <c r="M213" s="26">
        <v>4</v>
      </c>
      <c r="N213" s="25">
        <f t="shared" si="16"/>
        <v>480</v>
      </c>
      <c r="O213" s="25">
        <v>120</v>
      </c>
      <c r="P213" s="24"/>
      <c r="Q213" s="26">
        <v>2</v>
      </c>
      <c r="R213" s="26">
        <v>0</v>
      </c>
      <c r="S213" s="25">
        <f t="shared" si="17"/>
        <v>0</v>
      </c>
      <c r="T213" s="25">
        <v>120</v>
      </c>
      <c r="U213" s="24"/>
      <c r="V213" s="26">
        <v>2</v>
      </c>
      <c r="W213" s="26">
        <v>0</v>
      </c>
      <c r="X213" s="25">
        <f t="shared" si="18"/>
        <v>0</v>
      </c>
      <c r="Y213" s="25">
        <v>110</v>
      </c>
      <c r="Z213" s="24"/>
      <c r="AA213" s="26">
        <v>2</v>
      </c>
      <c r="AB213" s="26">
        <v>0</v>
      </c>
      <c r="AC213" s="25">
        <f t="shared" si="19"/>
        <v>0</v>
      </c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</row>
    <row r="214" spans="1:41">
      <c r="A214" s="24" t="s">
        <v>52</v>
      </c>
      <c r="B214" s="24" t="s">
        <v>208</v>
      </c>
      <c r="C214" s="24" t="s">
        <v>68</v>
      </c>
      <c r="D214" s="24" t="s">
        <v>29</v>
      </c>
      <c r="E214" s="25">
        <v>120</v>
      </c>
      <c r="F214" s="24"/>
      <c r="G214" s="26">
        <v>2</v>
      </c>
      <c r="H214" s="26">
        <v>0</v>
      </c>
      <c r="I214" s="25">
        <f t="shared" si="15"/>
        <v>0</v>
      </c>
      <c r="J214" s="25">
        <v>120</v>
      </c>
      <c r="K214" s="26">
        <v>1</v>
      </c>
      <c r="L214" s="26">
        <v>2</v>
      </c>
      <c r="M214" s="26">
        <v>2</v>
      </c>
      <c r="N214" s="25">
        <f t="shared" si="16"/>
        <v>240</v>
      </c>
      <c r="O214" s="25">
        <v>120</v>
      </c>
      <c r="P214" s="24"/>
      <c r="Q214" s="26">
        <v>2</v>
      </c>
      <c r="R214" s="26">
        <v>0</v>
      </c>
      <c r="S214" s="25">
        <f t="shared" si="17"/>
        <v>0</v>
      </c>
      <c r="T214" s="25">
        <v>120</v>
      </c>
      <c r="U214" s="24"/>
      <c r="V214" s="26">
        <v>2</v>
      </c>
      <c r="W214" s="26">
        <v>0</v>
      </c>
      <c r="X214" s="25">
        <f t="shared" si="18"/>
        <v>0</v>
      </c>
      <c r="Y214" s="25">
        <v>110</v>
      </c>
      <c r="Z214" s="24"/>
      <c r="AA214" s="26">
        <v>2</v>
      </c>
      <c r="AB214" s="26">
        <v>0</v>
      </c>
      <c r="AC214" s="25">
        <f t="shared" si="19"/>
        <v>0</v>
      </c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</row>
    <row r="215" spans="1:41">
      <c r="A215" s="24" t="s">
        <v>52</v>
      </c>
      <c r="B215" s="24" t="s">
        <v>209</v>
      </c>
      <c r="C215" s="24" t="s">
        <v>68</v>
      </c>
      <c r="D215" s="24" t="s">
        <v>13</v>
      </c>
      <c r="E215" s="25">
        <v>120</v>
      </c>
      <c r="F215" s="24"/>
      <c r="G215" s="26">
        <v>1</v>
      </c>
      <c r="H215" s="26">
        <v>0</v>
      </c>
      <c r="I215" s="25">
        <f t="shared" si="15"/>
        <v>0</v>
      </c>
      <c r="J215" s="25">
        <v>120</v>
      </c>
      <c r="K215" s="26">
        <v>1</v>
      </c>
      <c r="L215" s="26">
        <v>1</v>
      </c>
      <c r="M215" s="26">
        <v>1</v>
      </c>
      <c r="N215" s="25">
        <f t="shared" si="16"/>
        <v>120</v>
      </c>
      <c r="O215" s="25">
        <v>120</v>
      </c>
      <c r="P215" s="24"/>
      <c r="Q215" s="26">
        <v>1</v>
      </c>
      <c r="R215" s="26">
        <v>0</v>
      </c>
      <c r="S215" s="25">
        <f t="shared" si="17"/>
        <v>0</v>
      </c>
      <c r="T215" s="25">
        <v>120</v>
      </c>
      <c r="U215" s="24"/>
      <c r="V215" s="26">
        <v>1</v>
      </c>
      <c r="W215" s="26">
        <v>0</v>
      </c>
      <c r="X215" s="25">
        <f t="shared" si="18"/>
        <v>0</v>
      </c>
      <c r="Y215" s="25">
        <v>110</v>
      </c>
      <c r="Z215" s="24"/>
      <c r="AA215" s="26">
        <v>1</v>
      </c>
      <c r="AB215" s="26">
        <v>0</v>
      </c>
      <c r="AC215" s="25">
        <f t="shared" si="19"/>
        <v>0</v>
      </c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</row>
    <row r="216" spans="1:41">
      <c r="A216" s="39" t="s">
        <v>52</v>
      </c>
      <c r="B216" s="39" t="s">
        <v>210</v>
      </c>
      <c r="C216" s="39" t="s">
        <v>70</v>
      </c>
      <c r="D216" s="39" t="s">
        <v>55</v>
      </c>
      <c r="E216" s="40">
        <v>140</v>
      </c>
      <c r="F216" s="39"/>
      <c r="G216" s="41">
        <v>3</v>
      </c>
      <c r="H216" s="41">
        <v>0</v>
      </c>
      <c r="I216" s="40">
        <f t="shared" si="15"/>
        <v>0</v>
      </c>
      <c r="J216" s="40">
        <v>140</v>
      </c>
      <c r="K216" s="39"/>
      <c r="L216" s="41">
        <v>3</v>
      </c>
      <c r="M216" s="41">
        <v>0</v>
      </c>
      <c r="N216" s="40">
        <f t="shared" si="16"/>
        <v>0</v>
      </c>
      <c r="O216" s="40">
        <v>120</v>
      </c>
      <c r="P216" s="39"/>
      <c r="Q216" s="41">
        <v>3</v>
      </c>
      <c r="R216" s="41">
        <v>0</v>
      </c>
      <c r="S216" s="40">
        <f t="shared" si="17"/>
        <v>0</v>
      </c>
      <c r="T216" s="40">
        <v>140</v>
      </c>
      <c r="U216" s="39"/>
      <c r="V216" s="41">
        <v>3</v>
      </c>
      <c r="W216" s="41">
        <v>0</v>
      </c>
      <c r="X216" s="40">
        <f t="shared" si="18"/>
        <v>0</v>
      </c>
      <c r="Y216" s="40">
        <v>140</v>
      </c>
      <c r="Z216" s="41">
        <v>1</v>
      </c>
      <c r="AA216" s="41">
        <v>3</v>
      </c>
      <c r="AB216" s="41">
        <v>3</v>
      </c>
      <c r="AC216" s="40">
        <f t="shared" si="19"/>
        <v>420</v>
      </c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</row>
    <row r="217" spans="1:41">
      <c r="A217" s="24" t="s">
        <v>52</v>
      </c>
      <c r="B217" s="24" t="s">
        <v>211</v>
      </c>
      <c r="C217" s="24" t="s">
        <v>68</v>
      </c>
      <c r="D217" s="24" t="s">
        <v>13</v>
      </c>
      <c r="E217" s="25">
        <v>120</v>
      </c>
      <c r="F217" s="24"/>
      <c r="G217" s="26">
        <v>1</v>
      </c>
      <c r="H217" s="26">
        <v>0</v>
      </c>
      <c r="I217" s="25">
        <f t="shared" si="15"/>
        <v>0</v>
      </c>
      <c r="J217" s="25">
        <v>120</v>
      </c>
      <c r="K217" s="26">
        <v>1</v>
      </c>
      <c r="L217" s="26">
        <v>1</v>
      </c>
      <c r="M217" s="26">
        <v>1</v>
      </c>
      <c r="N217" s="25">
        <f t="shared" si="16"/>
        <v>120</v>
      </c>
      <c r="O217" s="25">
        <v>120</v>
      </c>
      <c r="P217" s="24"/>
      <c r="Q217" s="26">
        <v>1</v>
      </c>
      <c r="R217" s="26">
        <v>0</v>
      </c>
      <c r="S217" s="25">
        <f t="shared" si="17"/>
        <v>0</v>
      </c>
      <c r="T217" s="25">
        <v>120</v>
      </c>
      <c r="U217" s="24"/>
      <c r="V217" s="26">
        <v>1</v>
      </c>
      <c r="W217" s="26">
        <v>0</v>
      </c>
      <c r="X217" s="25">
        <f t="shared" si="18"/>
        <v>0</v>
      </c>
      <c r="Y217" s="25">
        <v>110</v>
      </c>
      <c r="Z217" s="24"/>
      <c r="AA217" s="26">
        <v>1</v>
      </c>
      <c r="AB217" s="26">
        <v>0</v>
      </c>
      <c r="AC217" s="25">
        <f t="shared" si="19"/>
        <v>0</v>
      </c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</row>
    <row r="218" spans="1:41">
      <c r="A218" s="39" t="s">
        <v>52</v>
      </c>
      <c r="B218" s="39" t="s">
        <v>212</v>
      </c>
      <c r="C218" s="39" t="s">
        <v>70</v>
      </c>
      <c r="D218" s="39" t="s">
        <v>55</v>
      </c>
      <c r="E218" s="40">
        <v>140</v>
      </c>
      <c r="F218" s="39"/>
      <c r="G218" s="41">
        <v>3</v>
      </c>
      <c r="H218" s="41">
        <v>0</v>
      </c>
      <c r="I218" s="40">
        <f t="shared" si="15"/>
        <v>0</v>
      </c>
      <c r="J218" s="40">
        <v>140</v>
      </c>
      <c r="K218" s="39"/>
      <c r="L218" s="41">
        <v>3</v>
      </c>
      <c r="M218" s="41">
        <v>0</v>
      </c>
      <c r="N218" s="40">
        <f t="shared" si="16"/>
        <v>0</v>
      </c>
      <c r="O218" s="40">
        <v>120</v>
      </c>
      <c r="P218" s="39"/>
      <c r="Q218" s="41">
        <v>3</v>
      </c>
      <c r="R218" s="41">
        <v>0</v>
      </c>
      <c r="S218" s="40">
        <f t="shared" si="17"/>
        <v>0</v>
      </c>
      <c r="T218" s="40">
        <v>140</v>
      </c>
      <c r="U218" s="41">
        <v>1</v>
      </c>
      <c r="V218" s="41">
        <v>3</v>
      </c>
      <c r="W218" s="41">
        <v>3</v>
      </c>
      <c r="X218" s="40">
        <f t="shared" si="18"/>
        <v>420</v>
      </c>
      <c r="Y218" s="40">
        <v>140</v>
      </c>
      <c r="Z218" s="39"/>
      <c r="AA218" s="41">
        <v>3</v>
      </c>
      <c r="AB218" s="41">
        <v>0</v>
      </c>
      <c r="AC218" s="40">
        <f t="shared" si="19"/>
        <v>0</v>
      </c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</row>
    <row r="219" spans="1:41">
      <c r="A219" s="24" t="s">
        <v>52</v>
      </c>
      <c r="B219" s="24" t="s">
        <v>213</v>
      </c>
      <c r="C219" s="24" t="s">
        <v>68</v>
      </c>
      <c r="D219" s="24" t="s">
        <v>13</v>
      </c>
      <c r="E219" s="25">
        <v>120</v>
      </c>
      <c r="F219" s="24"/>
      <c r="G219" s="26">
        <v>1</v>
      </c>
      <c r="H219" s="26">
        <v>0</v>
      </c>
      <c r="I219" s="25">
        <f t="shared" si="15"/>
        <v>0</v>
      </c>
      <c r="J219" s="25">
        <v>120</v>
      </c>
      <c r="K219" s="26">
        <v>1</v>
      </c>
      <c r="L219" s="26">
        <v>1</v>
      </c>
      <c r="M219" s="26">
        <v>1</v>
      </c>
      <c r="N219" s="25">
        <f t="shared" si="16"/>
        <v>120</v>
      </c>
      <c r="O219" s="25">
        <v>120</v>
      </c>
      <c r="P219" s="24"/>
      <c r="Q219" s="26">
        <v>1</v>
      </c>
      <c r="R219" s="26">
        <v>0</v>
      </c>
      <c r="S219" s="25">
        <f t="shared" si="17"/>
        <v>0</v>
      </c>
      <c r="T219" s="25">
        <v>120</v>
      </c>
      <c r="U219" s="24"/>
      <c r="V219" s="26">
        <v>1</v>
      </c>
      <c r="W219" s="26">
        <v>0</v>
      </c>
      <c r="X219" s="25">
        <f t="shared" si="18"/>
        <v>0</v>
      </c>
      <c r="Y219" s="25">
        <v>110</v>
      </c>
      <c r="Z219" s="24"/>
      <c r="AA219" s="26">
        <v>1</v>
      </c>
      <c r="AB219" s="26">
        <v>0</v>
      </c>
      <c r="AC219" s="25">
        <f t="shared" si="19"/>
        <v>0</v>
      </c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</row>
    <row r="220" spans="1:41">
      <c r="A220" s="24" t="s">
        <v>52</v>
      </c>
      <c r="B220" s="24" t="s">
        <v>214</v>
      </c>
      <c r="C220" s="24" t="s">
        <v>68</v>
      </c>
      <c r="D220" s="24" t="s">
        <v>13</v>
      </c>
      <c r="E220" s="25">
        <v>120</v>
      </c>
      <c r="F220" s="24"/>
      <c r="G220" s="26">
        <v>1</v>
      </c>
      <c r="H220" s="26">
        <v>0</v>
      </c>
      <c r="I220" s="25">
        <f t="shared" si="15"/>
        <v>0</v>
      </c>
      <c r="J220" s="25">
        <v>120</v>
      </c>
      <c r="K220" s="26">
        <v>1</v>
      </c>
      <c r="L220" s="26">
        <v>1</v>
      </c>
      <c r="M220" s="26">
        <v>1</v>
      </c>
      <c r="N220" s="25">
        <f t="shared" si="16"/>
        <v>120</v>
      </c>
      <c r="O220" s="25">
        <v>120</v>
      </c>
      <c r="P220" s="24"/>
      <c r="Q220" s="26">
        <v>1</v>
      </c>
      <c r="R220" s="26">
        <v>0</v>
      </c>
      <c r="S220" s="25">
        <f t="shared" si="17"/>
        <v>0</v>
      </c>
      <c r="T220" s="25">
        <v>120</v>
      </c>
      <c r="U220" s="24"/>
      <c r="V220" s="26">
        <v>1</v>
      </c>
      <c r="W220" s="26">
        <v>0</v>
      </c>
      <c r="X220" s="25">
        <f t="shared" si="18"/>
        <v>0</v>
      </c>
      <c r="Y220" s="25">
        <v>110</v>
      </c>
      <c r="Z220" s="24"/>
      <c r="AA220" s="26">
        <v>1</v>
      </c>
      <c r="AB220" s="26">
        <v>0</v>
      </c>
      <c r="AC220" s="25">
        <f t="shared" si="19"/>
        <v>0</v>
      </c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</row>
    <row r="221" spans="1:41">
      <c r="A221" s="39" t="s">
        <v>52</v>
      </c>
      <c r="B221" s="39" t="s">
        <v>215</v>
      </c>
      <c r="C221" s="39" t="s">
        <v>70</v>
      </c>
      <c r="D221" s="39" t="s">
        <v>13</v>
      </c>
      <c r="E221" s="40">
        <v>140</v>
      </c>
      <c r="F221" s="39"/>
      <c r="G221" s="41">
        <v>1</v>
      </c>
      <c r="H221" s="41">
        <v>0</v>
      </c>
      <c r="I221" s="40">
        <f t="shared" si="15"/>
        <v>0</v>
      </c>
      <c r="J221" s="40">
        <v>140</v>
      </c>
      <c r="K221" s="41">
        <v>1</v>
      </c>
      <c r="L221" s="41">
        <v>1</v>
      </c>
      <c r="M221" s="41">
        <v>1</v>
      </c>
      <c r="N221" s="40">
        <f t="shared" si="16"/>
        <v>140</v>
      </c>
      <c r="O221" s="40">
        <v>120</v>
      </c>
      <c r="P221" s="39"/>
      <c r="Q221" s="41">
        <v>1</v>
      </c>
      <c r="R221" s="41">
        <v>0</v>
      </c>
      <c r="S221" s="40">
        <f t="shared" si="17"/>
        <v>0</v>
      </c>
      <c r="T221" s="40">
        <v>140</v>
      </c>
      <c r="U221" s="41">
        <v>1</v>
      </c>
      <c r="V221" s="41">
        <v>1</v>
      </c>
      <c r="W221" s="41">
        <v>1</v>
      </c>
      <c r="X221" s="40">
        <f t="shared" si="18"/>
        <v>140</v>
      </c>
      <c r="Y221" s="40">
        <v>140</v>
      </c>
      <c r="Z221" s="39"/>
      <c r="AA221" s="41">
        <v>1</v>
      </c>
      <c r="AB221" s="41">
        <v>0</v>
      </c>
      <c r="AC221" s="40">
        <f t="shared" si="19"/>
        <v>0</v>
      </c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</row>
    <row r="222" spans="1:41">
      <c r="A222" s="24" t="s">
        <v>52</v>
      </c>
      <c r="B222" s="24" t="s">
        <v>215</v>
      </c>
      <c r="C222" s="24" t="s">
        <v>68</v>
      </c>
      <c r="D222" s="24" t="s">
        <v>13</v>
      </c>
      <c r="E222" s="25">
        <v>120</v>
      </c>
      <c r="F222" s="24"/>
      <c r="G222" s="26">
        <v>1</v>
      </c>
      <c r="H222" s="26">
        <v>0</v>
      </c>
      <c r="I222" s="25">
        <f t="shared" si="15"/>
        <v>0</v>
      </c>
      <c r="J222" s="25">
        <v>120</v>
      </c>
      <c r="K222" s="26">
        <v>9</v>
      </c>
      <c r="L222" s="26">
        <v>1</v>
      </c>
      <c r="M222" s="26">
        <v>9</v>
      </c>
      <c r="N222" s="25">
        <f t="shared" si="16"/>
        <v>1080</v>
      </c>
      <c r="O222" s="25">
        <v>120</v>
      </c>
      <c r="P222" s="24"/>
      <c r="Q222" s="26">
        <v>1</v>
      </c>
      <c r="R222" s="26">
        <v>0</v>
      </c>
      <c r="S222" s="25">
        <f t="shared" si="17"/>
        <v>0</v>
      </c>
      <c r="T222" s="25">
        <v>120</v>
      </c>
      <c r="U222" s="26">
        <v>1</v>
      </c>
      <c r="V222" s="26">
        <v>1</v>
      </c>
      <c r="W222" s="26">
        <v>1</v>
      </c>
      <c r="X222" s="25">
        <f t="shared" si="18"/>
        <v>120</v>
      </c>
      <c r="Y222" s="25">
        <v>110</v>
      </c>
      <c r="Z222" s="26">
        <v>1</v>
      </c>
      <c r="AA222" s="26">
        <v>1</v>
      </c>
      <c r="AB222" s="26">
        <v>1</v>
      </c>
      <c r="AC222" s="25">
        <f t="shared" si="19"/>
        <v>110</v>
      </c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</row>
    <row r="223" spans="1:41">
      <c r="A223" s="24" t="s">
        <v>52</v>
      </c>
      <c r="B223" s="24" t="s">
        <v>216</v>
      </c>
      <c r="C223" s="24" t="s">
        <v>68</v>
      </c>
      <c r="D223" s="24" t="s">
        <v>13</v>
      </c>
      <c r="E223" s="25">
        <v>120</v>
      </c>
      <c r="F223" s="24"/>
      <c r="G223" s="26">
        <v>1</v>
      </c>
      <c r="H223" s="26">
        <v>0</v>
      </c>
      <c r="I223" s="25">
        <f t="shared" si="15"/>
        <v>0</v>
      </c>
      <c r="J223" s="25">
        <v>120</v>
      </c>
      <c r="K223" s="26">
        <v>3</v>
      </c>
      <c r="L223" s="26">
        <v>1</v>
      </c>
      <c r="M223" s="26">
        <v>3</v>
      </c>
      <c r="N223" s="25">
        <f t="shared" si="16"/>
        <v>360</v>
      </c>
      <c r="O223" s="25">
        <v>120</v>
      </c>
      <c r="P223" s="24"/>
      <c r="Q223" s="26">
        <v>1</v>
      </c>
      <c r="R223" s="26">
        <v>0</v>
      </c>
      <c r="S223" s="25">
        <f t="shared" si="17"/>
        <v>0</v>
      </c>
      <c r="T223" s="25">
        <v>120</v>
      </c>
      <c r="U223" s="24"/>
      <c r="V223" s="26">
        <v>1</v>
      </c>
      <c r="W223" s="26">
        <v>0</v>
      </c>
      <c r="X223" s="25">
        <f t="shared" si="18"/>
        <v>0</v>
      </c>
      <c r="Y223" s="25">
        <v>110</v>
      </c>
      <c r="Z223" s="24"/>
      <c r="AA223" s="26">
        <v>1</v>
      </c>
      <c r="AB223" s="26">
        <v>0</v>
      </c>
      <c r="AC223" s="25">
        <f t="shared" si="19"/>
        <v>0</v>
      </c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</row>
    <row r="224" spans="1:41">
      <c r="A224" s="39" t="s">
        <v>52</v>
      </c>
      <c r="B224" s="39" t="s">
        <v>217</v>
      </c>
      <c r="C224" s="39" t="s">
        <v>70</v>
      </c>
      <c r="D224" s="39" t="s">
        <v>55</v>
      </c>
      <c r="E224" s="40">
        <v>140</v>
      </c>
      <c r="F224" s="39"/>
      <c r="G224" s="41">
        <v>3</v>
      </c>
      <c r="H224" s="41">
        <v>0</v>
      </c>
      <c r="I224" s="40">
        <f t="shared" si="15"/>
        <v>0</v>
      </c>
      <c r="J224" s="40">
        <v>140</v>
      </c>
      <c r="K224" s="39"/>
      <c r="L224" s="41">
        <v>3</v>
      </c>
      <c r="M224" s="41">
        <v>0</v>
      </c>
      <c r="N224" s="40">
        <f t="shared" si="16"/>
        <v>0</v>
      </c>
      <c r="O224" s="40">
        <v>120</v>
      </c>
      <c r="P224" s="39"/>
      <c r="Q224" s="41">
        <v>3</v>
      </c>
      <c r="R224" s="41">
        <v>0</v>
      </c>
      <c r="S224" s="40">
        <f t="shared" si="17"/>
        <v>0</v>
      </c>
      <c r="T224" s="40">
        <v>140</v>
      </c>
      <c r="U224" s="41">
        <v>2</v>
      </c>
      <c r="V224" s="41">
        <v>3</v>
      </c>
      <c r="W224" s="41">
        <v>6</v>
      </c>
      <c r="X224" s="40">
        <f t="shared" si="18"/>
        <v>840</v>
      </c>
      <c r="Y224" s="40">
        <v>140</v>
      </c>
      <c r="Z224" s="39"/>
      <c r="AA224" s="41">
        <v>3</v>
      </c>
      <c r="AB224" s="41">
        <v>0</v>
      </c>
      <c r="AC224" s="40">
        <f t="shared" si="19"/>
        <v>0</v>
      </c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</row>
    <row r="225" spans="1:41">
      <c r="A225" s="24" t="s">
        <v>52</v>
      </c>
      <c r="B225" s="24" t="s">
        <v>218</v>
      </c>
      <c r="C225" s="24" t="s">
        <v>68</v>
      </c>
      <c r="D225" s="24" t="s">
        <v>13</v>
      </c>
      <c r="E225" s="25">
        <v>120</v>
      </c>
      <c r="F225" s="24"/>
      <c r="G225" s="26">
        <v>1</v>
      </c>
      <c r="H225" s="26">
        <v>0</v>
      </c>
      <c r="I225" s="25">
        <f t="shared" si="15"/>
        <v>0</v>
      </c>
      <c r="J225" s="25">
        <v>120</v>
      </c>
      <c r="K225" s="24"/>
      <c r="L225" s="26">
        <v>1</v>
      </c>
      <c r="M225" s="26">
        <v>0</v>
      </c>
      <c r="N225" s="25">
        <f t="shared" si="16"/>
        <v>0</v>
      </c>
      <c r="O225" s="25">
        <v>120</v>
      </c>
      <c r="P225" s="24"/>
      <c r="Q225" s="26">
        <v>1</v>
      </c>
      <c r="R225" s="26">
        <v>0</v>
      </c>
      <c r="S225" s="25">
        <f t="shared" si="17"/>
        <v>0</v>
      </c>
      <c r="T225" s="25">
        <v>120</v>
      </c>
      <c r="U225" s="24"/>
      <c r="V225" s="26">
        <v>1</v>
      </c>
      <c r="W225" s="26">
        <v>0</v>
      </c>
      <c r="X225" s="25">
        <f t="shared" si="18"/>
        <v>0</v>
      </c>
      <c r="Y225" s="25">
        <v>110</v>
      </c>
      <c r="Z225" s="26">
        <v>1</v>
      </c>
      <c r="AA225" s="26">
        <v>1</v>
      </c>
      <c r="AB225" s="26">
        <v>1</v>
      </c>
      <c r="AC225" s="25">
        <f t="shared" si="19"/>
        <v>110</v>
      </c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</row>
    <row r="226" spans="1:41">
      <c r="A226" s="24" t="s">
        <v>52</v>
      </c>
      <c r="B226" s="24" t="s">
        <v>219</v>
      </c>
      <c r="C226" s="24" t="s">
        <v>68</v>
      </c>
      <c r="D226" s="24" t="s">
        <v>13</v>
      </c>
      <c r="E226" s="25">
        <v>120</v>
      </c>
      <c r="F226" s="24"/>
      <c r="G226" s="26">
        <v>1</v>
      </c>
      <c r="H226" s="26">
        <v>0</v>
      </c>
      <c r="I226" s="25">
        <f t="shared" si="15"/>
        <v>0</v>
      </c>
      <c r="J226" s="25">
        <v>120</v>
      </c>
      <c r="K226" s="24"/>
      <c r="L226" s="26">
        <v>1</v>
      </c>
      <c r="M226" s="26">
        <v>0</v>
      </c>
      <c r="N226" s="25">
        <f t="shared" si="16"/>
        <v>0</v>
      </c>
      <c r="O226" s="25">
        <v>120</v>
      </c>
      <c r="P226" s="24"/>
      <c r="Q226" s="26">
        <v>1</v>
      </c>
      <c r="R226" s="26">
        <v>0</v>
      </c>
      <c r="S226" s="25">
        <f t="shared" si="17"/>
        <v>0</v>
      </c>
      <c r="T226" s="25">
        <v>120</v>
      </c>
      <c r="U226" s="26">
        <v>1</v>
      </c>
      <c r="V226" s="26">
        <v>1</v>
      </c>
      <c r="W226" s="26">
        <v>1</v>
      </c>
      <c r="X226" s="25">
        <f t="shared" si="18"/>
        <v>120</v>
      </c>
      <c r="Y226" s="25">
        <v>110</v>
      </c>
      <c r="Z226" s="24"/>
      <c r="AA226" s="26">
        <v>1</v>
      </c>
      <c r="AB226" s="26">
        <v>0</v>
      </c>
      <c r="AC226" s="25">
        <f t="shared" si="19"/>
        <v>0</v>
      </c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</row>
    <row r="227" spans="1:41">
      <c r="A227" s="39" t="s">
        <v>52</v>
      </c>
      <c r="B227" s="39" t="s">
        <v>220</v>
      </c>
      <c r="C227" s="39" t="s">
        <v>70</v>
      </c>
      <c r="D227" s="39" t="s">
        <v>13</v>
      </c>
      <c r="E227" s="40">
        <v>140</v>
      </c>
      <c r="F227" s="39"/>
      <c r="G227" s="41">
        <v>1</v>
      </c>
      <c r="H227" s="41">
        <v>0</v>
      </c>
      <c r="I227" s="40">
        <f t="shared" si="15"/>
        <v>0</v>
      </c>
      <c r="J227" s="40">
        <v>140</v>
      </c>
      <c r="K227" s="39"/>
      <c r="L227" s="41">
        <v>1</v>
      </c>
      <c r="M227" s="41">
        <v>0</v>
      </c>
      <c r="N227" s="40">
        <f t="shared" si="16"/>
        <v>0</v>
      </c>
      <c r="O227" s="40">
        <v>120</v>
      </c>
      <c r="P227" s="39"/>
      <c r="Q227" s="41">
        <v>1</v>
      </c>
      <c r="R227" s="41">
        <v>0</v>
      </c>
      <c r="S227" s="40">
        <f t="shared" si="17"/>
        <v>0</v>
      </c>
      <c r="T227" s="40">
        <v>140</v>
      </c>
      <c r="U227" s="41">
        <v>1</v>
      </c>
      <c r="V227" s="41">
        <v>1</v>
      </c>
      <c r="W227" s="41">
        <v>1</v>
      </c>
      <c r="X227" s="40">
        <f t="shared" si="18"/>
        <v>140</v>
      </c>
      <c r="Y227" s="40">
        <v>140</v>
      </c>
      <c r="Z227" s="39"/>
      <c r="AA227" s="41">
        <v>1</v>
      </c>
      <c r="AB227" s="41">
        <v>0</v>
      </c>
      <c r="AC227" s="40">
        <f t="shared" si="19"/>
        <v>0</v>
      </c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</row>
    <row r="228" spans="1:41">
      <c r="A228" s="24" t="s">
        <v>52</v>
      </c>
      <c r="B228" s="24" t="s">
        <v>220</v>
      </c>
      <c r="C228" s="24" t="s">
        <v>68</v>
      </c>
      <c r="D228" s="24" t="s">
        <v>13</v>
      </c>
      <c r="E228" s="25">
        <v>120</v>
      </c>
      <c r="F228" s="24"/>
      <c r="G228" s="26">
        <v>1</v>
      </c>
      <c r="H228" s="26">
        <v>0</v>
      </c>
      <c r="I228" s="25">
        <f t="shared" si="15"/>
        <v>0</v>
      </c>
      <c r="J228" s="25">
        <v>120</v>
      </c>
      <c r="K228" s="26">
        <v>1</v>
      </c>
      <c r="L228" s="26">
        <v>1</v>
      </c>
      <c r="M228" s="26">
        <v>1</v>
      </c>
      <c r="N228" s="25">
        <f t="shared" si="16"/>
        <v>120</v>
      </c>
      <c r="O228" s="25">
        <v>120</v>
      </c>
      <c r="P228" s="24"/>
      <c r="Q228" s="26">
        <v>1</v>
      </c>
      <c r="R228" s="26">
        <v>0</v>
      </c>
      <c r="S228" s="25">
        <f t="shared" si="17"/>
        <v>0</v>
      </c>
      <c r="T228" s="25">
        <v>120</v>
      </c>
      <c r="U228" s="26">
        <v>1</v>
      </c>
      <c r="V228" s="26">
        <v>1</v>
      </c>
      <c r="W228" s="26">
        <v>1</v>
      </c>
      <c r="X228" s="25">
        <f t="shared" si="18"/>
        <v>120</v>
      </c>
      <c r="Y228" s="25">
        <v>110</v>
      </c>
      <c r="Z228" s="24"/>
      <c r="AA228" s="26">
        <v>1</v>
      </c>
      <c r="AB228" s="26">
        <v>0</v>
      </c>
      <c r="AC228" s="25">
        <f t="shared" si="19"/>
        <v>0</v>
      </c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</row>
    <row r="229" spans="1:41">
      <c r="A229" s="24" t="s">
        <v>52</v>
      </c>
      <c r="B229" s="24" t="s">
        <v>221</v>
      </c>
      <c r="C229" s="24" t="s">
        <v>68</v>
      </c>
      <c r="D229" s="24" t="s">
        <v>13</v>
      </c>
      <c r="E229" s="25">
        <v>120</v>
      </c>
      <c r="F229" s="24"/>
      <c r="G229" s="26">
        <v>1</v>
      </c>
      <c r="H229" s="26">
        <v>0</v>
      </c>
      <c r="I229" s="25">
        <f t="shared" si="15"/>
        <v>0</v>
      </c>
      <c r="J229" s="25">
        <v>120</v>
      </c>
      <c r="K229" s="26">
        <v>2</v>
      </c>
      <c r="L229" s="26">
        <v>1</v>
      </c>
      <c r="M229" s="26">
        <v>2</v>
      </c>
      <c r="N229" s="25">
        <f t="shared" si="16"/>
        <v>240</v>
      </c>
      <c r="O229" s="25">
        <v>120</v>
      </c>
      <c r="P229" s="24"/>
      <c r="Q229" s="26">
        <v>1</v>
      </c>
      <c r="R229" s="26">
        <v>0</v>
      </c>
      <c r="S229" s="25">
        <f t="shared" si="17"/>
        <v>0</v>
      </c>
      <c r="T229" s="25">
        <v>120</v>
      </c>
      <c r="U229" s="26">
        <v>1</v>
      </c>
      <c r="V229" s="26">
        <v>1</v>
      </c>
      <c r="W229" s="26">
        <v>1</v>
      </c>
      <c r="X229" s="25">
        <f t="shared" si="18"/>
        <v>120</v>
      </c>
      <c r="Y229" s="25">
        <v>110</v>
      </c>
      <c r="Z229" s="24"/>
      <c r="AA229" s="26">
        <v>1</v>
      </c>
      <c r="AB229" s="26">
        <v>0</v>
      </c>
      <c r="AC229" s="25">
        <f t="shared" si="19"/>
        <v>0</v>
      </c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</row>
    <row r="230" spans="1:41">
      <c r="A230" s="24" t="s">
        <v>52</v>
      </c>
      <c r="B230" s="24" t="s">
        <v>222</v>
      </c>
      <c r="C230" s="24" t="s">
        <v>68</v>
      </c>
      <c r="D230" s="24" t="s">
        <v>13</v>
      </c>
      <c r="E230" s="25">
        <v>120</v>
      </c>
      <c r="F230" s="24"/>
      <c r="G230" s="26">
        <v>1</v>
      </c>
      <c r="H230" s="26">
        <v>0</v>
      </c>
      <c r="I230" s="25">
        <f t="shared" si="15"/>
        <v>0</v>
      </c>
      <c r="J230" s="25">
        <v>120</v>
      </c>
      <c r="K230" s="24"/>
      <c r="L230" s="26">
        <v>1</v>
      </c>
      <c r="M230" s="26">
        <v>0</v>
      </c>
      <c r="N230" s="25">
        <f t="shared" si="16"/>
        <v>0</v>
      </c>
      <c r="O230" s="25">
        <v>120</v>
      </c>
      <c r="P230" s="24"/>
      <c r="Q230" s="26">
        <v>1</v>
      </c>
      <c r="R230" s="26">
        <v>0</v>
      </c>
      <c r="S230" s="25">
        <f t="shared" si="17"/>
        <v>0</v>
      </c>
      <c r="T230" s="25">
        <v>120</v>
      </c>
      <c r="U230" s="26">
        <v>1</v>
      </c>
      <c r="V230" s="26">
        <v>1</v>
      </c>
      <c r="W230" s="26">
        <v>1</v>
      </c>
      <c r="X230" s="25">
        <f t="shared" si="18"/>
        <v>120</v>
      </c>
      <c r="Y230" s="25">
        <v>110</v>
      </c>
      <c r="Z230" s="24"/>
      <c r="AA230" s="26">
        <v>1</v>
      </c>
      <c r="AB230" s="26">
        <v>0</v>
      </c>
      <c r="AC230" s="25">
        <f t="shared" si="19"/>
        <v>0</v>
      </c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</row>
    <row r="231" spans="1:41">
      <c r="A231" s="24" t="s">
        <v>52</v>
      </c>
      <c r="B231" s="24" t="s">
        <v>223</v>
      </c>
      <c r="C231" s="24" t="s">
        <v>68</v>
      </c>
      <c r="D231" s="24" t="s">
        <v>13</v>
      </c>
      <c r="E231" s="25">
        <v>120</v>
      </c>
      <c r="F231" s="24"/>
      <c r="G231" s="26">
        <v>1</v>
      </c>
      <c r="H231" s="26">
        <v>0</v>
      </c>
      <c r="I231" s="25">
        <f t="shared" si="15"/>
        <v>0</v>
      </c>
      <c r="J231" s="25">
        <v>120</v>
      </c>
      <c r="K231" s="26">
        <v>3</v>
      </c>
      <c r="L231" s="26">
        <v>1</v>
      </c>
      <c r="M231" s="26">
        <v>3</v>
      </c>
      <c r="N231" s="25">
        <f t="shared" si="16"/>
        <v>360</v>
      </c>
      <c r="O231" s="25">
        <v>120</v>
      </c>
      <c r="P231" s="24"/>
      <c r="Q231" s="26">
        <v>1</v>
      </c>
      <c r="R231" s="26">
        <v>0</v>
      </c>
      <c r="S231" s="25">
        <f t="shared" si="17"/>
        <v>0</v>
      </c>
      <c r="T231" s="25">
        <v>120</v>
      </c>
      <c r="U231" s="24"/>
      <c r="V231" s="26">
        <v>1</v>
      </c>
      <c r="W231" s="26">
        <v>0</v>
      </c>
      <c r="X231" s="25">
        <f t="shared" si="18"/>
        <v>0</v>
      </c>
      <c r="Y231" s="25">
        <v>110</v>
      </c>
      <c r="Z231" s="24"/>
      <c r="AA231" s="26">
        <v>1</v>
      </c>
      <c r="AB231" s="26">
        <v>0</v>
      </c>
      <c r="AC231" s="25">
        <f t="shared" si="19"/>
        <v>0</v>
      </c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</row>
    <row r="232" spans="1:41">
      <c r="A232" s="24" t="s">
        <v>52</v>
      </c>
      <c r="B232" s="24" t="s">
        <v>224</v>
      </c>
      <c r="C232" s="24" t="s">
        <v>68</v>
      </c>
      <c r="D232" s="24" t="s">
        <v>29</v>
      </c>
      <c r="E232" s="25">
        <v>120</v>
      </c>
      <c r="F232" s="24"/>
      <c r="G232" s="26">
        <v>2</v>
      </c>
      <c r="H232" s="26">
        <v>0</v>
      </c>
      <c r="I232" s="25">
        <f t="shared" si="15"/>
        <v>0</v>
      </c>
      <c r="J232" s="25">
        <v>120</v>
      </c>
      <c r="K232" s="26">
        <v>1</v>
      </c>
      <c r="L232" s="26">
        <v>2</v>
      </c>
      <c r="M232" s="26">
        <v>2</v>
      </c>
      <c r="N232" s="25">
        <f t="shared" si="16"/>
        <v>240</v>
      </c>
      <c r="O232" s="25">
        <v>120</v>
      </c>
      <c r="P232" s="24"/>
      <c r="Q232" s="26">
        <v>2</v>
      </c>
      <c r="R232" s="26">
        <v>0</v>
      </c>
      <c r="S232" s="25">
        <f t="shared" si="17"/>
        <v>0</v>
      </c>
      <c r="T232" s="25">
        <v>120</v>
      </c>
      <c r="U232" s="24"/>
      <c r="V232" s="26">
        <v>2</v>
      </c>
      <c r="W232" s="26">
        <v>0</v>
      </c>
      <c r="X232" s="25">
        <f t="shared" si="18"/>
        <v>0</v>
      </c>
      <c r="Y232" s="25">
        <v>110</v>
      </c>
      <c r="Z232" s="24"/>
      <c r="AA232" s="26">
        <v>2</v>
      </c>
      <c r="AB232" s="26">
        <v>0</v>
      </c>
      <c r="AC232" s="25">
        <f t="shared" si="19"/>
        <v>0</v>
      </c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</row>
    <row r="233" spans="1:41">
      <c r="A233" s="24" t="s">
        <v>52</v>
      </c>
      <c r="B233" s="24" t="s">
        <v>224</v>
      </c>
      <c r="C233" s="24" t="s">
        <v>68</v>
      </c>
      <c r="D233" s="24" t="s">
        <v>55</v>
      </c>
      <c r="E233" s="25">
        <v>120</v>
      </c>
      <c r="F233" s="24"/>
      <c r="G233" s="26">
        <v>3</v>
      </c>
      <c r="H233" s="26">
        <v>0</v>
      </c>
      <c r="I233" s="25">
        <f t="shared" si="15"/>
        <v>0</v>
      </c>
      <c r="J233" s="25">
        <v>120</v>
      </c>
      <c r="K233" s="24"/>
      <c r="L233" s="26">
        <v>3</v>
      </c>
      <c r="M233" s="26">
        <v>0</v>
      </c>
      <c r="N233" s="25">
        <f t="shared" si="16"/>
        <v>0</v>
      </c>
      <c r="O233" s="25">
        <v>120</v>
      </c>
      <c r="P233" s="24"/>
      <c r="Q233" s="26">
        <v>3</v>
      </c>
      <c r="R233" s="26">
        <v>0</v>
      </c>
      <c r="S233" s="25">
        <f t="shared" si="17"/>
        <v>0</v>
      </c>
      <c r="T233" s="25">
        <v>120</v>
      </c>
      <c r="U233" s="26">
        <v>1</v>
      </c>
      <c r="V233" s="26">
        <v>3</v>
      </c>
      <c r="W233" s="26">
        <v>3</v>
      </c>
      <c r="X233" s="25">
        <f t="shared" si="18"/>
        <v>360</v>
      </c>
      <c r="Y233" s="25">
        <v>110</v>
      </c>
      <c r="Z233" s="24"/>
      <c r="AA233" s="26">
        <v>3</v>
      </c>
      <c r="AB233" s="26">
        <v>0</v>
      </c>
      <c r="AC233" s="25">
        <f t="shared" si="19"/>
        <v>0</v>
      </c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</row>
    <row r="234" spans="1:41">
      <c r="A234" s="39" t="s">
        <v>52</v>
      </c>
      <c r="B234" s="39" t="s">
        <v>225</v>
      </c>
      <c r="C234" s="39" t="s">
        <v>70</v>
      </c>
      <c r="D234" s="39" t="s">
        <v>55</v>
      </c>
      <c r="E234" s="40">
        <v>140</v>
      </c>
      <c r="F234" s="39"/>
      <c r="G234" s="41">
        <v>3</v>
      </c>
      <c r="H234" s="41">
        <v>0</v>
      </c>
      <c r="I234" s="40">
        <f t="shared" si="15"/>
        <v>0</v>
      </c>
      <c r="J234" s="40">
        <v>140</v>
      </c>
      <c r="K234" s="39"/>
      <c r="L234" s="41">
        <v>3</v>
      </c>
      <c r="M234" s="41">
        <v>0</v>
      </c>
      <c r="N234" s="40">
        <f t="shared" si="16"/>
        <v>0</v>
      </c>
      <c r="O234" s="40">
        <v>120</v>
      </c>
      <c r="P234" s="39"/>
      <c r="Q234" s="41">
        <v>3</v>
      </c>
      <c r="R234" s="41">
        <v>0</v>
      </c>
      <c r="S234" s="40">
        <f t="shared" si="17"/>
        <v>0</v>
      </c>
      <c r="T234" s="40">
        <v>140</v>
      </c>
      <c r="U234" s="41">
        <v>2</v>
      </c>
      <c r="V234" s="41">
        <v>3</v>
      </c>
      <c r="W234" s="41">
        <v>6</v>
      </c>
      <c r="X234" s="40">
        <f t="shared" si="18"/>
        <v>840</v>
      </c>
      <c r="Y234" s="40">
        <v>140</v>
      </c>
      <c r="Z234" s="39"/>
      <c r="AA234" s="41">
        <v>3</v>
      </c>
      <c r="AB234" s="41">
        <v>0</v>
      </c>
      <c r="AC234" s="40">
        <f t="shared" si="19"/>
        <v>0</v>
      </c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</row>
    <row r="235" spans="1:41">
      <c r="A235" s="24" t="s">
        <v>52</v>
      </c>
      <c r="B235" s="24" t="s">
        <v>225</v>
      </c>
      <c r="C235" s="24" t="s">
        <v>68</v>
      </c>
      <c r="D235" s="24" t="s">
        <v>55</v>
      </c>
      <c r="E235" s="25">
        <v>120</v>
      </c>
      <c r="F235" s="24"/>
      <c r="G235" s="26">
        <v>3</v>
      </c>
      <c r="H235" s="26">
        <v>0</v>
      </c>
      <c r="I235" s="25">
        <f t="shared" si="15"/>
        <v>0</v>
      </c>
      <c r="J235" s="25">
        <v>120</v>
      </c>
      <c r="K235" s="24"/>
      <c r="L235" s="26">
        <v>3</v>
      </c>
      <c r="M235" s="26">
        <v>0</v>
      </c>
      <c r="N235" s="25">
        <f t="shared" si="16"/>
        <v>0</v>
      </c>
      <c r="O235" s="25">
        <v>120</v>
      </c>
      <c r="P235" s="24"/>
      <c r="Q235" s="26">
        <v>3</v>
      </c>
      <c r="R235" s="26">
        <v>0</v>
      </c>
      <c r="S235" s="25">
        <f t="shared" si="17"/>
        <v>0</v>
      </c>
      <c r="T235" s="25">
        <v>120</v>
      </c>
      <c r="U235" s="26">
        <v>1</v>
      </c>
      <c r="V235" s="26">
        <v>3</v>
      </c>
      <c r="W235" s="26">
        <v>3</v>
      </c>
      <c r="X235" s="25">
        <f t="shared" si="18"/>
        <v>360</v>
      </c>
      <c r="Y235" s="25">
        <v>110</v>
      </c>
      <c r="Z235" s="24"/>
      <c r="AA235" s="26">
        <v>3</v>
      </c>
      <c r="AB235" s="26">
        <v>0</v>
      </c>
      <c r="AC235" s="25">
        <f t="shared" si="19"/>
        <v>0</v>
      </c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</row>
    <row r="236" spans="1:41">
      <c r="A236" s="39" t="s">
        <v>52</v>
      </c>
      <c r="B236" s="39" t="s">
        <v>226</v>
      </c>
      <c r="C236" s="39" t="s">
        <v>70</v>
      </c>
      <c r="D236" s="39" t="s">
        <v>13</v>
      </c>
      <c r="E236" s="40">
        <v>140</v>
      </c>
      <c r="F236" s="39"/>
      <c r="G236" s="41">
        <v>1</v>
      </c>
      <c r="H236" s="41">
        <v>0</v>
      </c>
      <c r="I236" s="40">
        <f t="shared" si="15"/>
        <v>0</v>
      </c>
      <c r="J236" s="40">
        <v>140</v>
      </c>
      <c r="K236" s="39"/>
      <c r="L236" s="41">
        <v>1</v>
      </c>
      <c r="M236" s="41">
        <v>0</v>
      </c>
      <c r="N236" s="40">
        <f t="shared" si="16"/>
        <v>0</v>
      </c>
      <c r="O236" s="40">
        <v>120</v>
      </c>
      <c r="P236" s="39"/>
      <c r="Q236" s="41">
        <v>1</v>
      </c>
      <c r="R236" s="41">
        <v>0</v>
      </c>
      <c r="S236" s="40">
        <f t="shared" si="17"/>
        <v>0</v>
      </c>
      <c r="T236" s="40">
        <v>140</v>
      </c>
      <c r="U236" s="41">
        <v>2</v>
      </c>
      <c r="V236" s="41">
        <v>1</v>
      </c>
      <c r="W236" s="41">
        <v>2</v>
      </c>
      <c r="X236" s="40">
        <f t="shared" si="18"/>
        <v>280</v>
      </c>
      <c r="Y236" s="40">
        <v>140</v>
      </c>
      <c r="Z236" s="41">
        <v>2</v>
      </c>
      <c r="AA236" s="41">
        <v>1</v>
      </c>
      <c r="AB236" s="41">
        <v>2</v>
      </c>
      <c r="AC236" s="40">
        <f t="shared" si="19"/>
        <v>280</v>
      </c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</row>
    <row r="237" spans="1:41">
      <c r="A237" s="24" t="s">
        <v>52</v>
      </c>
      <c r="B237" s="24" t="s">
        <v>226</v>
      </c>
      <c r="C237" s="24" t="s">
        <v>68</v>
      </c>
      <c r="D237" s="24" t="s">
        <v>13</v>
      </c>
      <c r="E237" s="25">
        <v>120</v>
      </c>
      <c r="F237" s="24"/>
      <c r="G237" s="26">
        <v>1</v>
      </c>
      <c r="H237" s="26">
        <v>0</v>
      </c>
      <c r="I237" s="25">
        <f t="shared" si="15"/>
        <v>0</v>
      </c>
      <c r="J237" s="25">
        <v>120</v>
      </c>
      <c r="K237" s="26">
        <v>2</v>
      </c>
      <c r="L237" s="26">
        <v>1</v>
      </c>
      <c r="M237" s="26">
        <v>2</v>
      </c>
      <c r="N237" s="25">
        <f t="shared" si="16"/>
        <v>240</v>
      </c>
      <c r="O237" s="25">
        <v>120</v>
      </c>
      <c r="P237" s="24"/>
      <c r="Q237" s="26">
        <v>1</v>
      </c>
      <c r="R237" s="26">
        <v>0</v>
      </c>
      <c r="S237" s="25">
        <f t="shared" si="17"/>
        <v>0</v>
      </c>
      <c r="T237" s="25">
        <v>120</v>
      </c>
      <c r="U237" s="24"/>
      <c r="V237" s="26">
        <v>1</v>
      </c>
      <c r="W237" s="26">
        <v>0</v>
      </c>
      <c r="X237" s="25">
        <f t="shared" si="18"/>
        <v>0</v>
      </c>
      <c r="Y237" s="25">
        <v>110</v>
      </c>
      <c r="Z237" s="26">
        <v>1</v>
      </c>
      <c r="AA237" s="26">
        <v>1</v>
      </c>
      <c r="AB237" s="26">
        <v>1</v>
      </c>
      <c r="AC237" s="25">
        <f t="shared" si="19"/>
        <v>110</v>
      </c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</row>
    <row r="238" spans="1:41">
      <c r="A238" s="39" t="s">
        <v>52</v>
      </c>
      <c r="B238" s="39" t="s">
        <v>227</v>
      </c>
      <c r="C238" s="39" t="s">
        <v>70</v>
      </c>
      <c r="D238" s="39" t="s">
        <v>13</v>
      </c>
      <c r="E238" s="40">
        <v>140</v>
      </c>
      <c r="F238" s="39"/>
      <c r="G238" s="41">
        <v>1</v>
      </c>
      <c r="H238" s="41">
        <v>0</v>
      </c>
      <c r="I238" s="40">
        <f t="shared" si="15"/>
        <v>0</v>
      </c>
      <c r="J238" s="40">
        <v>140</v>
      </c>
      <c r="K238" s="39"/>
      <c r="L238" s="41">
        <v>1</v>
      </c>
      <c r="M238" s="41">
        <v>0</v>
      </c>
      <c r="N238" s="40">
        <f t="shared" si="16"/>
        <v>0</v>
      </c>
      <c r="O238" s="40">
        <v>120</v>
      </c>
      <c r="P238" s="39"/>
      <c r="Q238" s="41">
        <v>1</v>
      </c>
      <c r="R238" s="41">
        <v>0</v>
      </c>
      <c r="S238" s="40">
        <f t="shared" si="17"/>
        <v>0</v>
      </c>
      <c r="T238" s="40">
        <v>140</v>
      </c>
      <c r="U238" s="39"/>
      <c r="V238" s="41">
        <v>1</v>
      </c>
      <c r="W238" s="41">
        <v>0</v>
      </c>
      <c r="X238" s="40">
        <f t="shared" si="18"/>
        <v>0</v>
      </c>
      <c r="Y238" s="40">
        <v>140</v>
      </c>
      <c r="Z238" s="41">
        <v>1</v>
      </c>
      <c r="AA238" s="41">
        <v>1</v>
      </c>
      <c r="AB238" s="41">
        <v>1</v>
      </c>
      <c r="AC238" s="40">
        <f t="shared" si="19"/>
        <v>140</v>
      </c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</row>
    <row r="239" spans="1:41">
      <c r="A239" s="39" t="s">
        <v>52</v>
      </c>
      <c r="B239" s="39" t="s">
        <v>228</v>
      </c>
      <c r="C239" s="39" t="s">
        <v>70</v>
      </c>
      <c r="D239" s="39" t="s">
        <v>29</v>
      </c>
      <c r="E239" s="40">
        <v>140</v>
      </c>
      <c r="F239" s="39"/>
      <c r="G239" s="41">
        <v>2</v>
      </c>
      <c r="H239" s="41">
        <v>0</v>
      </c>
      <c r="I239" s="40">
        <f t="shared" si="15"/>
        <v>0</v>
      </c>
      <c r="J239" s="40">
        <v>140</v>
      </c>
      <c r="K239" s="39"/>
      <c r="L239" s="41">
        <v>2</v>
      </c>
      <c r="M239" s="41">
        <v>0</v>
      </c>
      <c r="N239" s="40">
        <f t="shared" si="16"/>
        <v>0</v>
      </c>
      <c r="O239" s="40">
        <v>120</v>
      </c>
      <c r="P239" s="39"/>
      <c r="Q239" s="41">
        <v>2</v>
      </c>
      <c r="R239" s="41">
        <v>0</v>
      </c>
      <c r="S239" s="40">
        <f t="shared" si="17"/>
        <v>0</v>
      </c>
      <c r="T239" s="40">
        <v>140</v>
      </c>
      <c r="U239" s="41">
        <v>1</v>
      </c>
      <c r="V239" s="41">
        <v>2</v>
      </c>
      <c r="W239" s="41">
        <v>2</v>
      </c>
      <c r="X239" s="40">
        <f t="shared" si="18"/>
        <v>280</v>
      </c>
      <c r="Y239" s="40">
        <v>140</v>
      </c>
      <c r="Z239" s="39"/>
      <c r="AA239" s="41">
        <v>2</v>
      </c>
      <c r="AB239" s="41">
        <v>0</v>
      </c>
      <c r="AC239" s="40">
        <f t="shared" si="19"/>
        <v>0</v>
      </c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</row>
    <row r="240" spans="1:41">
      <c r="A240" s="24" t="s">
        <v>52</v>
      </c>
      <c r="B240" s="24" t="s">
        <v>228</v>
      </c>
      <c r="C240" s="24" t="s">
        <v>68</v>
      </c>
      <c r="D240" s="24" t="s">
        <v>55</v>
      </c>
      <c r="E240" s="25">
        <v>120</v>
      </c>
      <c r="F240" s="24"/>
      <c r="G240" s="26">
        <v>3</v>
      </c>
      <c r="H240" s="26">
        <v>0</v>
      </c>
      <c r="I240" s="25">
        <f t="shared" si="15"/>
        <v>0</v>
      </c>
      <c r="J240" s="25">
        <v>120</v>
      </c>
      <c r="K240" s="26">
        <v>1</v>
      </c>
      <c r="L240" s="26">
        <v>3</v>
      </c>
      <c r="M240" s="26">
        <v>3</v>
      </c>
      <c r="N240" s="25">
        <f t="shared" si="16"/>
        <v>360</v>
      </c>
      <c r="O240" s="25">
        <v>120</v>
      </c>
      <c r="P240" s="24"/>
      <c r="Q240" s="26">
        <v>3</v>
      </c>
      <c r="R240" s="26">
        <v>0</v>
      </c>
      <c r="S240" s="25">
        <f t="shared" si="17"/>
        <v>0</v>
      </c>
      <c r="T240" s="25">
        <v>120</v>
      </c>
      <c r="U240" s="26">
        <v>1</v>
      </c>
      <c r="V240" s="26">
        <v>3</v>
      </c>
      <c r="W240" s="26">
        <v>3</v>
      </c>
      <c r="X240" s="25">
        <f t="shared" si="18"/>
        <v>360</v>
      </c>
      <c r="Y240" s="25">
        <v>110</v>
      </c>
      <c r="Z240" s="24"/>
      <c r="AA240" s="26">
        <v>3</v>
      </c>
      <c r="AB240" s="26">
        <v>0</v>
      </c>
      <c r="AC240" s="25">
        <f t="shared" si="19"/>
        <v>0</v>
      </c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</row>
    <row r="241" spans="1:41">
      <c r="A241" s="39" t="s">
        <v>52</v>
      </c>
      <c r="B241" s="39" t="s">
        <v>229</v>
      </c>
      <c r="C241" s="39" t="s">
        <v>70</v>
      </c>
      <c r="D241" s="39" t="s">
        <v>55</v>
      </c>
      <c r="E241" s="40">
        <v>140</v>
      </c>
      <c r="F241" s="39"/>
      <c r="G241" s="41">
        <v>3</v>
      </c>
      <c r="H241" s="41">
        <v>0</v>
      </c>
      <c r="I241" s="40">
        <f t="shared" si="15"/>
        <v>0</v>
      </c>
      <c r="J241" s="40">
        <v>140</v>
      </c>
      <c r="K241" s="41">
        <v>1</v>
      </c>
      <c r="L241" s="41">
        <v>3</v>
      </c>
      <c r="M241" s="41">
        <v>3</v>
      </c>
      <c r="N241" s="40">
        <f t="shared" si="16"/>
        <v>420</v>
      </c>
      <c r="O241" s="40">
        <v>120</v>
      </c>
      <c r="P241" s="39"/>
      <c r="Q241" s="41">
        <v>3</v>
      </c>
      <c r="R241" s="41">
        <v>0</v>
      </c>
      <c r="S241" s="40">
        <f t="shared" si="17"/>
        <v>0</v>
      </c>
      <c r="T241" s="40">
        <v>140</v>
      </c>
      <c r="U241" s="41">
        <v>2</v>
      </c>
      <c r="V241" s="41">
        <v>3</v>
      </c>
      <c r="W241" s="41">
        <v>6</v>
      </c>
      <c r="X241" s="40">
        <f t="shared" si="18"/>
        <v>840</v>
      </c>
      <c r="Y241" s="40">
        <v>140</v>
      </c>
      <c r="Z241" s="41">
        <v>1</v>
      </c>
      <c r="AA241" s="41">
        <v>3</v>
      </c>
      <c r="AB241" s="41">
        <v>3</v>
      </c>
      <c r="AC241" s="40">
        <f t="shared" si="19"/>
        <v>420</v>
      </c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</row>
    <row r="242" spans="1:41">
      <c r="A242" s="24" t="s">
        <v>52</v>
      </c>
      <c r="B242" s="24" t="s">
        <v>230</v>
      </c>
      <c r="C242" s="24" t="s">
        <v>68</v>
      </c>
      <c r="D242" s="24" t="s">
        <v>55</v>
      </c>
      <c r="E242" s="25">
        <v>120</v>
      </c>
      <c r="F242" s="24"/>
      <c r="G242" s="26">
        <v>3</v>
      </c>
      <c r="H242" s="26">
        <v>0</v>
      </c>
      <c r="I242" s="25">
        <f t="shared" si="15"/>
        <v>0</v>
      </c>
      <c r="J242" s="25">
        <v>120</v>
      </c>
      <c r="K242" s="26">
        <v>1</v>
      </c>
      <c r="L242" s="26">
        <v>3</v>
      </c>
      <c r="M242" s="26">
        <v>3</v>
      </c>
      <c r="N242" s="25">
        <f t="shared" si="16"/>
        <v>360</v>
      </c>
      <c r="O242" s="25">
        <v>120</v>
      </c>
      <c r="P242" s="24"/>
      <c r="Q242" s="26">
        <v>3</v>
      </c>
      <c r="R242" s="26">
        <v>0</v>
      </c>
      <c r="S242" s="25">
        <f t="shared" si="17"/>
        <v>0</v>
      </c>
      <c r="T242" s="25">
        <v>120</v>
      </c>
      <c r="U242" s="24"/>
      <c r="V242" s="26">
        <v>3</v>
      </c>
      <c r="W242" s="26">
        <v>0</v>
      </c>
      <c r="X242" s="25">
        <f t="shared" si="18"/>
        <v>0</v>
      </c>
      <c r="Y242" s="25">
        <v>110</v>
      </c>
      <c r="Z242" s="24"/>
      <c r="AA242" s="26">
        <v>3</v>
      </c>
      <c r="AB242" s="26">
        <v>0</v>
      </c>
      <c r="AC242" s="25">
        <f t="shared" si="19"/>
        <v>0</v>
      </c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</row>
    <row r="243" spans="1:41">
      <c r="A243" s="24" t="s">
        <v>52</v>
      </c>
      <c r="B243" s="24" t="s">
        <v>231</v>
      </c>
      <c r="C243" s="24" t="s">
        <v>68</v>
      </c>
      <c r="D243" s="24" t="s">
        <v>13</v>
      </c>
      <c r="E243" s="25">
        <v>120</v>
      </c>
      <c r="F243" s="24"/>
      <c r="G243" s="26">
        <v>1</v>
      </c>
      <c r="H243" s="26">
        <v>0</v>
      </c>
      <c r="I243" s="25">
        <f t="shared" si="15"/>
        <v>0</v>
      </c>
      <c r="J243" s="25">
        <v>120</v>
      </c>
      <c r="K243" s="24"/>
      <c r="L243" s="26">
        <v>1</v>
      </c>
      <c r="M243" s="26">
        <v>0</v>
      </c>
      <c r="N243" s="25">
        <f t="shared" si="16"/>
        <v>0</v>
      </c>
      <c r="O243" s="25">
        <v>120</v>
      </c>
      <c r="P243" s="24"/>
      <c r="Q243" s="26">
        <v>1</v>
      </c>
      <c r="R243" s="26">
        <v>0</v>
      </c>
      <c r="S243" s="25">
        <f t="shared" si="17"/>
        <v>0</v>
      </c>
      <c r="T243" s="25">
        <v>120</v>
      </c>
      <c r="U243" s="24"/>
      <c r="V243" s="26">
        <v>1</v>
      </c>
      <c r="W243" s="26">
        <v>0</v>
      </c>
      <c r="X243" s="25">
        <f t="shared" si="18"/>
        <v>0</v>
      </c>
      <c r="Y243" s="25">
        <v>110</v>
      </c>
      <c r="Z243" s="26">
        <v>1</v>
      </c>
      <c r="AA243" s="26">
        <v>1</v>
      </c>
      <c r="AB243" s="26">
        <v>1</v>
      </c>
      <c r="AC243" s="25">
        <f t="shared" si="19"/>
        <v>110</v>
      </c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</row>
    <row r="244" spans="1:41">
      <c r="A244" s="24" t="s">
        <v>52</v>
      </c>
      <c r="B244" s="24" t="s">
        <v>232</v>
      </c>
      <c r="C244" s="24" t="s">
        <v>68</v>
      </c>
      <c r="D244" s="24" t="s">
        <v>55</v>
      </c>
      <c r="E244" s="25">
        <v>120</v>
      </c>
      <c r="F244" s="24"/>
      <c r="G244" s="26">
        <v>3</v>
      </c>
      <c r="H244" s="26">
        <v>0</v>
      </c>
      <c r="I244" s="25">
        <f t="shared" si="15"/>
        <v>0</v>
      </c>
      <c r="J244" s="25">
        <v>120</v>
      </c>
      <c r="K244" s="26">
        <v>1</v>
      </c>
      <c r="L244" s="26">
        <v>3</v>
      </c>
      <c r="M244" s="26">
        <v>3</v>
      </c>
      <c r="N244" s="25">
        <f t="shared" si="16"/>
        <v>360</v>
      </c>
      <c r="O244" s="25">
        <v>120</v>
      </c>
      <c r="P244" s="24"/>
      <c r="Q244" s="26">
        <v>3</v>
      </c>
      <c r="R244" s="26">
        <v>0</v>
      </c>
      <c r="S244" s="25">
        <f t="shared" si="17"/>
        <v>0</v>
      </c>
      <c r="T244" s="25">
        <v>120</v>
      </c>
      <c r="U244" s="24"/>
      <c r="V244" s="26">
        <v>3</v>
      </c>
      <c r="W244" s="26">
        <v>0</v>
      </c>
      <c r="X244" s="25">
        <f t="shared" si="18"/>
        <v>0</v>
      </c>
      <c r="Y244" s="25">
        <v>110</v>
      </c>
      <c r="Z244" s="24"/>
      <c r="AA244" s="26">
        <v>3</v>
      </c>
      <c r="AB244" s="26">
        <v>0</v>
      </c>
      <c r="AC244" s="25">
        <f t="shared" si="19"/>
        <v>0</v>
      </c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</row>
    <row r="245" spans="1:41">
      <c r="A245" s="39" t="s">
        <v>52</v>
      </c>
      <c r="B245" s="39" t="s">
        <v>233</v>
      </c>
      <c r="C245" s="39" t="s">
        <v>70</v>
      </c>
      <c r="D245" s="39" t="s">
        <v>55</v>
      </c>
      <c r="E245" s="40">
        <v>140</v>
      </c>
      <c r="F245" s="39"/>
      <c r="G245" s="41">
        <v>3</v>
      </c>
      <c r="H245" s="41">
        <v>0</v>
      </c>
      <c r="I245" s="40">
        <f t="shared" si="15"/>
        <v>0</v>
      </c>
      <c r="J245" s="40">
        <v>140</v>
      </c>
      <c r="K245" s="39"/>
      <c r="L245" s="41">
        <v>3</v>
      </c>
      <c r="M245" s="41">
        <v>0</v>
      </c>
      <c r="N245" s="40">
        <f t="shared" si="16"/>
        <v>0</v>
      </c>
      <c r="O245" s="40">
        <v>120</v>
      </c>
      <c r="P245" s="39"/>
      <c r="Q245" s="41">
        <v>3</v>
      </c>
      <c r="R245" s="41">
        <v>0</v>
      </c>
      <c r="S245" s="40">
        <f t="shared" si="17"/>
        <v>0</v>
      </c>
      <c r="T245" s="40">
        <v>140</v>
      </c>
      <c r="U245" s="39"/>
      <c r="V245" s="41">
        <v>3</v>
      </c>
      <c r="W245" s="41">
        <v>0</v>
      </c>
      <c r="X245" s="40">
        <f t="shared" si="18"/>
        <v>0</v>
      </c>
      <c r="Y245" s="40">
        <v>140</v>
      </c>
      <c r="Z245" s="41">
        <v>1</v>
      </c>
      <c r="AA245" s="41">
        <v>3</v>
      </c>
      <c r="AB245" s="41">
        <v>3</v>
      </c>
      <c r="AC245" s="40">
        <f t="shared" si="19"/>
        <v>420</v>
      </c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</row>
    <row r="246" spans="1:41">
      <c r="A246" s="39" t="s">
        <v>52</v>
      </c>
      <c r="B246" s="39" t="s">
        <v>234</v>
      </c>
      <c r="C246" s="39" t="s">
        <v>70</v>
      </c>
      <c r="D246" s="39" t="s">
        <v>55</v>
      </c>
      <c r="E246" s="40">
        <v>140</v>
      </c>
      <c r="F246" s="39"/>
      <c r="G246" s="41">
        <v>3</v>
      </c>
      <c r="H246" s="41">
        <v>0</v>
      </c>
      <c r="I246" s="40">
        <f t="shared" si="15"/>
        <v>0</v>
      </c>
      <c r="J246" s="40">
        <v>140</v>
      </c>
      <c r="K246" s="39"/>
      <c r="L246" s="41">
        <v>3</v>
      </c>
      <c r="M246" s="41">
        <v>0</v>
      </c>
      <c r="N246" s="40">
        <f t="shared" si="16"/>
        <v>0</v>
      </c>
      <c r="O246" s="40">
        <v>120</v>
      </c>
      <c r="P246" s="39"/>
      <c r="Q246" s="41">
        <v>3</v>
      </c>
      <c r="R246" s="41">
        <v>0</v>
      </c>
      <c r="S246" s="40">
        <f t="shared" si="17"/>
        <v>0</v>
      </c>
      <c r="T246" s="40">
        <v>140</v>
      </c>
      <c r="U246" s="41">
        <v>1</v>
      </c>
      <c r="V246" s="41">
        <v>3</v>
      </c>
      <c r="W246" s="41">
        <v>3</v>
      </c>
      <c r="X246" s="40">
        <f t="shared" si="18"/>
        <v>420</v>
      </c>
      <c r="Y246" s="40">
        <v>140</v>
      </c>
      <c r="Z246" s="39"/>
      <c r="AA246" s="41">
        <v>3</v>
      </c>
      <c r="AB246" s="41">
        <v>0</v>
      </c>
      <c r="AC246" s="40">
        <f t="shared" si="19"/>
        <v>0</v>
      </c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</row>
    <row r="247" spans="1:41">
      <c r="A247" s="39" t="s">
        <v>52</v>
      </c>
      <c r="B247" s="39" t="s">
        <v>235</v>
      </c>
      <c r="C247" s="39" t="s">
        <v>70</v>
      </c>
      <c r="D247" s="39" t="s">
        <v>13</v>
      </c>
      <c r="E247" s="40">
        <v>140</v>
      </c>
      <c r="F247" s="39"/>
      <c r="G247" s="41">
        <v>1</v>
      </c>
      <c r="H247" s="41">
        <v>0</v>
      </c>
      <c r="I247" s="40">
        <f t="shared" si="15"/>
        <v>0</v>
      </c>
      <c r="J247" s="40">
        <v>140</v>
      </c>
      <c r="K247" s="39"/>
      <c r="L247" s="41">
        <v>1</v>
      </c>
      <c r="M247" s="41">
        <v>0</v>
      </c>
      <c r="N247" s="40">
        <f t="shared" si="16"/>
        <v>0</v>
      </c>
      <c r="O247" s="40">
        <v>120</v>
      </c>
      <c r="P247" s="39"/>
      <c r="Q247" s="41">
        <v>1</v>
      </c>
      <c r="R247" s="41">
        <v>0</v>
      </c>
      <c r="S247" s="40">
        <f t="shared" si="17"/>
        <v>0</v>
      </c>
      <c r="T247" s="40">
        <v>140</v>
      </c>
      <c r="U247" s="39"/>
      <c r="V247" s="41">
        <v>1</v>
      </c>
      <c r="W247" s="41">
        <v>0</v>
      </c>
      <c r="X247" s="40">
        <f t="shared" si="18"/>
        <v>0</v>
      </c>
      <c r="Y247" s="40">
        <v>140</v>
      </c>
      <c r="Z247" s="41">
        <v>1</v>
      </c>
      <c r="AA247" s="41">
        <v>1</v>
      </c>
      <c r="AB247" s="41">
        <v>1</v>
      </c>
      <c r="AC247" s="40">
        <f t="shared" si="19"/>
        <v>140</v>
      </c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</row>
    <row r="248" spans="1:41">
      <c r="A248" s="33" t="s">
        <v>52</v>
      </c>
      <c r="B248" s="33" t="s">
        <v>236</v>
      </c>
      <c r="C248" s="33" t="s">
        <v>68</v>
      </c>
      <c r="D248" s="33" t="s">
        <v>13</v>
      </c>
      <c r="E248" s="34">
        <v>140</v>
      </c>
      <c r="F248" s="33"/>
      <c r="G248" s="35">
        <v>1</v>
      </c>
      <c r="H248" s="35">
        <v>0</v>
      </c>
      <c r="I248" s="34">
        <f t="shared" si="15"/>
        <v>0</v>
      </c>
      <c r="J248" s="34">
        <v>140</v>
      </c>
      <c r="K248" s="35">
        <v>1</v>
      </c>
      <c r="L248" s="35">
        <v>1</v>
      </c>
      <c r="M248" s="35">
        <v>1</v>
      </c>
      <c r="N248" s="34">
        <f t="shared" si="16"/>
        <v>140</v>
      </c>
      <c r="O248" s="34">
        <v>140</v>
      </c>
      <c r="P248" s="33"/>
      <c r="Q248" s="35">
        <v>1</v>
      </c>
      <c r="R248" s="35">
        <v>0</v>
      </c>
      <c r="S248" s="34">
        <f t="shared" si="17"/>
        <v>0</v>
      </c>
      <c r="T248" s="34">
        <v>140</v>
      </c>
      <c r="U248" s="33"/>
      <c r="V248" s="35">
        <v>1</v>
      </c>
      <c r="W248" s="35">
        <v>0</v>
      </c>
      <c r="X248" s="34">
        <f t="shared" si="18"/>
        <v>0</v>
      </c>
      <c r="Y248" s="34">
        <v>135</v>
      </c>
      <c r="Z248" s="33"/>
      <c r="AA248" s="35">
        <v>1</v>
      </c>
      <c r="AB248" s="35">
        <v>0</v>
      </c>
      <c r="AC248" s="34">
        <f t="shared" si="19"/>
        <v>0</v>
      </c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</row>
    <row r="249" spans="1:41">
      <c r="A249" s="36" t="s">
        <v>52</v>
      </c>
      <c r="B249" s="36" t="s">
        <v>237</v>
      </c>
      <c r="C249" s="36" t="s">
        <v>68</v>
      </c>
      <c r="D249" s="36" t="s">
        <v>13</v>
      </c>
      <c r="E249" s="37">
        <v>120</v>
      </c>
      <c r="F249" s="36"/>
      <c r="G249" s="38">
        <v>1</v>
      </c>
      <c r="H249" s="38">
        <v>0</v>
      </c>
      <c r="I249" s="37">
        <f t="shared" si="15"/>
        <v>0</v>
      </c>
      <c r="J249" s="37">
        <v>120</v>
      </c>
      <c r="K249" s="38">
        <v>1</v>
      </c>
      <c r="L249" s="38">
        <v>1</v>
      </c>
      <c r="M249" s="38">
        <v>1</v>
      </c>
      <c r="N249" s="37">
        <f t="shared" si="16"/>
        <v>120</v>
      </c>
      <c r="O249" s="37">
        <v>120</v>
      </c>
      <c r="P249" s="36"/>
      <c r="Q249" s="38">
        <v>1</v>
      </c>
      <c r="R249" s="38">
        <v>0</v>
      </c>
      <c r="S249" s="37">
        <f t="shared" si="17"/>
        <v>0</v>
      </c>
      <c r="T249" s="37">
        <v>120</v>
      </c>
      <c r="U249" s="36"/>
      <c r="V249" s="38">
        <v>1</v>
      </c>
      <c r="W249" s="38">
        <v>0</v>
      </c>
      <c r="X249" s="37">
        <f t="shared" si="18"/>
        <v>0</v>
      </c>
      <c r="Y249" s="37">
        <v>110</v>
      </c>
      <c r="Z249" s="36"/>
      <c r="AA249" s="38">
        <v>1</v>
      </c>
      <c r="AB249" s="38">
        <v>0</v>
      </c>
      <c r="AC249" s="37">
        <f t="shared" si="19"/>
        <v>0</v>
      </c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</row>
    <row r="250" spans="1:41">
      <c r="A250" s="36" t="s">
        <v>52</v>
      </c>
      <c r="B250" s="36" t="s">
        <v>238</v>
      </c>
      <c r="C250" s="36" t="s">
        <v>68</v>
      </c>
      <c r="D250" s="36" t="s">
        <v>13</v>
      </c>
      <c r="E250" s="37">
        <v>120</v>
      </c>
      <c r="F250" s="36"/>
      <c r="G250" s="38">
        <v>1</v>
      </c>
      <c r="H250" s="38">
        <v>0</v>
      </c>
      <c r="I250" s="37">
        <f t="shared" si="15"/>
        <v>0</v>
      </c>
      <c r="J250" s="37">
        <v>120</v>
      </c>
      <c r="K250" s="38">
        <v>1</v>
      </c>
      <c r="L250" s="38">
        <v>1</v>
      </c>
      <c r="M250" s="38">
        <v>1</v>
      </c>
      <c r="N250" s="37">
        <f t="shared" si="16"/>
        <v>120</v>
      </c>
      <c r="O250" s="37">
        <v>120</v>
      </c>
      <c r="P250" s="36"/>
      <c r="Q250" s="38">
        <v>1</v>
      </c>
      <c r="R250" s="38">
        <v>0</v>
      </c>
      <c r="S250" s="37">
        <f t="shared" si="17"/>
        <v>0</v>
      </c>
      <c r="T250" s="37">
        <v>120</v>
      </c>
      <c r="U250" s="36"/>
      <c r="V250" s="38">
        <v>1</v>
      </c>
      <c r="W250" s="38">
        <v>0</v>
      </c>
      <c r="X250" s="37">
        <f t="shared" si="18"/>
        <v>0</v>
      </c>
      <c r="Y250" s="37">
        <v>110</v>
      </c>
      <c r="Z250" s="36"/>
      <c r="AA250" s="38">
        <v>1</v>
      </c>
      <c r="AB250" s="38">
        <v>0</v>
      </c>
      <c r="AC250" s="37">
        <f t="shared" si="19"/>
        <v>0</v>
      </c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</row>
    <row r="251" spans="1:41">
      <c r="A251" s="36" t="s">
        <v>52</v>
      </c>
      <c r="B251" s="36" t="s">
        <v>239</v>
      </c>
      <c r="C251" s="36" t="s">
        <v>68</v>
      </c>
      <c r="D251" s="36" t="s">
        <v>13</v>
      </c>
      <c r="E251" s="37">
        <v>120</v>
      </c>
      <c r="F251" s="36"/>
      <c r="G251" s="38">
        <v>1</v>
      </c>
      <c r="H251" s="38">
        <v>0</v>
      </c>
      <c r="I251" s="37">
        <f t="shared" si="15"/>
        <v>0</v>
      </c>
      <c r="J251" s="37">
        <v>120</v>
      </c>
      <c r="K251" s="36"/>
      <c r="L251" s="38">
        <v>1</v>
      </c>
      <c r="M251" s="38">
        <v>0</v>
      </c>
      <c r="N251" s="37">
        <f t="shared" si="16"/>
        <v>0</v>
      </c>
      <c r="O251" s="37">
        <v>120</v>
      </c>
      <c r="P251" s="36"/>
      <c r="Q251" s="38">
        <v>1</v>
      </c>
      <c r="R251" s="38">
        <v>0</v>
      </c>
      <c r="S251" s="37">
        <f t="shared" si="17"/>
        <v>0</v>
      </c>
      <c r="T251" s="37">
        <v>120</v>
      </c>
      <c r="U251" s="36"/>
      <c r="V251" s="38">
        <v>1</v>
      </c>
      <c r="W251" s="38">
        <v>0</v>
      </c>
      <c r="X251" s="37">
        <f t="shared" si="18"/>
        <v>0</v>
      </c>
      <c r="Y251" s="37">
        <v>110</v>
      </c>
      <c r="Z251" s="38">
        <v>1</v>
      </c>
      <c r="AA251" s="38">
        <v>1</v>
      </c>
      <c r="AB251" s="38">
        <v>1</v>
      </c>
      <c r="AC251" s="37">
        <f t="shared" si="19"/>
        <v>110</v>
      </c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</row>
    <row r="252" spans="1:41">
      <c r="A252" s="36" t="s">
        <v>52</v>
      </c>
      <c r="B252" s="36" t="s">
        <v>240</v>
      </c>
      <c r="C252" s="36" t="s">
        <v>68</v>
      </c>
      <c r="D252" s="36" t="s">
        <v>13</v>
      </c>
      <c r="E252" s="37">
        <v>120</v>
      </c>
      <c r="F252" s="36"/>
      <c r="G252" s="38">
        <v>1</v>
      </c>
      <c r="H252" s="38">
        <v>0</v>
      </c>
      <c r="I252" s="37">
        <f t="shared" si="15"/>
        <v>0</v>
      </c>
      <c r="J252" s="37">
        <v>120</v>
      </c>
      <c r="K252" s="38">
        <v>1</v>
      </c>
      <c r="L252" s="38">
        <v>1</v>
      </c>
      <c r="M252" s="38">
        <v>1</v>
      </c>
      <c r="N252" s="37">
        <f t="shared" si="16"/>
        <v>120</v>
      </c>
      <c r="O252" s="37">
        <v>120</v>
      </c>
      <c r="P252" s="36"/>
      <c r="Q252" s="38">
        <v>1</v>
      </c>
      <c r="R252" s="38">
        <v>0</v>
      </c>
      <c r="S252" s="37">
        <f t="shared" si="17"/>
        <v>0</v>
      </c>
      <c r="T252" s="37">
        <v>120</v>
      </c>
      <c r="U252" s="36"/>
      <c r="V252" s="38">
        <v>1</v>
      </c>
      <c r="W252" s="38">
        <v>0</v>
      </c>
      <c r="X252" s="37">
        <f t="shared" si="18"/>
        <v>0</v>
      </c>
      <c r="Y252" s="37">
        <v>110</v>
      </c>
      <c r="Z252" s="36"/>
      <c r="AA252" s="38">
        <v>1</v>
      </c>
      <c r="AB252" s="38">
        <v>0</v>
      </c>
      <c r="AC252" s="37">
        <f t="shared" si="19"/>
        <v>0</v>
      </c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</row>
    <row r="253" spans="1:41">
      <c r="A253" s="36" t="s">
        <v>52</v>
      </c>
      <c r="B253" s="36" t="s">
        <v>241</v>
      </c>
      <c r="C253" s="36" t="s">
        <v>68</v>
      </c>
      <c r="D253" s="36" t="s">
        <v>13</v>
      </c>
      <c r="E253" s="37">
        <v>120</v>
      </c>
      <c r="F253" s="36"/>
      <c r="G253" s="38">
        <v>1</v>
      </c>
      <c r="H253" s="38">
        <v>0</v>
      </c>
      <c r="I253" s="37">
        <f t="shared" si="15"/>
        <v>0</v>
      </c>
      <c r="J253" s="37">
        <v>120</v>
      </c>
      <c r="K253" s="38">
        <v>1</v>
      </c>
      <c r="L253" s="38">
        <v>1</v>
      </c>
      <c r="M253" s="38">
        <v>1</v>
      </c>
      <c r="N253" s="37">
        <f t="shared" si="16"/>
        <v>120</v>
      </c>
      <c r="O253" s="37">
        <v>120</v>
      </c>
      <c r="P253" s="36"/>
      <c r="Q253" s="38">
        <v>1</v>
      </c>
      <c r="R253" s="38">
        <v>0</v>
      </c>
      <c r="S253" s="37">
        <f t="shared" si="17"/>
        <v>0</v>
      </c>
      <c r="T253" s="37">
        <v>120</v>
      </c>
      <c r="U253" s="36"/>
      <c r="V253" s="38">
        <v>1</v>
      </c>
      <c r="W253" s="38">
        <v>0</v>
      </c>
      <c r="X253" s="37">
        <f t="shared" si="18"/>
        <v>0</v>
      </c>
      <c r="Y253" s="37">
        <v>110</v>
      </c>
      <c r="Z253" s="36"/>
      <c r="AA253" s="38">
        <v>1</v>
      </c>
      <c r="AB253" s="38">
        <v>0</v>
      </c>
      <c r="AC253" s="37">
        <f t="shared" si="19"/>
        <v>0</v>
      </c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</row>
    <row r="254" spans="1:41">
      <c r="A254" s="36" t="s">
        <v>52</v>
      </c>
      <c r="B254" s="36" t="s">
        <v>242</v>
      </c>
      <c r="C254" s="36" t="s">
        <v>68</v>
      </c>
      <c r="D254" s="36" t="s">
        <v>13</v>
      </c>
      <c r="E254" s="37">
        <v>120</v>
      </c>
      <c r="F254" s="36"/>
      <c r="G254" s="38">
        <v>1</v>
      </c>
      <c r="H254" s="38">
        <v>0</v>
      </c>
      <c r="I254" s="37">
        <f t="shared" si="15"/>
        <v>0</v>
      </c>
      <c r="J254" s="37">
        <v>120</v>
      </c>
      <c r="K254" s="38">
        <v>2</v>
      </c>
      <c r="L254" s="38">
        <v>1</v>
      </c>
      <c r="M254" s="38">
        <v>2</v>
      </c>
      <c r="N254" s="37">
        <f t="shared" si="16"/>
        <v>240</v>
      </c>
      <c r="O254" s="37">
        <v>120</v>
      </c>
      <c r="P254" s="36"/>
      <c r="Q254" s="38">
        <v>1</v>
      </c>
      <c r="R254" s="38">
        <v>0</v>
      </c>
      <c r="S254" s="37">
        <f t="shared" si="17"/>
        <v>0</v>
      </c>
      <c r="T254" s="37">
        <v>120</v>
      </c>
      <c r="U254" s="36"/>
      <c r="V254" s="38">
        <v>1</v>
      </c>
      <c r="W254" s="38">
        <v>0</v>
      </c>
      <c r="X254" s="37">
        <f t="shared" si="18"/>
        <v>0</v>
      </c>
      <c r="Y254" s="37">
        <v>110</v>
      </c>
      <c r="Z254" s="36"/>
      <c r="AA254" s="38">
        <v>1</v>
      </c>
      <c r="AB254" s="38">
        <v>0</v>
      </c>
      <c r="AC254" s="37">
        <f t="shared" si="19"/>
        <v>0</v>
      </c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</row>
    <row r="255" spans="1:41">
      <c r="A255" s="36" t="s">
        <v>52</v>
      </c>
      <c r="B255" s="36" t="s">
        <v>243</v>
      </c>
      <c r="C255" s="36" t="s">
        <v>68</v>
      </c>
      <c r="D255" s="36" t="s">
        <v>13</v>
      </c>
      <c r="E255" s="37">
        <v>120</v>
      </c>
      <c r="F255" s="36"/>
      <c r="G255" s="38">
        <v>1</v>
      </c>
      <c r="H255" s="38">
        <v>0</v>
      </c>
      <c r="I255" s="37">
        <f t="shared" si="15"/>
        <v>0</v>
      </c>
      <c r="J255" s="37">
        <v>120</v>
      </c>
      <c r="K255" s="38">
        <v>2</v>
      </c>
      <c r="L255" s="38">
        <v>1</v>
      </c>
      <c r="M255" s="38">
        <v>2</v>
      </c>
      <c r="N255" s="37">
        <f t="shared" si="16"/>
        <v>240</v>
      </c>
      <c r="O255" s="37">
        <v>120</v>
      </c>
      <c r="P255" s="36"/>
      <c r="Q255" s="38">
        <v>1</v>
      </c>
      <c r="R255" s="38">
        <v>0</v>
      </c>
      <c r="S255" s="37">
        <f t="shared" si="17"/>
        <v>0</v>
      </c>
      <c r="T255" s="37">
        <v>120</v>
      </c>
      <c r="U255" s="38">
        <v>1</v>
      </c>
      <c r="V255" s="38">
        <v>1</v>
      </c>
      <c r="W255" s="38">
        <v>1</v>
      </c>
      <c r="X255" s="37">
        <f t="shared" si="18"/>
        <v>120</v>
      </c>
      <c r="Y255" s="37">
        <v>110</v>
      </c>
      <c r="Z255" s="36"/>
      <c r="AA255" s="38">
        <v>1</v>
      </c>
      <c r="AB255" s="38">
        <v>0</v>
      </c>
      <c r="AC255" s="37">
        <f t="shared" si="19"/>
        <v>0</v>
      </c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</row>
    <row r="256" spans="1:41">
      <c r="A256" s="36" t="s">
        <v>52</v>
      </c>
      <c r="B256" s="36" t="s">
        <v>244</v>
      </c>
      <c r="C256" s="36" t="s">
        <v>68</v>
      </c>
      <c r="D256" s="36" t="s">
        <v>13</v>
      </c>
      <c r="E256" s="37">
        <v>120</v>
      </c>
      <c r="F256" s="36"/>
      <c r="G256" s="38">
        <v>1</v>
      </c>
      <c r="H256" s="38">
        <v>0</v>
      </c>
      <c r="I256" s="37">
        <f t="shared" si="15"/>
        <v>0</v>
      </c>
      <c r="J256" s="37">
        <v>120</v>
      </c>
      <c r="K256" s="36"/>
      <c r="L256" s="38">
        <v>1</v>
      </c>
      <c r="M256" s="38">
        <v>0</v>
      </c>
      <c r="N256" s="37">
        <f t="shared" si="16"/>
        <v>0</v>
      </c>
      <c r="O256" s="37">
        <v>120</v>
      </c>
      <c r="P256" s="36"/>
      <c r="Q256" s="38">
        <v>1</v>
      </c>
      <c r="R256" s="38">
        <v>0</v>
      </c>
      <c r="S256" s="37">
        <f t="shared" si="17"/>
        <v>0</v>
      </c>
      <c r="T256" s="37">
        <v>120</v>
      </c>
      <c r="U256" s="36"/>
      <c r="V256" s="38">
        <v>1</v>
      </c>
      <c r="W256" s="38">
        <v>0</v>
      </c>
      <c r="X256" s="37">
        <f t="shared" si="18"/>
        <v>0</v>
      </c>
      <c r="Y256" s="37">
        <v>110</v>
      </c>
      <c r="Z256" s="38">
        <v>1</v>
      </c>
      <c r="AA256" s="38">
        <v>1</v>
      </c>
      <c r="AB256" s="38">
        <v>1</v>
      </c>
      <c r="AC256" s="37">
        <f t="shared" si="19"/>
        <v>110</v>
      </c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</row>
    <row r="257" spans="1:41">
      <c r="A257" s="36" t="s">
        <v>52</v>
      </c>
      <c r="B257" s="36" t="s">
        <v>245</v>
      </c>
      <c r="C257" s="36" t="s">
        <v>68</v>
      </c>
      <c r="D257" s="36" t="s">
        <v>13</v>
      </c>
      <c r="E257" s="37">
        <v>120</v>
      </c>
      <c r="F257" s="36"/>
      <c r="G257" s="38">
        <v>1</v>
      </c>
      <c r="H257" s="38">
        <v>0</v>
      </c>
      <c r="I257" s="37">
        <f t="shared" si="15"/>
        <v>0</v>
      </c>
      <c r="J257" s="37">
        <v>120</v>
      </c>
      <c r="K257" s="38">
        <v>1</v>
      </c>
      <c r="L257" s="38">
        <v>1</v>
      </c>
      <c r="M257" s="38">
        <v>1</v>
      </c>
      <c r="N257" s="37">
        <f t="shared" si="16"/>
        <v>120</v>
      </c>
      <c r="O257" s="37">
        <v>120</v>
      </c>
      <c r="P257" s="36"/>
      <c r="Q257" s="38">
        <v>1</v>
      </c>
      <c r="R257" s="38">
        <v>0</v>
      </c>
      <c r="S257" s="37">
        <f t="shared" si="17"/>
        <v>0</v>
      </c>
      <c r="T257" s="37">
        <v>120</v>
      </c>
      <c r="U257" s="36"/>
      <c r="V257" s="38">
        <v>1</v>
      </c>
      <c r="W257" s="38">
        <v>0</v>
      </c>
      <c r="X257" s="37">
        <f t="shared" si="18"/>
        <v>0</v>
      </c>
      <c r="Y257" s="37">
        <v>110</v>
      </c>
      <c r="Z257" s="36"/>
      <c r="AA257" s="38">
        <v>1</v>
      </c>
      <c r="AB257" s="38">
        <v>0</v>
      </c>
      <c r="AC257" s="37">
        <f t="shared" si="19"/>
        <v>0</v>
      </c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</row>
    <row r="258" spans="1:41">
      <c r="A258" s="36" t="s">
        <v>52</v>
      </c>
      <c r="B258" s="36" t="s">
        <v>246</v>
      </c>
      <c r="C258" s="36" t="s">
        <v>68</v>
      </c>
      <c r="D258" s="36" t="s">
        <v>13</v>
      </c>
      <c r="E258" s="37">
        <v>120</v>
      </c>
      <c r="F258" s="36"/>
      <c r="G258" s="38">
        <v>1</v>
      </c>
      <c r="H258" s="38">
        <v>0</v>
      </c>
      <c r="I258" s="37">
        <f t="shared" si="15"/>
        <v>0</v>
      </c>
      <c r="J258" s="37">
        <v>120</v>
      </c>
      <c r="K258" s="38">
        <v>2</v>
      </c>
      <c r="L258" s="38">
        <v>1</v>
      </c>
      <c r="M258" s="38">
        <v>2</v>
      </c>
      <c r="N258" s="37">
        <f t="shared" si="16"/>
        <v>240</v>
      </c>
      <c r="O258" s="37">
        <v>120</v>
      </c>
      <c r="P258" s="36"/>
      <c r="Q258" s="38">
        <v>1</v>
      </c>
      <c r="R258" s="38">
        <v>0</v>
      </c>
      <c r="S258" s="37">
        <f t="shared" si="17"/>
        <v>0</v>
      </c>
      <c r="T258" s="37">
        <v>120</v>
      </c>
      <c r="U258" s="36"/>
      <c r="V258" s="38">
        <v>1</v>
      </c>
      <c r="W258" s="38">
        <v>0</v>
      </c>
      <c r="X258" s="37">
        <f t="shared" si="18"/>
        <v>0</v>
      </c>
      <c r="Y258" s="37">
        <v>110</v>
      </c>
      <c r="Z258" s="36"/>
      <c r="AA258" s="38">
        <v>1</v>
      </c>
      <c r="AB258" s="38">
        <v>0</v>
      </c>
      <c r="AC258" s="37">
        <f t="shared" si="19"/>
        <v>0</v>
      </c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</row>
    <row r="259" spans="1:41">
      <c r="A259" s="36" t="s">
        <v>52</v>
      </c>
      <c r="B259" s="36" t="s">
        <v>247</v>
      </c>
      <c r="C259" s="36" t="s">
        <v>68</v>
      </c>
      <c r="D259" s="36" t="s">
        <v>13</v>
      </c>
      <c r="E259" s="37">
        <v>120</v>
      </c>
      <c r="F259" s="36"/>
      <c r="G259" s="38">
        <v>1</v>
      </c>
      <c r="H259" s="38">
        <v>0</v>
      </c>
      <c r="I259" s="37">
        <f t="shared" ref="I259:I322" si="20">E259*H259</f>
        <v>0</v>
      </c>
      <c r="J259" s="37">
        <v>120</v>
      </c>
      <c r="K259" s="38">
        <v>1</v>
      </c>
      <c r="L259" s="38">
        <v>1</v>
      </c>
      <c r="M259" s="38">
        <v>1</v>
      </c>
      <c r="N259" s="37">
        <f t="shared" ref="N259:N322" si="21">J259*M259</f>
        <v>120</v>
      </c>
      <c r="O259" s="37">
        <v>120</v>
      </c>
      <c r="P259" s="36"/>
      <c r="Q259" s="38">
        <v>1</v>
      </c>
      <c r="R259" s="38">
        <v>0</v>
      </c>
      <c r="S259" s="37">
        <f t="shared" ref="S259:S322" si="22">O259*R259</f>
        <v>0</v>
      </c>
      <c r="T259" s="37">
        <v>120</v>
      </c>
      <c r="U259" s="36"/>
      <c r="V259" s="38">
        <v>1</v>
      </c>
      <c r="W259" s="38">
        <v>0</v>
      </c>
      <c r="X259" s="37">
        <f t="shared" ref="X259:X322" si="23">T259*W259</f>
        <v>0</v>
      </c>
      <c r="Y259" s="37">
        <v>110</v>
      </c>
      <c r="Z259" s="36"/>
      <c r="AA259" s="38">
        <v>1</v>
      </c>
      <c r="AB259" s="38">
        <v>0</v>
      </c>
      <c r="AC259" s="37">
        <f t="shared" ref="AC259:AC322" si="24">Y259*AB259</f>
        <v>0</v>
      </c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</row>
    <row r="260" spans="1:41">
      <c r="A260" s="24" t="s">
        <v>52</v>
      </c>
      <c r="B260" s="24" t="s">
        <v>248</v>
      </c>
      <c r="C260" s="24" t="s">
        <v>68</v>
      </c>
      <c r="D260" s="24" t="s">
        <v>13</v>
      </c>
      <c r="E260" s="25">
        <v>120</v>
      </c>
      <c r="F260" s="24"/>
      <c r="G260" s="26">
        <v>1</v>
      </c>
      <c r="H260" s="26">
        <v>0</v>
      </c>
      <c r="I260" s="25">
        <f t="shared" si="20"/>
        <v>0</v>
      </c>
      <c r="J260" s="25">
        <v>120</v>
      </c>
      <c r="K260" s="26">
        <v>1</v>
      </c>
      <c r="L260" s="26">
        <v>1</v>
      </c>
      <c r="M260" s="26">
        <v>1</v>
      </c>
      <c r="N260" s="25">
        <f t="shared" si="21"/>
        <v>120</v>
      </c>
      <c r="O260" s="25">
        <v>120</v>
      </c>
      <c r="P260" s="24"/>
      <c r="Q260" s="26">
        <v>1</v>
      </c>
      <c r="R260" s="26">
        <v>0</v>
      </c>
      <c r="S260" s="25">
        <f t="shared" si="22"/>
        <v>0</v>
      </c>
      <c r="T260" s="25">
        <v>120</v>
      </c>
      <c r="U260" s="24"/>
      <c r="V260" s="26">
        <v>1</v>
      </c>
      <c r="W260" s="26">
        <v>0</v>
      </c>
      <c r="X260" s="25">
        <f t="shared" si="23"/>
        <v>0</v>
      </c>
      <c r="Y260" s="25">
        <v>110</v>
      </c>
      <c r="Z260" s="24"/>
      <c r="AA260" s="26">
        <v>1</v>
      </c>
      <c r="AB260" s="26">
        <v>0</v>
      </c>
      <c r="AC260" s="25">
        <f t="shared" si="24"/>
        <v>0</v>
      </c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</row>
    <row r="261" spans="1:41">
      <c r="A261" s="24" t="s">
        <v>52</v>
      </c>
      <c r="B261" s="24" t="s">
        <v>249</v>
      </c>
      <c r="C261" s="24" t="s">
        <v>68</v>
      </c>
      <c r="D261" s="24" t="s">
        <v>13</v>
      </c>
      <c r="E261" s="25">
        <v>120</v>
      </c>
      <c r="F261" s="24"/>
      <c r="G261" s="26">
        <v>1</v>
      </c>
      <c r="H261" s="26">
        <v>0</v>
      </c>
      <c r="I261" s="25">
        <f t="shared" si="20"/>
        <v>0</v>
      </c>
      <c r="J261" s="25">
        <v>120</v>
      </c>
      <c r="K261" s="26">
        <v>1</v>
      </c>
      <c r="L261" s="26">
        <v>1</v>
      </c>
      <c r="M261" s="26">
        <v>1</v>
      </c>
      <c r="N261" s="25">
        <f t="shared" si="21"/>
        <v>120</v>
      </c>
      <c r="O261" s="25">
        <v>120</v>
      </c>
      <c r="P261" s="24"/>
      <c r="Q261" s="26">
        <v>1</v>
      </c>
      <c r="R261" s="26">
        <v>0</v>
      </c>
      <c r="S261" s="25">
        <f t="shared" si="22"/>
        <v>0</v>
      </c>
      <c r="T261" s="25">
        <v>120</v>
      </c>
      <c r="U261" s="24"/>
      <c r="V261" s="26">
        <v>1</v>
      </c>
      <c r="W261" s="26">
        <v>0</v>
      </c>
      <c r="X261" s="25">
        <f t="shared" si="23"/>
        <v>0</v>
      </c>
      <c r="Y261" s="25">
        <v>110</v>
      </c>
      <c r="Z261" s="24"/>
      <c r="AA261" s="26">
        <v>1</v>
      </c>
      <c r="AB261" s="26">
        <v>0</v>
      </c>
      <c r="AC261" s="25">
        <f t="shared" si="24"/>
        <v>0</v>
      </c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</row>
    <row r="262" spans="1:41">
      <c r="A262" s="24" t="s">
        <v>52</v>
      </c>
      <c r="B262" s="24" t="s">
        <v>250</v>
      </c>
      <c r="C262" s="24" t="s">
        <v>68</v>
      </c>
      <c r="D262" s="24" t="s">
        <v>13</v>
      </c>
      <c r="E262" s="25">
        <v>120</v>
      </c>
      <c r="F262" s="24"/>
      <c r="G262" s="26">
        <v>1</v>
      </c>
      <c r="H262" s="26">
        <v>0</v>
      </c>
      <c r="I262" s="25">
        <f t="shared" si="20"/>
        <v>0</v>
      </c>
      <c r="J262" s="25">
        <v>120</v>
      </c>
      <c r="K262" s="26">
        <v>1</v>
      </c>
      <c r="L262" s="26">
        <v>1</v>
      </c>
      <c r="M262" s="26">
        <v>1</v>
      </c>
      <c r="N262" s="25">
        <f t="shared" si="21"/>
        <v>120</v>
      </c>
      <c r="O262" s="25">
        <v>120</v>
      </c>
      <c r="P262" s="24"/>
      <c r="Q262" s="26">
        <v>1</v>
      </c>
      <c r="R262" s="26">
        <v>0</v>
      </c>
      <c r="S262" s="25">
        <f t="shared" si="22"/>
        <v>0</v>
      </c>
      <c r="T262" s="25">
        <v>120</v>
      </c>
      <c r="U262" s="24"/>
      <c r="V262" s="26">
        <v>1</v>
      </c>
      <c r="W262" s="26">
        <v>0</v>
      </c>
      <c r="X262" s="25">
        <f t="shared" si="23"/>
        <v>0</v>
      </c>
      <c r="Y262" s="25">
        <v>110</v>
      </c>
      <c r="Z262" s="24"/>
      <c r="AA262" s="26">
        <v>1</v>
      </c>
      <c r="AB262" s="26">
        <v>0</v>
      </c>
      <c r="AC262" s="25">
        <f t="shared" si="24"/>
        <v>0</v>
      </c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</row>
    <row r="263" spans="1:41">
      <c r="A263" s="33" t="s">
        <v>52</v>
      </c>
      <c r="B263" s="33" t="s">
        <v>251</v>
      </c>
      <c r="C263" s="33" t="s">
        <v>68</v>
      </c>
      <c r="D263" s="33" t="s">
        <v>13</v>
      </c>
      <c r="E263" s="34">
        <v>140</v>
      </c>
      <c r="F263" s="33"/>
      <c r="G263" s="35">
        <v>1</v>
      </c>
      <c r="H263" s="35">
        <v>0</v>
      </c>
      <c r="I263" s="34">
        <f t="shared" si="20"/>
        <v>0</v>
      </c>
      <c r="J263" s="34">
        <v>140</v>
      </c>
      <c r="K263" s="35">
        <v>1</v>
      </c>
      <c r="L263" s="35">
        <v>1</v>
      </c>
      <c r="M263" s="35">
        <v>1</v>
      </c>
      <c r="N263" s="34">
        <f t="shared" si="21"/>
        <v>140</v>
      </c>
      <c r="O263" s="34">
        <v>140</v>
      </c>
      <c r="P263" s="33"/>
      <c r="Q263" s="35">
        <v>1</v>
      </c>
      <c r="R263" s="35">
        <v>0</v>
      </c>
      <c r="S263" s="34">
        <f t="shared" si="22"/>
        <v>0</v>
      </c>
      <c r="T263" s="34">
        <v>140</v>
      </c>
      <c r="U263" s="33"/>
      <c r="V263" s="35">
        <v>1</v>
      </c>
      <c r="W263" s="35">
        <v>0</v>
      </c>
      <c r="X263" s="34">
        <f t="shared" si="23"/>
        <v>0</v>
      </c>
      <c r="Y263" s="34">
        <v>135</v>
      </c>
      <c r="Z263" s="33"/>
      <c r="AA263" s="35">
        <v>1</v>
      </c>
      <c r="AB263" s="35">
        <v>0</v>
      </c>
      <c r="AC263" s="34">
        <f t="shared" si="24"/>
        <v>0</v>
      </c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</row>
    <row r="264" spans="1:41">
      <c r="A264" s="33" t="s">
        <v>52</v>
      </c>
      <c r="B264" s="33" t="s">
        <v>252</v>
      </c>
      <c r="C264" s="33" t="s">
        <v>68</v>
      </c>
      <c r="D264" s="33" t="s">
        <v>13</v>
      </c>
      <c r="E264" s="34">
        <v>140</v>
      </c>
      <c r="F264" s="33"/>
      <c r="G264" s="35">
        <v>1</v>
      </c>
      <c r="H264" s="35">
        <v>0</v>
      </c>
      <c r="I264" s="34">
        <f t="shared" si="20"/>
        <v>0</v>
      </c>
      <c r="J264" s="34">
        <v>140</v>
      </c>
      <c r="K264" s="35">
        <v>1</v>
      </c>
      <c r="L264" s="35">
        <v>1</v>
      </c>
      <c r="M264" s="35">
        <v>1</v>
      </c>
      <c r="N264" s="34">
        <f t="shared" si="21"/>
        <v>140</v>
      </c>
      <c r="O264" s="34">
        <v>140</v>
      </c>
      <c r="P264" s="33"/>
      <c r="Q264" s="35">
        <v>1</v>
      </c>
      <c r="R264" s="35">
        <v>0</v>
      </c>
      <c r="S264" s="34">
        <f t="shared" si="22"/>
        <v>0</v>
      </c>
      <c r="T264" s="34">
        <v>140</v>
      </c>
      <c r="U264" s="33"/>
      <c r="V264" s="35">
        <v>1</v>
      </c>
      <c r="W264" s="35">
        <v>0</v>
      </c>
      <c r="X264" s="34">
        <f t="shared" si="23"/>
        <v>0</v>
      </c>
      <c r="Y264" s="34">
        <v>135</v>
      </c>
      <c r="Z264" s="33"/>
      <c r="AA264" s="35">
        <v>1</v>
      </c>
      <c r="AB264" s="35">
        <v>0</v>
      </c>
      <c r="AC264" s="34">
        <f t="shared" si="24"/>
        <v>0</v>
      </c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</row>
    <row r="265" spans="1:41">
      <c r="A265" s="24" t="s">
        <v>52</v>
      </c>
      <c r="B265" s="24" t="s">
        <v>253</v>
      </c>
      <c r="C265" s="24" t="s">
        <v>68</v>
      </c>
      <c r="D265" s="24" t="s">
        <v>13</v>
      </c>
      <c r="E265" s="25">
        <v>120</v>
      </c>
      <c r="F265" s="24"/>
      <c r="G265" s="26">
        <v>1</v>
      </c>
      <c r="H265" s="26">
        <v>0</v>
      </c>
      <c r="I265" s="25">
        <f t="shared" si="20"/>
        <v>0</v>
      </c>
      <c r="J265" s="25">
        <v>120</v>
      </c>
      <c r="K265" s="26">
        <v>1</v>
      </c>
      <c r="L265" s="26">
        <v>1</v>
      </c>
      <c r="M265" s="26">
        <v>1</v>
      </c>
      <c r="N265" s="25">
        <f t="shared" si="21"/>
        <v>120</v>
      </c>
      <c r="O265" s="25">
        <v>120</v>
      </c>
      <c r="P265" s="24"/>
      <c r="Q265" s="26">
        <v>1</v>
      </c>
      <c r="R265" s="26">
        <v>0</v>
      </c>
      <c r="S265" s="25">
        <f t="shared" si="22"/>
        <v>0</v>
      </c>
      <c r="T265" s="25">
        <v>120</v>
      </c>
      <c r="U265" s="24"/>
      <c r="V265" s="26">
        <v>1</v>
      </c>
      <c r="W265" s="26">
        <v>0</v>
      </c>
      <c r="X265" s="25">
        <f t="shared" si="23"/>
        <v>0</v>
      </c>
      <c r="Y265" s="25">
        <v>110</v>
      </c>
      <c r="Z265" s="24"/>
      <c r="AA265" s="26">
        <v>1</v>
      </c>
      <c r="AB265" s="26">
        <v>0</v>
      </c>
      <c r="AC265" s="25">
        <f t="shared" si="24"/>
        <v>0</v>
      </c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</row>
    <row r="266" spans="1:41">
      <c r="A266" s="24" t="s">
        <v>52</v>
      </c>
      <c r="B266" s="24" t="s">
        <v>254</v>
      </c>
      <c r="C266" s="24" t="s">
        <v>68</v>
      </c>
      <c r="D266" s="24" t="s">
        <v>13</v>
      </c>
      <c r="E266" s="25">
        <v>120</v>
      </c>
      <c r="F266" s="24"/>
      <c r="G266" s="26">
        <v>1</v>
      </c>
      <c r="H266" s="26">
        <v>0</v>
      </c>
      <c r="I266" s="25">
        <f t="shared" si="20"/>
        <v>0</v>
      </c>
      <c r="J266" s="25">
        <v>120</v>
      </c>
      <c r="K266" s="24"/>
      <c r="L266" s="26">
        <v>1</v>
      </c>
      <c r="M266" s="26">
        <v>0</v>
      </c>
      <c r="N266" s="25">
        <f t="shared" si="21"/>
        <v>0</v>
      </c>
      <c r="O266" s="25">
        <v>120</v>
      </c>
      <c r="P266" s="24"/>
      <c r="Q266" s="26">
        <v>1</v>
      </c>
      <c r="R266" s="26">
        <v>0</v>
      </c>
      <c r="S266" s="25">
        <f t="shared" si="22"/>
        <v>0</v>
      </c>
      <c r="T266" s="25">
        <v>120</v>
      </c>
      <c r="U266" s="24"/>
      <c r="V266" s="26">
        <v>1</v>
      </c>
      <c r="W266" s="26">
        <v>0</v>
      </c>
      <c r="X266" s="25">
        <f t="shared" si="23"/>
        <v>0</v>
      </c>
      <c r="Y266" s="25">
        <v>110</v>
      </c>
      <c r="Z266" s="26">
        <v>1</v>
      </c>
      <c r="AA266" s="26">
        <v>1</v>
      </c>
      <c r="AB266" s="26">
        <v>1</v>
      </c>
      <c r="AC266" s="25">
        <f t="shared" si="24"/>
        <v>110</v>
      </c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</row>
    <row r="267" spans="1:41">
      <c r="A267" s="24" t="s">
        <v>52</v>
      </c>
      <c r="B267" s="24" t="s">
        <v>255</v>
      </c>
      <c r="C267" s="24" t="s">
        <v>68</v>
      </c>
      <c r="D267" s="24" t="s">
        <v>13</v>
      </c>
      <c r="E267" s="25">
        <v>120</v>
      </c>
      <c r="F267" s="24"/>
      <c r="G267" s="26">
        <v>1</v>
      </c>
      <c r="H267" s="26">
        <v>0</v>
      </c>
      <c r="I267" s="25">
        <f t="shared" si="20"/>
        <v>0</v>
      </c>
      <c r="J267" s="25">
        <v>120</v>
      </c>
      <c r="K267" s="26">
        <v>1</v>
      </c>
      <c r="L267" s="26">
        <v>1</v>
      </c>
      <c r="M267" s="26">
        <v>1</v>
      </c>
      <c r="N267" s="25">
        <f t="shared" si="21"/>
        <v>120</v>
      </c>
      <c r="O267" s="25">
        <v>120</v>
      </c>
      <c r="P267" s="24"/>
      <c r="Q267" s="26">
        <v>1</v>
      </c>
      <c r="R267" s="26">
        <v>0</v>
      </c>
      <c r="S267" s="25">
        <f t="shared" si="22"/>
        <v>0</v>
      </c>
      <c r="T267" s="25">
        <v>120</v>
      </c>
      <c r="U267" s="24"/>
      <c r="V267" s="26">
        <v>1</v>
      </c>
      <c r="W267" s="26">
        <v>0</v>
      </c>
      <c r="X267" s="25">
        <f t="shared" si="23"/>
        <v>0</v>
      </c>
      <c r="Y267" s="25">
        <v>110</v>
      </c>
      <c r="Z267" s="24"/>
      <c r="AA267" s="26">
        <v>1</v>
      </c>
      <c r="AB267" s="26">
        <v>0</v>
      </c>
      <c r="AC267" s="25">
        <f t="shared" si="24"/>
        <v>0</v>
      </c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</row>
    <row r="268" spans="1:41">
      <c r="A268" s="24" t="s">
        <v>52</v>
      </c>
      <c r="B268" s="24" t="s">
        <v>256</v>
      </c>
      <c r="C268" s="24" t="s">
        <v>68</v>
      </c>
      <c r="D268" s="24" t="s">
        <v>13</v>
      </c>
      <c r="E268" s="25">
        <v>120</v>
      </c>
      <c r="F268" s="24"/>
      <c r="G268" s="26">
        <v>1</v>
      </c>
      <c r="H268" s="26">
        <v>0</v>
      </c>
      <c r="I268" s="25">
        <f t="shared" si="20"/>
        <v>0</v>
      </c>
      <c r="J268" s="25">
        <v>120</v>
      </c>
      <c r="K268" s="26">
        <v>1</v>
      </c>
      <c r="L268" s="26">
        <v>1</v>
      </c>
      <c r="M268" s="26">
        <v>1</v>
      </c>
      <c r="N268" s="25">
        <f t="shared" si="21"/>
        <v>120</v>
      </c>
      <c r="O268" s="25">
        <v>120</v>
      </c>
      <c r="P268" s="24"/>
      <c r="Q268" s="26">
        <v>1</v>
      </c>
      <c r="R268" s="26">
        <v>0</v>
      </c>
      <c r="S268" s="25">
        <f t="shared" si="22"/>
        <v>0</v>
      </c>
      <c r="T268" s="25">
        <v>120</v>
      </c>
      <c r="U268" s="24"/>
      <c r="V268" s="26">
        <v>1</v>
      </c>
      <c r="W268" s="26">
        <v>0</v>
      </c>
      <c r="X268" s="25">
        <f t="shared" si="23"/>
        <v>0</v>
      </c>
      <c r="Y268" s="25">
        <v>110</v>
      </c>
      <c r="Z268" s="24"/>
      <c r="AA268" s="26">
        <v>1</v>
      </c>
      <c r="AB268" s="26">
        <v>0</v>
      </c>
      <c r="AC268" s="25">
        <f t="shared" si="24"/>
        <v>0</v>
      </c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</row>
    <row r="269" spans="1:41">
      <c r="A269" s="24" t="s">
        <v>52</v>
      </c>
      <c r="B269" s="24" t="s">
        <v>257</v>
      </c>
      <c r="C269" s="24" t="s">
        <v>68</v>
      </c>
      <c r="D269" s="24" t="s">
        <v>29</v>
      </c>
      <c r="E269" s="25">
        <v>120</v>
      </c>
      <c r="F269" s="24"/>
      <c r="G269" s="26">
        <v>2</v>
      </c>
      <c r="H269" s="26">
        <v>0</v>
      </c>
      <c r="I269" s="25">
        <f t="shared" si="20"/>
        <v>0</v>
      </c>
      <c r="J269" s="25">
        <v>120</v>
      </c>
      <c r="K269" s="26">
        <v>1</v>
      </c>
      <c r="L269" s="26">
        <v>2</v>
      </c>
      <c r="M269" s="26">
        <v>2</v>
      </c>
      <c r="N269" s="25">
        <f t="shared" si="21"/>
        <v>240</v>
      </c>
      <c r="O269" s="25">
        <v>120</v>
      </c>
      <c r="P269" s="24"/>
      <c r="Q269" s="26">
        <v>2</v>
      </c>
      <c r="R269" s="26">
        <v>0</v>
      </c>
      <c r="S269" s="25">
        <f t="shared" si="22"/>
        <v>0</v>
      </c>
      <c r="T269" s="25">
        <v>120</v>
      </c>
      <c r="U269" s="24"/>
      <c r="V269" s="26">
        <v>2</v>
      </c>
      <c r="W269" s="26">
        <v>0</v>
      </c>
      <c r="X269" s="25">
        <f t="shared" si="23"/>
        <v>0</v>
      </c>
      <c r="Y269" s="25">
        <v>110</v>
      </c>
      <c r="Z269" s="24"/>
      <c r="AA269" s="26">
        <v>2</v>
      </c>
      <c r="AB269" s="26">
        <v>0</v>
      </c>
      <c r="AC269" s="25">
        <f t="shared" si="24"/>
        <v>0</v>
      </c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</row>
    <row r="270" spans="1:41">
      <c r="A270" s="24" t="s">
        <v>52</v>
      </c>
      <c r="B270" s="24" t="s">
        <v>258</v>
      </c>
      <c r="C270" s="24" t="s">
        <v>68</v>
      </c>
      <c r="D270" s="24" t="s">
        <v>13</v>
      </c>
      <c r="E270" s="25">
        <v>120</v>
      </c>
      <c r="F270" s="24"/>
      <c r="G270" s="26">
        <v>1</v>
      </c>
      <c r="H270" s="26">
        <v>0</v>
      </c>
      <c r="I270" s="25">
        <f t="shared" si="20"/>
        <v>0</v>
      </c>
      <c r="J270" s="25">
        <v>120</v>
      </c>
      <c r="K270" s="24"/>
      <c r="L270" s="26">
        <v>1</v>
      </c>
      <c r="M270" s="26">
        <v>0</v>
      </c>
      <c r="N270" s="25">
        <f t="shared" si="21"/>
        <v>0</v>
      </c>
      <c r="O270" s="25">
        <v>120</v>
      </c>
      <c r="P270" s="24"/>
      <c r="Q270" s="26">
        <v>1</v>
      </c>
      <c r="R270" s="26">
        <v>0</v>
      </c>
      <c r="S270" s="25">
        <f t="shared" si="22"/>
        <v>0</v>
      </c>
      <c r="T270" s="25">
        <v>120</v>
      </c>
      <c r="U270" s="26">
        <v>1</v>
      </c>
      <c r="V270" s="26">
        <v>1</v>
      </c>
      <c r="W270" s="26">
        <v>1</v>
      </c>
      <c r="X270" s="25">
        <f t="shared" si="23"/>
        <v>120</v>
      </c>
      <c r="Y270" s="25">
        <v>110</v>
      </c>
      <c r="Z270" s="24"/>
      <c r="AA270" s="26">
        <v>1</v>
      </c>
      <c r="AB270" s="26">
        <v>0</v>
      </c>
      <c r="AC270" s="25">
        <f t="shared" si="24"/>
        <v>0</v>
      </c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</row>
    <row r="271" spans="1:41">
      <c r="A271" s="39" t="s">
        <v>52</v>
      </c>
      <c r="B271" s="39" t="s">
        <v>259</v>
      </c>
      <c r="C271" s="39" t="s">
        <v>70</v>
      </c>
      <c r="D271" s="39" t="s">
        <v>13</v>
      </c>
      <c r="E271" s="40">
        <v>140</v>
      </c>
      <c r="F271" s="39"/>
      <c r="G271" s="41">
        <v>1</v>
      </c>
      <c r="H271" s="41">
        <v>0</v>
      </c>
      <c r="I271" s="40">
        <f t="shared" si="20"/>
        <v>0</v>
      </c>
      <c r="J271" s="40">
        <v>140</v>
      </c>
      <c r="K271" s="39"/>
      <c r="L271" s="41">
        <v>1</v>
      </c>
      <c r="M271" s="41">
        <v>0</v>
      </c>
      <c r="N271" s="40">
        <f t="shared" si="21"/>
        <v>0</v>
      </c>
      <c r="O271" s="40">
        <v>120</v>
      </c>
      <c r="P271" s="39"/>
      <c r="Q271" s="41">
        <v>1</v>
      </c>
      <c r="R271" s="41">
        <v>0</v>
      </c>
      <c r="S271" s="40">
        <f t="shared" si="22"/>
        <v>0</v>
      </c>
      <c r="T271" s="40">
        <v>140</v>
      </c>
      <c r="U271" s="39"/>
      <c r="V271" s="41">
        <v>1</v>
      </c>
      <c r="W271" s="41">
        <v>0</v>
      </c>
      <c r="X271" s="40">
        <f t="shared" si="23"/>
        <v>0</v>
      </c>
      <c r="Y271" s="40">
        <v>140</v>
      </c>
      <c r="Z271" s="41">
        <v>1</v>
      </c>
      <c r="AA271" s="41">
        <v>1</v>
      </c>
      <c r="AB271" s="41">
        <v>1</v>
      </c>
      <c r="AC271" s="40">
        <f t="shared" si="24"/>
        <v>140</v>
      </c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</row>
    <row r="272" spans="1:41">
      <c r="A272" s="39" t="s">
        <v>52</v>
      </c>
      <c r="B272" s="39" t="s">
        <v>259</v>
      </c>
      <c r="C272" s="39" t="s">
        <v>70</v>
      </c>
      <c r="D272" s="39" t="s">
        <v>29</v>
      </c>
      <c r="E272" s="40">
        <v>140</v>
      </c>
      <c r="F272" s="39"/>
      <c r="G272" s="41">
        <v>2</v>
      </c>
      <c r="H272" s="41">
        <v>0</v>
      </c>
      <c r="I272" s="40">
        <f t="shared" si="20"/>
        <v>0</v>
      </c>
      <c r="J272" s="40">
        <v>140</v>
      </c>
      <c r="K272" s="39"/>
      <c r="L272" s="41">
        <v>2</v>
      </c>
      <c r="M272" s="41">
        <v>0</v>
      </c>
      <c r="N272" s="40">
        <f t="shared" si="21"/>
        <v>0</v>
      </c>
      <c r="O272" s="40">
        <v>120</v>
      </c>
      <c r="P272" s="39"/>
      <c r="Q272" s="41">
        <v>2</v>
      </c>
      <c r="R272" s="41">
        <v>0</v>
      </c>
      <c r="S272" s="40">
        <f t="shared" si="22"/>
        <v>0</v>
      </c>
      <c r="T272" s="40">
        <v>140</v>
      </c>
      <c r="U272" s="41">
        <v>1</v>
      </c>
      <c r="V272" s="41">
        <v>2</v>
      </c>
      <c r="W272" s="41">
        <v>2</v>
      </c>
      <c r="X272" s="40">
        <f t="shared" si="23"/>
        <v>280</v>
      </c>
      <c r="Y272" s="40">
        <v>140</v>
      </c>
      <c r="Z272" s="39"/>
      <c r="AA272" s="41">
        <v>2</v>
      </c>
      <c r="AB272" s="41">
        <v>0</v>
      </c>
      <c r="AC272" s="40">
        <f t="shared" si="24"/>
        <v>0</v>
      </c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</row>
    <row r="273" spans="1:41">
      <c r="A273" s="39" t="s">
        <v>52</v>
      </c>
      <c r="B273" s="39" t="s">
        <v>260</v>
      </c>
      <c r="C273" s="39" t="s">
        <v>70</v>
      </c>
      <c r="D273" s="39" t="s">
        <v>13</v>
      </c>
      <c r="E273" s="40">
        <v>140</v>
      </c>
      <c r="F273" s="39"/>
      <c r="G273" s="41">
        <v>1</v>
      </c>
      <c r="H273" s="41">
        <v>0</v>
      </c>
      <c r="I273" s="40">
        <f t="shared" si="20"/>
        <v>0</v>
      </c>
      <c r="J273" s="40">
        <v>140</v>
      </c>
      <c r="K273" s="41">
        <v>1</v>
      </c>
      <c r="L273" s="41">
        <v>1</v>
      </c>
      <c r="M273" s="41">
        <v>1</v>
      </c>
      <c r="N273" s="40">
        <f t="shared" si="21"/>
        <v>140</v>
      </c>
      <c r="O273" s="40">
        <v>120</v>
      </c>
      <c r="P273" s="39"/>
      <c r="Q273" s="41">
        <v>1</v>
      </c>
      <c r="R273" s="41">
        <v>0</v>
      </c>
      <c r="S273" s="40">
        <f t="shared" si="22"/>
        <v>0</v>
      </c>
      <c r="T273" s="40">
        <v>140</v>
      </c>
      <c r="U273" s="39"/>
      <c r="V273" s="41">
        <v>1</v>
      </c>
      <c r="W273" s="41">
        <v>0</v>
      </c>
      <c r="X273" s="40">
        <f t="shared" si="23"/>
        <v>0</v>
      </c>
      <c r="Y273" s="40">
        <v>140</v>
      </c>
      <c r="Z273" s="39"/>
      <c r="AA273" s="41">
        <v>1</v>
      </c>
      <c r="AB273" s="41">
        <v>0</v>
      </c>
      <c r="AC273" s="40">
        <f t="shared" si="24"/>
        <v>0</v>
      </c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</row>
    <row r="274" spans="1:41">
      <c r="A274" s="39" t="s">
        <v>52</v>
      </c>
      <c r="B274" s="39" t="s">
        <v>260</v>
      </c>
      <c r="C274" s="39" t="s">
        <v>70</v>
      </c>
      <c r="D274" s="39" t="s">
        <v>29</v>
      </c>
      <c r="E274" s="40">
        <v>140</v>
      </c>
      <c r="F274" s="39"/>
      <c r="G274" s="41">
        <v>2</v>
      </c>
      <c r="H274" s="41">
        <v>0</v>
      </c>
      <c r="I274" s="40">
        <f t="shared" si="20"/>
        <v>0</v>
      </c>
      <c r="J274" s="40">
        <v>140</v>
      </c>
      <c r="K274" s="39"/>
      <c r="L274" s="41">
        <v>2</v>
      </c>
      <c r="M274" s="41">
        <v>0</v>
      </c>
      <c r="N274" s="40">
        <f t="shared" si="21"/>
        <v>0</v>
      </c>
      <c r="O274" s="40">
        <v>120</v>
      </c>
      <c r="P274" s="39"/>
      <c r="Q274" s="41">
        <v>2</v>
      </c>
      <c r="R274" s="41">
        <v>0</v>
      </c>
      <c r="S274" s="40">
        <f t="shared" si="22"/>
        <v>0</v>
      </c>
      <c r="T274" s="40">
        <v>140</v>
      </c>
      <c r="U274" s="41">
        <v>1</v>
      </c>
      <c r="V274" s="41">
        <v>2</v>
      </c>
      <c r="W274" s="41">
        <v>2</v>
      </c>
      <c r="X274" s="40">
        <f t="shared" si="23"/>
        <v>280</v>
      </c>
      <c r="Y274" s="40">
        <v>140</v>
      </c>
      <c r="Z274" s="41">
        <v>1</v>
      </c>
      <c r="AA274" s="41">
        <v>2</v>
      </c>
      <c r="AB274" s="41">
        <v>2</v>
      </c>
      <c r="AC274" s="40">
        <f t="shared" si="24"/>
        <v>280</v>
      </c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</row>
    <row r="275" spans="1:41">
      <c r="A275" s="33" t="s">
        <v>52</v>
      </c>
      <c r="B275" s="33" t="s">
        <v>261</v>
      </c>
      <c r="C275" s="33" t="s">
        <v>68</v>
      </c>
      <c r="D275" s="33" t="s">
        <v>29</v>
      </c>
      <c r="E275" s="34">
        <v>140</v>
      </c>
      <c r="F275" s="33"/>
      <c r="G275" s="35">
        <v>2</v>
      </c>
      <c r="H275" s="35">
        <v>0</v>
      </c>
      <c r="I275" s="34">
        <f t="shared" si="20"/>
        <v>0</v>
      </c>
      <c r="J275" s="34">
        <v>140</v>
      </c>
      <c r="K275" s="35">
        <v>1</v>
      </c>
      <c r="L275" s="35">
        <v>2</v>
      </c>
      <c r="M275" s="35">
        <v>2</v>
      </c>
      <c r="N275" s="34">
        <f t="shared" si="21"/>
        <v>280</v>
      </c>
      <c r="O275" s="34">
        <v>140</v>
      </c>
      <c r="P275" s="33"/>
      <c r="Q275" s="35">
        <v>2</v>
      </c>
      <c r="R275" s="35">
        <v>0</v>
      </c>
      <c r="S275" s="34">
        <f t="shared" si="22"/>
        <v>0</v>
      </c>
      <c r="T275" s="34">
        <v>140</v>
      </c>
      <c r="U275" s="33"/>
      <c r="V275" s="35">
        <v>2</v>
      </c>
      <c r="W275" s="35">
        <v>0</v>
      </c>
      <c r="X275" s="34">
        <f t="shared" si="23"/>
        <v>0</v>
      </c>
      <c r="Y275" s="34">
        <v>135</v>
      </c>
      <c r="Z275" s="33"/>
      <c r="AA275" s="35">
        <v>2</v>
      </c>
      <c r="AB275" s="35">
        <v>0</v>
      </c>
      <c r="AC275" s="34">
        <f t="shared" si="24"/>
        <v>0</v>
      </c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</row>
    <row r="276" spans="1:41">
      <c r="A276" s="24" t="s">
        <v>52</v>
      </c>
      <c r="B276" s="24" t="s">
        <v>262</v>
      </c>
      <c r="C276" s="24" t="s">
        <v>68</v>
      </c>
      <c r="D276" s="24" t="s">
        <v>13</v>
      </c>
      <c r="E276" s="25">
        <v>120</v>
      </c>
      <c r="F276" s="24"/>
      <c r="G276" s="26">
        <v>1</v>
      </c>
      <c r="H276" s="26">
        <v>0</v>
      </c>
      <c r="I276" s="25">
        <f t="shared" si="20"/>
        <v>0</v>
      </c>
      <c r="J276" s="25">
        <v>120</v>
      </c>
      <c r="K276" s="24"/>
      <c r="L276" s="26">
        <v>1</v>
      </c>
      <c r="M276" s="26">
        <v>0</v>
      </c>
      <c r="N276" s="25">
        <f t="shared" si="21"/>
        <v>0</v>
      </c>
      <c r="O276" s="25">
        <v>120</v>
      </c>
      <c r="P276" s="24"/>
      <c r="Q276" s="26">
        <v>1</v>
      </c>
      <c r="R276" s="26">
        <v>0</v>
      </c>
      <c r="S276" s="25">
        <f t="shared" si="22"/>
        <v>0</v>
      </c>
      <c r="T276" s="25">
        <v>120</v>
      </c>
      <c r="U276" s="24"/>
      <c r="V276" s="26">
        <v>1</v>
      </c>
      <c r="W276" s="26">
        <v>0</v>
      </c>
      <c r="X276" s="25">
        <f t="shared" si="23"/>
        <v>0</v>
      </c>
      <c r="Y276" s="25">
        <v>110</v>
      </c>
      <c r="Z276" s="26">
        <v>1</v>
      </c>
      <c r="AA276" s="26">
        <v>1</v>
      </c>
      <c r="AB276" s="26">
        <v>1</v>
      </c>
      <c r="AC276" s="25">
        <f t="shared" si="24"/>
        <v>110</v>
      </c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</row>
    <row r="277" spans="1:41">
      <c r="A277" s="24" t="s">
        <v>52</v>
      </c>
      <c r="B277" s="24" t="s">
        <v>263</v>
      </c>
      <c r="C277" s="24" t="s">
        <v>68</v>
      </c>
      <c r="D277" s="24" t="s">
        <v>13</v>
      </c>
      <c r="E277" s="25">
        <v>120</v>
      </c>
      <c r="F277" s="24"/>
      <c r="G277" s="26">
        <v>1</v>
      </c>
      <c r="H277" s="26">
        <v>0</v>
      </c>
      <c r="I277" s="25">
        <f t="shared" si="20"/>
        <v>0</v>
      </c>
      <c r="J277" s="25">
        <v>120</v>
      </c>
      <c r="K277" s="26">
        <v>1</v>
      </c>
      <c r="L277" s="26">
        <v>1</v>
      </c>
      <c r="M277" s="26">
        <v>1</v>
      </c>
      <c r="N277" s="25">
        <f t="shared" si="21"/>
        <v>120</v>
      </c>
      <c r="O277" s="25">
        <v>120</v>
      </c>
      <c r="P277" s="24"/>
      <c r="Q277" s="26">
        <v>1</v>
      </c>
      <c r="R277" s="26">
        <v>0</v>
      </c>
      <c r="S277" s="25">
        <f t="shared" si="22"/>
        <v>0</v>
      </c>
      <c r="T277" s="25">
        <v>120</v>
      </c>
      <c r="U277" s="24"/>
      <c r="V277" s="26">
        <v>1</v>
      </c>
      <c r="W277" s="26">
        <v>0</v>
      </c>
      <c r="X277" s="25">
        <f t="shared" si="23"/>
        <v>0</v>
      </c>
      <c r="Y277" s="25">
        <v>110</v>
      </c>
      <c r="Z277" s="24"/>
      <c r="AA277" s="26">
        <v>1</v>
      </c>
      <c r="AB277" s="26">
        <v>0</v>
      </c>
      <c r="AC277" s="25">
        <f t="shared" si="24"/>
        <v>0</v>
      </c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</row>
    <row r="278" spans="1:41">
      <c r="A278" s="24" t="s">
        <v>52</v>
      </c>
      <c r="B278" s="24" t="s">
        <v>264</v>
      </c>
      <c r="C278" s="24" t="s">
        <v>68</v>
      </c>
      <c r="D278" s="24" t="s">
        <v>29</v>
      </c>
      <c r="E278" s="25">
        <v>120</v>
      </c>
      <c r="F278" s="24"/>
      <c r="G278" s="26">
        <v>2</v>
      </c>
      <c r="H278" s="26">
        <v>0</v>
      </c>
      <c r="I278" s="25">
        <f t="shared" si="20"/>
        <v>0</v>
      </c>
      <c r="J278" s="25">
        <v>120</v>
      </c>
      <c r="K278" s="26">
        <v>1</v>
      </c>
      <c r="L278" s="26">
        <v>2</v>
      </c>
      <c r="M278" s="26">
        <v>2</v>
      </c>
      <c r="N278" s="25">
        <f t="shared" si="21"/>
        <v>240</v>
      </c>
      <c r="O278" s="25">
        <v>120</v>
      </c>
      <c r="P278" s="24"/>
      <c r="Q278" s="26">
        <v>2</v>
      </c>
      <c r="R278" s="26">
        <v>0</v>
      </c>
      <c r="S278" s="25">
        <f t="shared" si="22"/>
        <v>0</v>
      </c>
      <c r="T278" s="25">
        <v>120</v>
      </c>
      <c r="U278" s="24"/>
      <c r="V278" s="26">
        <v>2</v>
      </c>
      <c r="W278" s="26">
        <v>0</v>
      </c>
      <c r="X278" s="25">
        <f t="shared" si="23"/>
        <v>0</v>
      </c>
      <c r="Y278" s="25">
        <v>110</v>
      </c>
      <c r="Z278" s="24"/>
      <c r="AA278" s="26">
        <v>2</v>
      </c>
      <c r="AB278" s="26">
        <v>0</v>
      </c>
      <c r="AC278" s="25">
        <f t="shared" si="24"/>
        <v>0</v>
      </c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</row>
    <row r="279" spans="1:41">
      <c r="A279" s="24" t="s">
        <v>52</v>
      </c>
      <c r="B279" s="24" t="s">
        <v>265</v>
      </c>
      <c r="C279" s="24" t="s">
        <v>68</v>
      </c>
      <c r="D279" s="24" t="s">
        <v>13</v>
      </c>
      <c r="E279" s="25">
        <v>120</v>
      </c>
      <c r="F279" s="24"/>
      <c r="G279" s="26">
        <v>1</v>
      </c>
      <c r="H279" s="26">
        <v>0</v>
      </c>
      <c r="I279" s="25">
        <f t="shared" si="20"/>
        <v>0</v>
      </c>
      <c r="J279" s="25">
        <v>120</v>
      </c>
      <c r="K279" s="26">
        <v>1</v>
      </c>
      <c r="L279" s="26">
        <v>1</v>
      </c>
      <c r="M279" s="26">
        <v>1</v>
      </c>
      <c r="N279" s="25">
        <f t="shared" si="21"/>
        <v>120</v>
      </c>
      <c r="O279" s="25">
        <v>120</v>
      </c>
      <c r="P279" s="24"/>
      <c r="Q279" s="26">
        <v>1</v>
      </c>
      <c r="R279" s="26">
        <v>0</v>
      </c>
      <c r="S279" s="25">
        <f t="shared" si="22"/>
        <v>0</v>
      </c>
      <c r="T279" s="25">
        <v>120</v>
      </c>
      <c r="U279" s="24"/>
      <c r="V279" s="26">
        <v>1</v>
      </c>
      <c r="W279" s="26">
        <v>0</v>
      </c>
      <c r="X279" s="25">
        <f t="shared" si="23"/>
        <v>0</v>
      </c>
      <c r="Y279" s="25">
        <v>110</v>
      </c>
      <c r="Z279" s="24"/>
      <c r="AA279" s="26">
        <v>1</v>
      </c>
      <c r="AB279" s="26">
        <v>0</v>
      </c>
      <c r="AC279" s="25">
        <f t="shared" si="24"/>
        <v>0</v>
      </c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</row>
    <row r="280" spans="1:41">
      <c r="A280" s="24" t="s">
        <v>52</v>
      </c>
      <c r="B280" s="24" t="s">
        <v>265</v>
      </c>
      <c r="C280" s="24" t="s">
        <v>68</v>
      </c>
      <c r="D280" s="24" t="s">
        <v>29</v>
      </c>
      <c r="E280" s="25">
        <v>120</v>
      </c>
      <c r="F280" s="24"/>
      <c r="G280" s="26">
        <v>2</v>
      </c>
      <c r="H280" s="26">
        <v>0</v>
      </c>
      <c r="I280" s="25">
        <f t="shared" si="20"/>
        <v>0</v>
      </c>
      <c r="J280" s="25">
        <v>120</v>
      </c>
      <c r="K280" s="26">
        <v>1</v>
      </c>
      <c r="L280" s="26">
        <v>2</v>
      </c>
      <c r="M280" s="26">
        <v>2</v>
      </c>
      <c r="N280" s="25">
        <f t="shared" si="21"/>
        <v>240</v>
      </c>
      <c r="O280" s="25">
        <v>120</v>
      </c>
      <c r="P280" s="24"/>
      <c r="Q280" s="26">
        <v>2</v>
      </c>
      <c r="R280" s="26">
        <v>0</v>
      </c>
      <c r="S280" s="25">
        <f t="shared" si="22"/>
        <v>0</v>
      </c>
      <c r="T280" s="25">
        <v>120</v>
      </c>
      <c r="U280" s="24"/>
      <c r="V280" s="26">
        <v>2</v>
      </c>
      <c r="W280" s="26">
        <v>0</v>
      </c>
      <c r="X280" s="25">
        <f t="shared" si="23"/>
        <v>0</v>
      </c>
      <c r="Y280" s="25">
        <v>110</v>
      </c>
      <c r="Z280" s="24"/>
      <c r="AA280" s="26">
        <v>2</v>
      </c>
      <c r="AB280" s="26">
        <v>0</v>
      </c>
      <c r="AC280" s="25">
        <f t="shared" si="24"/>
        <v>0</v>
      </c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</row>
    <row r="281" spans="1:41">
      <c r="A281" s="24" t="s">
        <v>52</v>
      </c>
      <c r="B281" s="24" t="s">
        <v>266</v>
      </c>
      <c r="C281" s="24" t="s">
        <v>68</v>
      </c>
      <c r="D281" s="24" t="s">
        <v>13</v>
      </c>
      <c r="E281" s="25">
        <v>120</v>
      </c>
      <c r="F281" s="24"/>
      <c r="G281" s="26">
        <v>1</v>
      </c>
      <c r="H281" s="26">
        <v>0</v>
      </c>
      <c r="I281" s="25">
        <f t="shared" si="20"/>
        <v>0</v>
      </c>
      <c r="J281" s="25">
        <v>120</v>
      </c>
      <c r="K281" s="26">
        <v>7</v>
      </c>
      <c r="L281" s="26">
        <v>1</v>
      </c>
      <c r="M281" s="26">
        <v>7</v>
      </c>
      <c r="N281" s="25">
        <f t="shared" si="21"/>
        <v>840</v>
      </c>
      <c r="O281" s="25">
        <v>120</v>
      </c>
      <c r="P281" s="24"/>
      <c r="Q281" s="26">
        <v>1</v>
      </c>
      <c r="R281" s="26">
        <v>0</v>
      </c>
      <c r="S281" s="25">
        <f t="shared" si="22"/>
        <v>0</v>
      </c>
      <c r="T281" s="25">
        <v>120</v>
      </c>
      <c r="U281" s="24"/>
      <c r="V281" s="26">
        <v>1</v>
      </c>
      <c r="W281" s="26">
        <v>0</v>
      </c>
      <c r="X281" s="25">
        <f t="shared" si="23"/>
        <v>0</v>
      </c>
      <c r="Y281" s="25">
        <v>110</v>
      </c>
      <c r="Z281" s="24"/>
      <c r="AA281" s="26">
        <v>1</v>
      </c>
      <c r="AB281" s="26">
        <v>0</v>
      </c>
      <c r="AC281" s="25">
        <f t="shared" si="24"/>
        <v>0</v>
      </c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</row>
    <row r="282" spans="1:41">
      <c r="A282" s="24" t="s">
        <v>52</v>
      </c>
      <c r="B282" s="24" t="s">
        <v>267</v>
      </c>
      <c r="C282" s="24" t="s">
        <v>68</v>
      </c>
      <c r="D282" s="24" t="s">
        <v>13</v>
      </c>
      <c r="E282" s="25">
        <v>120</v>
      </c>
      <c r="F282" s="24"/>
      <c r="G282" s="26">
        <v>1</v>
      </c>
      <c r="H282" s="26">
        <v>0</v>
      </c>
      <c r="I282" s="25">
        <f t="shared" si="20"/>
        <v>0</v>
      </c>
      <c r="J282" s="25">
        <v>120</v>
      </c>
      <c r="K282" s="26">
        <v>1</v>
      </c>
      <c r="L282" s="26">
        <v>1</v>
      </c>
      <c r="M282" s="26">
        <v>1</v>
      </c>
      <c r="N282" s="25">
        <f t="shared" si="21"/>
        <v>120</v>
      </c>
      <c r="O282" s="25">
        <v>120</v>
      </c>
      <c r="P282" s="24"/>
      <c r="Q282" s="26">
        <v>1</v>
      </c>
      <c r="R282" s="26">
        <v>0</v>
      </c>
      <c r="S282" s="25">
        <f t="shared" si="22"/>
        <v>0</v>
      </c>
      <c r="T282" s="25">
        <v>120</v>
      </c>
      <c r="U282" s="24"/>
      <c r="V282" s="26">
        <v>1</v>
      </c>
      <c r="W282" s="26">
        <v>0</v>
      </c>
      <c r="X282" s="25">
        <f t="shared" si="23"/>
        <v>0</v>
      </c>
      <c r="Y282" s="25">
        <v>110</v>
      </c>
      <c r="Z282" s="24"/>
      <c r="AA282" s="26">
        <v>1</v>
      </c>
      <c r="AB282" s="26">
        <v>0</v>
      </c>
      <c r="AC282" s="25">
        <f t="shared" si="24"/>
        <v>0</v>
      </c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</row>
    <row r="283" spans="1:41">
      <c r="A283" s="24" t="s">
        <v>52</v>
      </c>
      <c r="B283" s="24" t="s">
        <v>268</v>
      </c>
      <c r="C283" s="24" t="s">
        <v>68</v>
      </c>
      <c r="D283" s="24" t="s">
        <v>13</v>
      </c>
      <c r="E283" s="25">
        <v>120</v>
      </c>
      <c r="F283" s="24"/>
      <c r="G283" s="26">
        <v>1</v>
      </c>
      <c r="H283" s="26">
        <v>0</v>
      </c>
      <c r="I283" s="25">
        <f t="shared" si="20"/>
        <v>0</v>
      </c>
      <c r="J283" s="25">
        <v>120</v>
      </c>
      <c r="K283" s="26">
        <v>1</v>
      </c>
      <c r="L283" s="26">
        <v>1</v>
      </c>
      <c r="M283" s="26">
        <v>1</v>
      </c>
      <c r="N283" s="25">
        <f t="shared" si="21"/>
        <v>120</v>
      </c>
      <c r="O283" s="25">
        <v>120</v>
      </c>
      <c r="P283" s="24"/>
      <c r="Q283" s="26">
        <v>1</v>
      </c>
      <c r="R283" s="26">
        <v>0</v>
      </c>
      <c r="S283" s="25">
        <f t="shared" si="22"/>
        <v>0</v>
      </c>
      <c r="T283" s="25">
        <v>120</v>
      </c>
      <c r="U283" s="24"/>
      <c r="V283" s="26">
        <v>1</v>
      </c>
      <c r="W283" s="26">
        <v>0</v>
      </c>
      <c r="X283" s="25">
        <f t="shared" si="23"/>
        <v>0</v>
      </c>
      <c r="Y283" s="25">
        <v>110</v>
      </c>
      <c r="Z283" s="24"/>
      <c r="AA283" s="26">
        <v>1</v>
      </c>
      <c r="AB283" s="26">
        <v>0</v>
      </c>
      <c r="AC283" s="25">
        <f t="shared" si="24"/>
        <v>0</v>
      </c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</row>
    <row r="284" spans="1:41">
      <c r="A284" s="24" t="s">
        <v>52</v>
      </c>
      <c r="B284" s="24" t="s">
        <v>269</v>
      </c>
      <c r="C284" s="24" t="s">
        <v>68</v>
      </c>
      <c r="D284" s="24" t="s">
        <v>13</v>
      </c>
      <c r="E284" s="25">
        <v>120</v>
      </c>
      <c r="F284" s="24"/>
      <c r="G284" s="26">
        <v>1</v>
      </c>
      <c r="H284" s="26">
        <v>0</v>
      </c>
      <c r="I284" s="25">
        <f t="shared" si="20"/>
        <v>0</v>
      </c>
      <c r="J284" s="25">
        <v>120</v>
      </c>
      <c r="K284" s="26">
        <v>2</v>
      </c>
      <c r="L284" s="26">
        <v>1</v>
      </c>
      <c r="M284" s="26">
        <v>2</v>
      </c>
      <c r="N284" s="25">
        <f t="shared" si="21"/>
        <v>240</v>
      </c>
      <c r="O284" s="25">
        <v>120</v>
      </c>
      <c r="P284" s="24"/>
      <c r="Q284" s="26">
        <v>1</v>
      </c>
      <c r="R284" s="26">
        <v>0</v>
      </c>
      <c r="S284" s="25">
        <f t="shared" si="22"/>
        <v>0</v>
      </c>
      <c r="T284" s="25">
        <v>120</v>
      </c>
      <c r="U284" s="24"/>
      <c r="V284" s="26">
        <v>1</v>
      </c>
      <c r="W284" s="26">
        <v>0</v>
      </c>
      <c r="X284" s="25">
        <f t="shared" si="23"/>
        <v>0</v>
      </c>
      <c r="Y284" s="25">
        <v>110</v>
      </c>
      <c r="Z284" s="24"/>
      <c r="AA284" s="26">
        <v>1</v>
      </c>
      <c r="AB284" s="26">
        <v>0</v>
      </c>
      <c r="AC284" s="25">
        <f t="shared" si="24"/>
        <v>0</v>
      </c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</row>
    <row r="285" spans="1:41">
      <c r="A285" s="39" t="s">
        <v>52</v>
      </c>
      <c r="B285" s="39" t="s">
        <v>270</v>
      </c>
      <c r="C285" s="39" t="s">
        <v>70</v>
      </c>
      <c r="D285" s="39" t="s">
        <v>55</v>
      </c>
      <c r="E285" s="40">
        <v>140</v>
      </c>
      <c r="F285" s="39"/>
      <c r="G285" s="41">
        <v>3</v>
      </c>
      <c r="H285" s="41">
        <v>0</v>
      </c>
      <c r="I285" s="40">
        <f t="shared" si="20"/>
        <v>0</v>
      </c>
      <c r="J285" s="40">
        <v>140</v>
      </c>
      <c r="K285" s="39"/>
      <c r="L285" s="41">
        <v>3</v>
      </c>
      <c r="M285" s="41">
        <v>0</v>
      </c>
      <c r="N285" s="40">
        <f t="shared" si="21"/>
        <v>0</v>
      </c>
      <c r="O285" s="40">
        <v>120</v>
      </c>
      <c r="P285" s="39"/>
      <c r="Q285" s="41">
        <v>3</v>
      </c>
      <c r="R285" s="41">
        <v>0</v>
      </c>
      <c r="S285" s="40">
        <f t="shared" si="22"/>
        <v>0</v>
      </c>
      <c r="T285" s="40">
        <v>140</v>
      </c>
      <c r="U285" s="41">
        <v>1</v>
      </c>
      <c r="V285" s="41">
        <v>3</v>
      </c>
      <c r="W285" s="41">
        <v>3</v>
      </c>
      <c r="X285" s="40">
        <f t="shared" si="23"/>
        <v>420</v>
      </c>
      <c r="Y285" s="40">
        <v>140</v>
      </c>
      <c r="Z285" s="39"/>
      <c r="AA285" s="41">
        <v>3</v>
      </c>
      <c r="AB285" s="41">
        <v>0</v>
      </c>
      <c r="AC285" s="40">
        <f t="shared" si="24"/>
        <v>0</v>
      </c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</row>
    <row r="286" spans="1:41">
      <c r="A286" s="24" t="s">
        <v>52</v>
      </c>
      <c r="B286" s="24" t="s">
        <v>271</v>
      </c>
      <c r="C286" s="24" t="s">
        <v>68</v>
      </c>
      <c r="D286" s="24" t="s">
        <v>29</v>
      </c>
      <c r="E286" s="25">
        <v>120</v>
      </c>
      <c r="F286" s="24"/>
      <c r="G286" s="26">
        <v>2</v>
      </c>
      <c r="H286" s="26">
        <v>0</v>
      </c>
      <c r="I286" s="25">
        <f t="shared" si="20"/>
        <v>0</v>
      </c>
      <c r="J286" s="25">
        <v>120</v>
      </c>
      <c r="K286" s="24"/>
      <c r="L286" s="26">
        <v>2</v>
      </c>
      <c r="M286" s="26">
        <v>0</v>
      </c>
      <c r="N286" s="25">
        <f t="shared" si="21"/>
        <v>0</v>
      </c>
      <c r="O286" s="25">
        <v>120</v>
      </c>
      <c r="P286" s="24"/>
      <c r="Q286" s="26">
        <v>2</v>
      </c>
      <c r="R286" s="26">
        <v>0</v>
      </c>
      <c r="S286" s="25">
        <f t="shared" si="22"/>
        <v>0</v>
      </c>
      <c r="T286" s="25">
        <v>120</v>
      </c>
      <c r="U286" s="26">
        <v>1</v>
      </c>
      <c r="V286" s="26">
        <v>2</v>
      </c>
      <c r="W286" s="26">
        <v>2</v>
      </c>
      <c r="X286" s="25">
        <f t="shared" si="23"/>
        <v>240</v>
      </c>
      <c r="Y286" s="25">
        <v>110</v>
      </c>
      <c r="Z286" s="24"/>
      <c r="AA286" s="26">
        <v>2</v>
      </c>
      <c r="AB286" s="26">
        <v>0</v>
      </c>
      <c r="AC286" s="25">
        <f t="shared" si="24"/>
        <v>0</v>
      </c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</row>
    <row r="287" spans="1:41">
      <c r="A287" s="24" t="s">
        <v>52</v>
      </c>
      <c r="B287" s="24" t="s">
        <v>272</v>
      </c>
      <c r="C287" s="24" t="s">
        <v>68</v>
      </c>
      <c r="D287" s="24" t="s">
        <v>13</v>
      </c>
      <c r="E287" s="25">
        <v>120</v>
      </c>
      <c r="F287" s="24"/>
      <c r="G287" s="26">
        <v>1</v>
      </c>
      <c r="H287" s="26">
        <v>0</v>
      </c>
      <c r="I287" s="25">
        <f t="shared" si="20"/>
        <v>0</v>
      </c>
      <c r="J287" s="25">
        <v>120</v>
      </c>
      <c r="K287" s="24"/>
      <c r="L287" s="26">
        <v>1</v>
      </c>
      <c r="M287" s="26">
        <v>0</v>
      </c>
      <c r="N287" s="25">
        <f t="shared" si="21"/>
        <v>0</v>
      </c>
      <c r="O287" s="25">
        <v>120</v>
      </c>
      <c r="P287" s="24"/>
      <c r="Q287" s="26">
        <v>1</v>
      </c>
      <c r="R287" s="26">
        <v>0</v>
      </c>
      <c r="S287" s="25">
        <f t="shared" si="22"/>
        <v>0</v>
      </c>
      <c r="T287" s="25">
        <v>120</v>
      </c>
      <c r="U287" s="26">
        <v>1</v>
      </c>
      <c r="V287" s="26">
        <v>1</v>
      </c>
      <c r="W287" s="26">
        <v>1</v>
      </c>
      <c r="X287" s="25">
        <f t="shared" si="23"/>
        <v>120</v>
      </c>
      <c r="Y287" s="25">
        <v>110</v>
      </c>
      <c r="Z287" s="24"/>
      <c r="AA287" s="26">
        <v>1</v>
      </c>
      <c r="AB287" s="26">
        <v>0</v>
      </c>
      <c r="AC287" s="25">
        <f t="shared" si="24"/>
        <v>0</v>
      </c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</row>
    <row r="288" spans="1:41">
      <c r="A288" s="33" t="s">
        <v>52</v>
      </c>
      <c r="B288" s="33" t="s">
        <v>273</v>
      </c>
      <c r="C288" s="33" t="s">
        <v>54</v>
      </c>
      <c r="D288" s="33" t="s">
        <v>29</v>
      </c>
      <c r="E288" s="34">
        <v>140</v>
      </c>
      <c r="F288" s="33"/>
      <c r="G288" s="35">
        <v>2</v>
      </c>
      <c r="H288" s="35">
        <v>0</v>
      </c>
      <c r="I288" s="34">
        <f t="shared" si="20"/>
        <v>0</v>
      </c>
      <c r="J288" s="34">
        <v>140</v>
      </c>
      <c r="K288" s="33"/>
      <c r="L288" s="35">
        <v>2</v>
      </c>
      <c r="M288" s="35">
        <v>0</v>
      </c>
      <c r="N288" s="34">
        <f t="shared" si="21"/>
        <v>0</v>
      </c>
      <c r="O288" s="34">
        <v>140</v>
      </c>
      <c r="P288" s="33"/>
      <c r="Q288" s="35">
        <v>2</v>
      </c>
      <c r="R288" s="35">
        <v>0</v>
      </c>
      <c r="S288" s="34">
        <f t="shared" si="22"/>
        <v>0</v>
      </c>
      <c r="T288" s="34">
        <v>140</v>
      </c>
      <c r="U288" s="35">
        <v>1</v>
      </c>
      <c r="V288" s="35">
        <v>2</v>
      </c>
      <c r="W288" s="35">
        <v>2</v>
      </c>
      <c r="X288" s="34">
        <f t="shared" si="23"/>
        <v>280</v>
      </c>
      <c r="Y288" s="34">
        <v>135</v>
      </c>
      <c r="Z288" s="33"/>
      <c r="AA288" s="35">
        <v>2</v>
      </c>
      <c r="AB288" s="35">
        <v>0</v>
      </c>
      <c r="AC288" s="34">
        <f t="shared" si="24"/>
        <v>0</v>
      </c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</row>
    <row r="289" spans="1:41">
      <c r="A289" s="33" t="s">
        <v>52</v>
      </c>
      <c r="B289" s="33" t="s">
        <v>274</v>
      </c>
      <c r="C289" s="33" t="s">
        <v>54</v>
      </c>
      <c r="D289" s="33" t="s">
        <v>13</v>
      </c>
      <c r="E289" s="34">
        <v>140</v>
      </c>
      <c r="F289" s="33"/>
      <c r="G289" s="35">
        <v>1</v>
      </c>
      <c r="H289" s="35">
        <v>0</v>
      </c>
      <c r="I289" s="34">
        <f t="shared" si="20"/>
        <v>0</v>
      </c>
      <c r="J289" s="34">
        <v>140</v>
      </c>
      <c r="K289" s="33"/>
      <c r="L289" s="35">
        <v>1</v>
      </c>
      <c r="M289" s="35">
        <v>0</v>
      </c>
      <c r="N289" s="34">
        <f t="shared" si="21"/>
        <v>0</v>
      </c>
      <c r="O289" s="34">
        <v>140</v>
      </c>
      <c r="P289" s="33"/>
      <c r="Q289" s="35">
        <v>1</v>
      </c>
      <c r="R289" s="35">
        <v>0</v>
      </c>
      <c r="S289" s="34">
        <f t="shared" si="22"/>
        <v>0</v>
      </c>
      <c r="T289" s="34">
        <v>140</v>
      </c>
      <c r="U289" s="35">
        <v>1</v>
      </c>
      <c r="V289" s="35">
        <v>1</v>
      </c>
      <c r="W289" s="35">
        <v>1</v>
      </c>
      <c r="X289" s="34">
        <f t="shared" si="23"/>
        <v>140</v>
      </c>
      <c r="Y289" s="34">
        <v>135</v>
      </c>
      <c r="Z289" s="33"/>
      <c r="AA289" s="35">
        <v>1</v>
      </c>
      <c r="AB289" s="35">
        <v>0</v>
      </c>
      <c r="AC289" s="34">
        <f t="shared" si="24"/>
        <v>0</v>
      </c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</row>
    <row r="290" spans="1:41">
      <c r="A290" s="33" t="s">
        <v>52</v>
      </c>
      <c r="B290" s="33" t="s">
        <v>274</v>
      </c>
      <c r="C290" s="33" t="s">
        <v>54</v>
      </c>
      <c r="D290" s="33" t="s">
        <v>29</v>
      </c>
      <c r="E290" s="34">
        <v>140</v>
      </c>
      <c r="F290" s="33"/>
      <c r="G290" s="35">
        <v>2</v>
      </c>
      <c r="H290" s="35">
        <v>0</v>
      </c>
      <c r="I290" s="34">
        <f t="shared" si="20"/>
        <v>0</v>
      </c>
      <c r="J290" s="34">
        <v>140</v>
      </c>
      <c r="K290" s="33"/>
      <c r="L290" s="35">
        <v>2</v>
      </c>
      <c r="M290" s="35">
        <v>0</v>
      </c>
      <c r="N290" s="34">
        <f t="shared" si="21"/>
        <v>0</v>
      </c>
      <c r="O290" s="34">
        <v>140</v>
      </c>
      <c r="P290" s="33"/>
      <c r="Q290" s="35">
        <v>2</v>
      </c>
      <c r="R290" s="35">
        <v>0</v>
      </c>
      <c r="S290" s="34">
        <f t="shared" si="22"/>
        <v>0</v>
      </c>
      <c r="T290" s="34">
        <v>140</v>
      </c>
      <c r="U290" s="35">
        <v>1</v>
      </c>
      <c r="V290" s="35">
        <v>2</v>
      </c>
      <c r="W290" s="35">
        <v>2</v>
      </c>
      <c r="X290" s="34">
        <f t="shared" si="23"/>
        <v>280</v>
      </c>
      <c r="Y290" s="34">
        <v>135</v>
      </c>
      <c r="Z290" s="33"/>
      <c r="AA290" s="35">
        <v>2</v>
      </c>
      <c r="AB290" s="35">
        <v>0</v>
      </c>
      <c r="AC290" s="34">
        <f t="shared" si="24"/>
        <v>0</v>
      </c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</row>
    <row r="291" spans="1:41">
      <c r="A291" s="24" t="s">
        <v>52</v>
      </c>
      <c r="B291" s="24" t="s">
        <v>275</v>
      </c>
      <c r="C291" s="24" t="s">
        <v>68</v>
      </c>
      <c r="D291" s="24" t="s">
        <v>55</v>
      </c>
      <c r="E291" s="25">
        <v>120</v>
      </c>
      <c r="F291" s="24"/>
      <c r="G291" s="26">
        <v>3</v>
      </c>
      <c r="H291" s="26">
        <v>0</v>
      </c>
      <c r="I291" s="25">
        <f t="shared" si="20"/>
        <v>0</v>
      </c>
      <c r="J291" s="25">
        <v>120</v>
      </c>
      <c r="K291" s="26">
        <v>1</v>
      </c>
      <c r="L291" s="26">
        <v>3</v>
      </c>
      <c r="M291" s="26">
        <v>3</v>
      </c>
      <c r="N291" s="25">
        <f t="shared" si="21"/>
        <v>360</v>
      </c>
      <c r="O291" s="25">
        <v>120</v>
      </c>
      <c r="P291" s="24"/>
      <c r="Q291" s="26">
        <v>3</v>
      </c>
      <c r="R291" s="26">
        <v>0</v>
      </c>
      <c r="S291" s="25">
        <f t="shared" si="22"/>
        <v>0</v>
      </c>
      <c r="T291" s="25">
        <v>120</v>
      </c>
      <c r="U291" s="24"/>
      <c r="V291" s="26">
        <v>3</v>
      </c>
      <c r="W291" s="26">
        <v>0</v>
      </c>
      <c r="X291" s="25">
        <f t="shared" si="23"/>
        <v>0</v>
      </c>
      <c r="Y291" s="25">
        <v>110</v>
      </c>
      <c r="Z291" s="24"/>
      <c r="AA291" s="26">
        <v>3</v>
      </c>
      <c r="AB291" s="26">
        <v>0</v>
      </c>
      <c r="AC291" s="25">
        <f t="shared" si="24"/>
        <v>0</v>
      </c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</row>
    <row r="292" spans="1:41">
      <c r="A292" s="36" t="s">
        <v>52</v>
      </c>
      <c r="B292" s="36" t="s">
        <v>276</v>
      </c>
      <c r="C292" s="36" t="s">
        <v>68</v>
      </c>
      <c r="D292" s="36" t="s">
        <v>13</v>
      </c>
      <c r="E292" s="37">
        <v>120</v>
      </c>
      <c r="F292" s="36"/>
      <c r="G292" s="38">
        <v>1</v>
      </c>
      <c r="H292" s="38">
        <v>0</v>
      </c>
      <c r="I292" s="37">
        <f t="shared" si="20"/>
        <v>0</v>
      </c>
      <c r="J292" s="37">
        <v>120</v>
      </c>
      <c r="K292" s="38">
        <v>4</v>
      </c>
      <c r="L292" s="38">
        <v>1</v>
      </c>
      <c r="M292" s="38">
        <v>4</v>
      </c>
      <c r="N292" s="37">
        <f t="shared" si="21"/>
        <v>480</v>
      </c>
      <c r="O292" s="37">
        <v>120</v>
      </c>
      <c r="P292" s="36"/>
      <c r="Q292" s="38">
        <v>1</v>
      </c>
      <c r="R292" s="38">
        <v>0</v>
      </c>
      <c r="S292" s="37">
        <f t="shared" si="22"/>
        <v>0</v>
      </c>
      <c r="T292" s="37">
        <v>120</v>
      </c>
      <c r="U292" s="36"/>
      <c r="V292" s="38">
        <v>1</v>
      </c>
      <c r="W292" s="38">
        <v>0</v>
      </c>
      <c r="X292" s="37">
        <f t="shared" si="23"/>
        <v>0</v>
      </c>
      <c r="Y292" s="37">
        <v>110</v>
      </c>
      <c r="Z292" s="36"/>
      <c r="AA292" s="38">
        <v>1</v>
      </c>
      <c r="AB292" s="38">
        <v>0</v>
      </c>
      <c r="AC292" s="37">
        <f t="shared" si="24"/>
        <v>0</v>
      </c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</row>
    <row r="293" spans="1:41">
      <c r="A293" s="39" t="s">
        <v>52</v>
      </c>
      <c r="B293" s="39" t="s">
        <v>277</v>
      </c>
      <c r="C293" s="39" t="s">
        <v>70</v>
      </c>
      <c r="D293" s="39" t="s">
        <v>13</v>
      </c>
      <c r="E293" s="40">
        <v>140</v>
      </c>
      <c r="F293" s="39"/>
      <c r="G293" s="41">
        <v>1</v>
      </c>
      <c r="H293" s="41">
        <v>0</v>
      </c>
      <c r="I293" s="40">
        <f t="shared" si="20"/>
        <v>0</v>
      </c>
      <c r="J293" s="40">
        <v>140</v>
      </c>
      <c r="K293" s="39"/>
      <c r="L293" s="41">
        <v>1</v>
      </c>
      <c r="M293" s="41">
        <v>0</v>
      </c>
      <c r="N293" s="40">
        <f t="shared" si="21"/>
        <v>0</v>
      </c>
      <c r="O293" s="40">
        <v>120</v>
      </c>
      <c r="P293" s="39"/>
      <c r="Q293" s="41">
        <v>1</v>
      </c>
      <c r="R293" s="41">
        <v>0</v>
      </c>
      <c r="S293" s="40">
        <f t="shared" si="22"/>
        <v>0</v>
      </c>
      <c r="T293" s="40">
        <v>140</v>
      </c>
      <c r="U293" s="41">
        <v>1</v>
      </c>
      <c r="V293" s="41">
        <v>1</v>
      </c>
      <c r="W293" s="41">
        <v>1</v>
      </c>
      <c r="X293" s="40">
        <f t="shared" si="23"/>
        <v>140</v>
      </c>
      <c r="Y293" s="40">
        <v>140</v>
      </c>
      <c r="Z293" s="39"/>
      <c r="AA293" s="41">
        <v>1</v>
      </c>
      <c r="AB293" s="41">
        <v>0</v>
      </c>
      <c r="AC293" s="40">
        <f t="shared" si="24"/>
        <v>0</v>
      </c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</row>
    <row r="294" spans="1:41">
      <c r="A294" s="36" t="s">
        <v>52</v>
      </c>
      <c r="B294" s="36" t="s">
        <v>277</v>
      </c>
      <c r="C294" s="36" t="s">
        <v>68</v>
      </c>
      <c r="D294" s="36" t="s">
        <v>13</v>
      </c>
      <c r="E294" s="37">
        <v>120</v>
      </c>
      <c r="F294" s="36"/>
      <c r="G294" s="38">
        <v>1</v>
      </c>
      <c r="H294" s="38">
        <v>0</v>
      </c>
      <c r="I294" s="37">
        <f t="shared" si="20"/>
        <v>0</v>
      </c>
      <c r="J294" s="37">
        <v>120</v>
      </c>
      <c r="K294" s="38">
        <v>1</v>
      </c>
      <c r="L294" s="38">
        <v>1</v>
      </c>
      <c r="M294" s="38">
        <v>1</v>
      </c>
      <c r="N294" s="37">
        <f t="shared" si="21"/>
        <v>120</v>
      </c>
      <c r="O294" s="37">
        <v>120</v>
      </c>
      <c r="P294" s="36"/>
      <c r="Q294" s="38">
        <v>1</v>
      </c>
      <c r="R294" s="38">
        <v>0</v>
      </c>
      <c r="S294" s="37">
        <f t="shared" si="22"/>
        <v>0</v>
      </c>
      <c r="T294" s="37">
        <v>120</v>
      </c>
      <c r="U294" s="38">
        <v>1</v>
      </c>
      <c r="V294" s="38">
        <v>1</v>
      </c>
      <c r="W294" s="38">
        <v>1</v>
      </c>
      <c r="X294" s="37">
        <f t="shared" si="23"/>
        <v>120</v>
      </c>
      <c r="Y294" s="37">
        <v>110</v>
      </c>
      <c r="Z294" s="36"/>
      <c r="AA294" s="38">
        <v>1</v>
      </c>
      <c r="AB294" s="38">
        <v>0</v>
      </c>
      <c r="AC294" s="37">
        <f t="shared" si="24"/>
        <v>0</v>
      </c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</row>
    <row r="295" spans="1:41">
      <c r="A295" s="36" t="s">
        <v>52</v>
      </c>
      <c r="B295" s="36" t="s">
        <v>278</v>
      </c>
      <c r="C295" s="36" t="s">
        <v>68</v>
      </c>
      <c r="D295" s="36" t="s">
        <v>29</v>
      </c>
      <c r="E295" s="37">
        <v>120</v>
      </c>
      <c r="F295" s="36"/>
      <c r="G295" s="38">
        <v>2</v>
      </c>
      <c r="H295" s="38">
        <v>0</v>
      </c>
      <c r="I295" s="37">
        <f t="shared" si="20"/>
        <v>0</v>
      </c>
      <c r="J295" s="37">
        <v>120</v>
      </c>
      <c r="K295" s="38">
        <v>1</v>
      </c>
      <c r="L295" s="38">
        <v>2</v>
      </c>
      <c r="M295" s="38">
        <v>2</v>
      </c>
      <c r="N295" s="37">
        <f t="shared" si="21"/>
        <v>240</v>
      </c>
      <c r="O295" s="37">
        <v>120</v>
      </c>
      <c r="P295" s="36"/>
      <c r="Q295" s="38">
        <v>2</v>
      </c>
      <c r="R295" s="38">
        <v>0</v>
      </c>
      <c r="S295" s="37">
        <f t="shared" si="22"/>
        <v>0</v>
      </c>
      <c r="T295" s="37">
        <v>120</v>
      </c>
      <c r="U295" s="36"/>
      <c r="V295" s="38">
        <v>2</v>
      </c>
      <c r="W295" s="38">
        <v>0</v>
      </c>
      <c r="X295" s="37">
        <f t="shared" si="23"/>
        <v>0</v>
      </c>
      <c r="Y295" s="37">
        <v>110</v>
      </c>
      <c r="Z295" s="36"/>
      <c r="AA295" s="38">
        <v>2</v>
      </c>
      <c r="AB295" s="38">
        <v>0</v>
      </c>
      <c r="AC295" s="37">
        <f t="shared" si="24"/>
        <v>0</v>
      </c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</row>
    <row r="296" spans="1:41">
      <c r="A296" s="36" t="s">
        <v>52</v>
      </c>
      <c r="B296" s="36" t="s">
        <v>279</v>
      </c>
      <c r="C296" s="36" t="s">
        <v>68</v>
      </c>
      <c r="D296" s="36" t="s">
        <v>13</v>
      </c>
      <c r="E296" s="37">
        <v>120</v>
      </c>
      <c r="F296" s="36"/>
      <c r="G296" s="38">
        <v>1</v>
      </c>
      <c r="H296" s="38">
        <v>0</v>
      </c>
      <c r="I296" s="37">
        <f t="shared" si="20"/>
        <v>0</v>
      </c>
      <c r="J296" s="37">
        <v>120</v>
      </c>
      <c r="K296" s="38">
        <v>2</v>
      </c>
      <c r="L296" s="38">
        <v>1</v>
      </c>
      <c r="M296" s="38">
        <v>2</v>
      </c>
      <c r="N296" s="37">
        <f t="shared" si="21"/>
        <v>240</v>
      </c>
      <c r="O296" s="37">
        <v>120</v>
      </c>
      <c r="P296" s="36"/>
      <c r="Q296" s="38">
        <v>1</v>
      </c>
      <c r="R296" s="38">
        <v>0</v>
      </c>
      <c r="S296" s="37">
        <f t="shared" si="22"/>
        <v>0</v>
      </c>
      <c r="T296" s="37">
        <v>120</v>
      </c>
      <c r="U296" s="36"/>
      <c r="V296" s="38">
        <v>1</v>
      </c>
      <c r="W296" s="38">
        <v>0</v>
      </c>
      <c r="X296" s="37">
        <f t="shared" si="23"/>
        <v>0</v>
      </c>
      <c r="Y296" s="37">
        <v>110</v>
      </c>
      <c r="Z296" s="36"/>
      <c r="AA296" s="38">
        <v>1</v>
      </c>
      <c r="AB296" s="38">
        <v>0</v>
      </c>
      <c r="AC296" s="37">
        <f t="shared" si="24"/>
        <v>0</v>
      </c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</row>
    <row r="297" spans="1:41">
      <c r="A297" s="24" t="s">
        <v>52</v>
      </c>
      <c r="B297" s="24" t="s">
        <v>280</v>
      </c>
      <c r="C297" s="24" t="s">
        <v>68</v>
      </c>
      <c r="D297" s="24" t="s">
        <v>29</v>
      </c>
      <c r="E297" s="25">
        <v>120</v>
      </c>
      <c r="F297" s="24"/>
      <c r="G297" s="26">
        <v>2</v>
      </c>
      <c r="H297" s="26">
        <v>0</v>
      </c>
      <c r="I297" s="25">
        <f t="shared" si="20"/>
        <v>0</v>
      </c>
      <c r="J297" s="25">
        <v>120</v>
      </c>
      <c r="K297" s="26">
        <v>2</v>
      </c>
      <c r="L297" s="26">
        <v>2</v>
      </c>
      <c r="M297" s="26">
        <v>4</v>
      </c>
      <c r="N297" s="25">
        <f t="shared" si="21"/>
        <v>480</v>
      </c>
      <c r="O297" s="25">
        <v>120</v>
      </c>
      <c r="P297" s="24"/>
      <c r="Q297" s="26">
        <v>2</v>
      </c>
      <c r="R297" s="26">
        <v>0</v>
      </c>
      <c r="S297" s="25">
        <f t="shared" si="22"/>
        <v>0</v>
      </c>
      <c r="T297" s="25">
        <v>120</v>
      </c>
      <c r="U297" s="24"/>
      <c r="V297" s="26">
        <v>2</v>
      </c>
      <c r="W297" s="26">
        <v>0</v>
      </c>
      <c r="X297" s="25">
        <f t="shared" si="23"/>
        <v>0</v>
      </c>
      <c r="Y297" s="25">
        <v>110</v>
      </c>
      <c r="Z297" s="24"/>
      <c r="AA297" s="26">
        <v>2</v>
      </c>
      <c r="AB297" s="26">
        <v>0</v>
      </c>
      <c r="AC297" s="25">
        <f t="shared" si="24"/>
        <v>0</v>
      </c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</row>
    <row r="298" spans="1:41">
      <c r="A298" s="24" t="s">
        <v>52</v>
      </c>
      <c r="B298" s="24" t="s">
        <v>281</v>
      </c>
      <c r="C298" s="24" t="s">
        <v>68</v>
      </c>
      <c r="D298" s="24" t="s">
        <v>29</v>
      </c>
      <c r="E298" s="25">
        <v>120</v>
      </c>
      <c r="F298" s="24"/>
      <c r="G298" s="26">
        <v>2</v>
      </c>
      <c r="H298" s="26">
        <v>0</v>
      </c>
      <c r="I298" s="25">
        <f t="shared" si="20"/>
        <v>0</v>
      </c>
      <c r="J298" s="25">
        <v>120</v>
      </c>
      <c r="K298" s="26">
        <v>2</v>
      </c>
      <c r="L298" s="26">
        <v>2</v>
      </c>
      <c r="M298" s="26">
        <v>4</v>
      </c>
      <c r="N298" s="25">
        <f t="shared" si="21"/>
        <v>480</v>
      </c>
      <c r="O298" s="25">
        <v>120</v>
      </c>
      <c r="P298" s="24"/>
      <c r="Q298" s="26">
        <v>2</v>
      </c>
      <c r="R298" s="26">
        <v>0</v>
      </c>
      <c r="S298" s="25">
        <f t="shared" si="22"/>
        <v>0</v>
      </c>
      <c r="T298" s="25">
        <v>120</v>
      </c>
      <c r="U298" s="24"/>
      <c r="V298" s="26">
        <v>2</v>
      </c>
      <c r="W298" s="26">
        <v>0</v>
      </c>
      <c r="X298" s="25">
        <f t="shared" si="23"/>
        <v>0</v>
      </c>
      <c r="Y298" s="25">
        <v>110</v>
      </c>
      <c r="Z298" s="24"/>
      <c r="AA298" s="26">
        <v>2</v>
      </c>
      <c r="AB298" s="26">
        <v>0</v>
      </c>
      <c r="AC298" s="25">
        <f t="shared" si="24"/>
        <v>0</v>
      </c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</row>
    <row r="299" spans="1:41">
      <c r="A299" s="24" t="s">
        <v>52</v>
      </c>
      <c r="B299" s="24" t="s">
        <v>282</v>
      </c>
      <c r="C299" s="24" t="s">
        <v>68</v>
      </c>
      <c r="D299" s="24" t="s">
        <v>29</v>
      </c>
      <c r="E299" s="25">
        <v>120</v>
      </c>
      <c r="F299" s="24"/>
      <c r="G299" s="26">
        <v>2</v>
      </c>
      <c r="H299" s="26">
        <v>0</v>
      </c>
      <c r="I299" s="25">
        <f t="shared" si="20"/>
        <v>0</v>
      </c>
      <c r="J299" s="25">
        <v>120</v>
      </c>
      <c r="K299" s="26">
        <v>1</v>
      </c>
      <c r="L299" s="26">
        <v>2</v>
      </c>
      <c r="M299" s="26">
        <v>2</v>
      </c>
      <c r="N299" s="25">
        <f t="shared" si="21"/>
        <v>240</v>
      </c>
      <c r="O299" s="25">
        <v>120</v>
      </c>
      <c r="P299" s="24"/>
      <c r="Q299" s="26">
        <v>2</v>
      </c>
      <c r="R299" s="26">
        <v>0</v>
      </c>
      <c r="S299" s="25">
        <f t="shared" si="22"/>
        <v>0</v>
      </c>
      <c r="T299" s="25">
        <v>120</v>
      </c>
      <c r="U299" s="24"/>
      <c r="V299" s="26">
        <v>2</v>
      </c>
      <c r="W299" s="26">
        <v>0</v>
      </c>
      <c r="X299" s="25">
        <f t="shared" si="23"/>
        <v>0</v>
      </c>
      <c r="Y299" s="25">
        <v>110</v>
      </c>
      <c r="Z299" s="24"/>
      <c r="AA299" s="26">
        <v>2</v>
      </c>
      <c r="AB299" s="26">
        <v>0</v>
      </c>
      <c r="AC299" s="25">
        <f t="shared" si="24"/>
        <v>0</v>
      </c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</row>
    <row r="300" spans="1:41">
      <c r="A300" s="24" t="s">
        <v>52</v>
      </c>
      <c r="B300" s="24" t="s">
        <v>283</v>
      </c>
      <c r="C300" s="24" t="s">
        <v>68</v>
      </c>
      <c r="D300" s="24" t="s">
        <v>13</v>
      </c>
      <c r="E300" s="25">
        <v>120</v>
      </c>
      <c r="F300" s="24"/>
      <c r="G300" s="26">
        <v>1</v>
      </c>
      <c r="H300" s="26">
        <v>0</v>
      </c>
      <c r="I300" s="25">
        <f t="shared" si="20"/>
        <v>0</v>
      </c>
      <c r="J300" s="25">
        <v>120</v>
      </c>
      <c r="K300" s="24"/>
      <c r="L300" s="26">
        <v>1</v>
      </c>
      <c r="M300" s="26">
        <v>0</v>
      </c>
      <c r="N300" s="25">
        <f t="shared" si="21"/>
        <v>0</v>
      </c>
      <c r="O300" s="25">
        <v>120</v>
      </c>
      <c r="P300" s="24"/>
      <c r="Q300" s="26">
        <v>1</v>
      </c>
      <c r="R300" s="26">
        <v>0</v>
      </c>
      <c r="S300" s="25">
        <f t="shared" si="22"/>
        <v>0</v>
      </c>
      <c r="T300" s="25">
        <v>120</v>
      </c>
      <c r="U300" s="26">
        <v>1</v>
      </c>
      <c r="V300" s="26">
        <v>1</v>
      </c>
      <c r="W300" s="26">
        <v>1</v>
      </c>
      <c r="X300" s="25">
        <f t="shared" si="23"/>
        <v>120</v>
      </c>
      <c r="Y300" s="25">
        <v>110</v>
      </c>
      <c r="Z300" s="24"/>
      <c r="AA300" s="26">
        <v>1</v>
      </c>
      <c r="AB300" s="26">
        <v>0</v>
      </c>
      <c r="AC300" s="25">
        <f t="shared" si="24"/>
        <v>0</v>
      </c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</row>
    <row r="301" spans="1:41">
      <c r="A301" s="39" t="s">
        <v>52</v>
      </c>
      <c r="B301" s="39" t="s">
        <v>284</v>
      </c>
      <c r="C301" s="39" t="s">
        <v>70</v>
      </c>
      <c r="D301" s="39" t="s">
        <v>29</v>
      </c>
      <c r="E301" s="40">
        <v>140</v>
      </c>
      <c r="F301" s="39"/>
      <c r="G301" s="41">
        <v>2</v>
      </c>
      <c r="H301" s="41">
        <v>0</v>
      </c>
      <c r="I301" s="40">
        <f t="shared" si="20"/>
        <v>0</v>
      </c>
      <c r="J301" s="40">
        <v>140</v>
      </c>
      <c r="K301" s="39"/>
      <c r="L301" s="41">
        <v>2</v>
      </c>
      <c r="M301" s="41">
        <v>0</v>
      </c>
      <c r="N301" s="40">
        <f t="shared" si="21"/>
        <v>0</v>
      </c>
      <c r="O301" s="40">
        <v>120</v>
      </c>
      <c r="P301" s="39"/>
      <c r="Q301" s="41">
        <v>2</v>
      </c>
      <c r="R301" s="41">
        <v>0</v>
      </c>
      <c r="S301" s="40">
        <f t="shared" si="22"/>
        <v>0</v>
      </c>
      <c r="T301" s="40">
        <v>140</v>
      </c>
      <c r="U301" s="41">
        <v>2</v>
      </c>
      <c r="V301" s="41">
        <v>2</v>
      </c>
      <c r="W301" s="41">
        <v>4</v>
      </c>
      <c r="X301" s="40">
        <f t="shared" si="23"/>
        <v>560</v>
      </c>
      <c r="Y301" s="40">
        <v>140</v>
      </c>
      <c r="Z301" s="39"/>
      <c r="AA301" s="41">
        <v>2</v>
      </c>
      <c r="AB301" s="41">
        <v>0</v>
      </c>
      <c r="AC301" s="40">
        <f t="shared" si="24"/>
        <v>0</v>
      </c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</row>
    <row r="302" spans="1:41">
      <c r="A302" s="24" t="s">
        <v>52</v>
      </c>
      <c r="B302" s="24" t="s">
        <v>284</v>
      </c>
      <c r="C302" s="24" t="s">
        <v>68</v>
      </c>
      <c r="D302" s="24" t="s">
        <v>13</v>
      </c>
      <c r="E302" s="25">
        <v>120</v>
      </c>
      <c r="F302" s="24"/>
      <c r="G302" s="26">
        <v>1</v>
      </c>
      <c r="H302" s="26">
        <v>0</v>
      </c>
      <c r="I302" s="25">
        <f t="shared" si="20"/>
        <v>0</v>
      </c>
      <c r="J302" s="25">
        <v>120</v>
      </c>
      <c r="K302" s="24"/>
      <c r="L302" s="26">
        <v>1</v>
      </c>
      <c r="M302" s="26">
        <v>0</v>
      </c>
      <c r="N302" s="25">
        <f t="shared" si="21"/>
        <v>0</v>
      </c>
      <c r="O302" s="25">
        <v>120</v>
      </c>
      <c r="P302" s="24"/>
      <c r="Q302" s="26">
        <v>1</v>
      </c>
      <c r="R302" s="26">
        <v>0</v>
      </c>
      <c r="S302" s="25">
        <f t="shared" si="22"/>
        <v>0</v>
      </c>
      <c r="T302" s="25">
        <v>120</v>
      </c>
      <c r="U302" s="24"/>
      <c r="V302" s="26">
        <v>1</v>
      </c>
      <c r="W302" s="26">
        <v>0</v>
      </c>
      <c r="X302" s="25">
        <f t="shared" si="23"/>
        <v>0</v>
      </c>
      <c r="Y302" s="25">
        <v>110</v>
      </c>
      <c r="Z302" s="26">
        <v>1</v>
      </c>
      <c r="AA302" s="26">
        <v>1</v>
      </c>
      <c r="AB302" s="26">
        <v>1</v>
      </c>
      <c r="AC302" s="25">
        <f t="shared" si="24"/>
        <v>110</v>
      </c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</row>
    <row r="303" spans="1:41">
      <c r="A303" s="39" t="s">
        <v>52</v>
      </c>
      <c r="B303" s="39" t="s">
        <v>285</v>
      </c>
      <c r="C303" s="39" t="s">
        <v>70</v>
      </c>
      <c r="D303" s="39" t="s">
        <v>13</v>
      </c>
      <c r="E303" s="40">
        <v>140</v>
      </c>
      <c r="F303" s="39"/>
      <c r="G303" s="41">
        <v>1</v>
      </c>
      <c r="H303" s="41">
        <v>0</v>
      </c>
      <c r="I303" s="40">
        <f t="shared" si="20"/>
        <v>0</v>
      </c>
      <c r="J303" s="40">
        <v>140</v>
      </c>
      <c r="K303" s="39"/>
      <c r="L303" s="41">
        <v>1</v>
      </c>
      <c r="M303" s="41">
        <v>0</v>
      </c>
      <c r="N303" s="40">
        <f t="shared" si="21"/>
        <v>0</v>
      </c>
      <c r="O303" s="40">
        <v>120</v>
      </c>
      <c r="P303" s="39"/>
      <c r="Q303" s="41">
        <v>1</v>
      </c>
      <c r="R303" s="41">
        <v>0</v>
      </c>
      <c r="S303" s="40">
        <f t="shared" si="22"/>
        <v>0</v>
      </c>
      <c r="T303" s="40">
        <v>140</v>
      </c>
      <c r="U303" s="41">
        <v>1</v>
      </c>
      <c r="V303" s="41">
        <v>1</v>
      </c>
      <c r="W303" s="41">
        <v>1</v>
      </c>
      <c r="X303" s="40">
        <f t="shared" si="23"/>
        <v>140</v>
      </c>
      <c r="Y303" s="40">
        <v>140</v>
      </c>
      <c r="Z303" s="39"/>
      <c r="AA303" s="41">
        <v>1</v>
      </c>
      <c r="AB303" s="41">
        <v>0</v>
      </c>
      <c r="AC303" s="40">
        <f t="shared" si="24"/>
        <v>0</v>
      </c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</row>
    <row r="304" spans="1:41">
      <c r="A304" s="39" t="s">
        <v>52</v>
      </c>
      <c r="B304" s="39" t="s">
        <v>285</v>
      </c>
      <c r="C304" s="39" t="s">
        <v>70</v>
      </c>
      <c r="D304" s="39" t="s">
        <v>55</v>
      </c>
      <c r="E304" s="40">
        <v>140</v>
      </c>
      <c r="F304" s="39"/>
      <c r="G304" s="41">
        <v>3</v>
      </c>
      <c r="H304" s="41">
        <v>0</v>
      </c>
      <c r="I304" s="40">
        <f t="shared" si="20"/>
        <v>0</v>
      </c>
      <c r="J304" s="40">
        <v>140</v>
      </c>
      <c r="K304" s="39"/>
      <c r="L304" s="41">
        <v>3</v>
      </c>
      <c r="M304" s="41">
        <v>0</v>
      </c>
      <c r="N304" s="40">
        <f t="shared" si="21"/>
        <v>0</v>
      </c>
      <c r="O304" s="40">
        <v>120</v>
      </c>
      <c r="P304" s="39"/>
      <c r="Q304" s="41">
        <v>3</v>
      </c>
      <c r="R304" s="41">
        <v>0</v>
      </c>
      <c r="S304" s="40">
        <f t="shared" si="22"/>
        <v>0</v>
      </c>
      <c r="T304" s="40">
        <v>140</v>
      </c>
      <c r="U304" s="41">
        <v>2</v>
      </c>
      <c r="V304" s="41">
        <v>3</v>
      </c>
      <c r="W304" s="41">
        <v>6</v>
      </c>
      <c r="X304" s="40">
        <f t="shared" si="23"/>
        <v>840</v>
      </c>
      <c r="Y304" s="40">
        <v>140</v>
      </c>
      <c r="Z304" s="39"/>
      <c r="AA304" s="41">
        <v>3</v>
      </c>
      <c r="AB304" s="41">
        <v>0</v>
      </c>
      <c r="AC304" s="40">
        <f t="shared" si="24"/>
        <v>0</v>
      </c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</row>
    <row r="305" spans="1:41">
      <c r="A305" s="24" t="s">
        <v>52</v>
      </c>
      <c r="B305" s="24" t="s">
        <v>285</v>
      </c>
      <c r="C305" s="24" t="s">
        <v>68</v>
      </c>
      <c r="D305" s="24" t="s">
        <v>13</v>
      </c>
      <c r="E305" s="25">
        <v>120</v>
      </c>
      <c r="F305" s="24"/>
      <c r="G305" s="26">
        <v>1</v>
      </c>
      <c r="H305" s="26">
        <v>0</v>
      </c>
      <c r="I305" s="25">
        <f t="shared" si="20"/>
        <v>0</v>
      </c>
      <c r="J305" s="25">
        <v>120</v>
      </c>
      <c r="K305" s="24"/>
      <c r="L305" s="26">
        <v>1</v>
      </c>
      <c r="M305" s="26">
        <v>0</v>
      </c>
      <c r="N305" s="25">
        <f t="shared" si="21"/>
        <v>0</v>
      </c>
      <c r="O305" s="25">
        <v>120</v>
      </c>
      <c r="P305" s="24"/>
      <c r="Q305" s="26">
        <v>1</v>
      </c>
      <c r="R305" s="26">
        <v>0</v>
      </c>
      <c r="S305" s="25">
        <f t="shared" si="22"/>
        <v>0</v>
      </c>
      <c r="T305" s="25">
        <v>120</v>
      </c>
      <c r="U305" s="26">
        <v>1</v>
      </c>
      <c r="V305" s="26">
        <v>1</v>
      </c>
      <c r="W305" s="26">
        <v>1</v>
      </c>
      <c r="X305" s="25">
        <f t="shared" si="23"/>
        <v>120</v>
      </c>
      <c r="Y305" s="25">
        <v>110</v>
      </c>
      <c r="Z305" s="24"/>
      <c r="AA305" s="26">
        <v>1</v>
      </c>
      <c r="AB305" s="26">
        <v>0</v>
      </c>
      <c r="AC305" s="25">
        <f t="shared" si="24"/>
        <v>0</v>
      </c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</row>
    <row r="306" spans="1:41">
      <c r="A306" s="24" t="s">
        <v>52</v>
      </c>
      <c r="B306" s="24" t="s">
        <v>285</v>
      </c>
      <c r="C306" s="24" t="s">
        <v>68</v>
      </c>
      <c r="D306" s="24" t="s">
        <v>29</v>
      </c>
      <c r="E306" s="25">
        <v>120</v>
      </c>
      <c r="F306" s="24"/>
      <c r="G306" s="26">
        <v>2</v>
      </c>
      <c r="H306" s="26">
        <v>0</v>
      </c>
      <c r="I306" s="25">
        <f t="shared" si="20"/>
        <v>0</v>
      </c>
      <c r="J306" s="25">
        <v>120</v>
      </c>
      <c r="K306" s="24"/>
      <c r="L306" s="26">
        <v>2</v>
      </c>
      <c r="M306" s="26">
        <v>0</v>
      </c>
      <c r="N306" s="25">
        <f t="shared" si="21"/>
        <v>0</v>
      </c>
      <c r="O306" s="25">
        <v>120</v>
      </c>
      <c r="P306" s="24"/>
      <c r="Q306" s="26">
        <v>2</v>
      </c>
      <c r="R306" s="26">
        <v>0</v>
      </c>
      <c r="S306" s="25">
        <f t="shared" si="22"/>
        <v>0</v>
      </c>
      <c r="T306" s="25">
        <v>120</v>
      </c>
      <c r="U306" s="26">
        <v>1</v>
      </c>
      <c r="V306" s="26">
        <v>2</v>
      </c>
      <c r="W306" s="26">
        <v>2</v>
      </c>
      <c r="X306" s="25">
        <f t="shared" si="23"/>
        <v>240</v>
      </c>
      <c r="Y306" s="25">
        <v>110</v>
      </c>
      <c r="Z306" s="24"/>
      <c r="AA306" s="26">
        <v>2</v>
      </c>
      <c r="AB306" s="26">
        <v>0</v>
      </c>
      <c r="AC306" s="25">
        <f t="shared" si="24"/>
        <v>0</v>
      </c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</row>
    <row r="307" spans="1:41">
      <c r="A307" s="24" t="s">
        <v>52</v>
      </c>
      <c r="B307" s="24" t="s">
        <v>285</v>
      </c>
      <c r="C307" s="24" t="s">
        <v>68</v>
      </c>
      <c r="D307" s="24" t="s">
        <v>55</v>
      </c>
      <c r="E307" s="25">
        <v>120</v>
      </c>
      <c r="F307" s="24"/>
      <c r="G307" s="26">
        <v>3</v>
      </c>
      <c r="H307" s="26">
        <v>0</v>
      </c>
      <c r="I307" s="25">
        <f t="shared" si="20"/>
        <v>0</v>
      </c>
      <c r="J307" s="25">
        <v>120</v>
      </c>
      <c r="K307" s="24"/>
      <c r="L307" s="26">
        <v>3</v>
      </c>
      <c r="M307" s="26">
        <v>0</v>
      </c>
      <c r="N307" s="25">
        <f t="shared" si="21"/>
        <v>0</v>
      </c>
      <c r="O307" s="25">
        <v>120</v>
      </c>
      <c r="P307" s="24"/>
      <c r="Q307" s="26">
        <v>3</v>
      </c>
      <c r="R307" s="26">
        <v>0</v>
      </c>
      <c r="S307" s="25">
        <f t="shared" si="22"/>
        <v>0</v>
      </c>
      <c r="T307" s="25">
        <v>120</v>
      </c>
      <c r="U307" s="26">
        <v>1</v>
      </c>
      <c r="V307" s="26">
        <v>3</v>
      </c>
      <c r="W307" s="26">
        <v>3</v>
      </c>
      <c r="X307" s="25">
        <f t="shared" si="23"/>
        <v>360</v>
      </c>
      <c r="Y307" s="25">
        <v>110</v>
      </c>
      <c r="Z307" s="24"/>
      <c r="AA307" s="26">
        <v>3</v>
      </c>
      <c r="AB307" s="26">
        <v>0</v>
      </c>
      <c r="AC307" s="25">
        <f t="shared" si="24"/>
        <v>0</v>
      </c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</row>
    <row r="308" spans="1:41">
      <c r="A308" s="24" t="s">
        <v>52</v>
      </c>
      <c r="B308" s="24" t="s">
        <v>286</v>
      </c>
      <c r="C308" s="24" t="s">
        <v>68</v>
      </c>
      <c r="D308" s="24" t="s">
        <v>13</v>
      </c>
      <c r="E308" s="25">
        <v>120</v>
      </c>
      <c r="F308" s="24"/>
      <c r="G308" s="26">
        <v>1</v>
      </c>
      <c r="H308" s="26">
        <v>0</v>
      </c>
      <c r="I308" s="25">
        <f t="shared" si="20"/>
        <v>0</v>
      </c>
      <c r="J308" s="25">
        <v>120</v>
      </c>
      <c r="K308" s="26">
        <v>1</v>
      </c>
      <c r="L308" s="26">
        <v>1</v>
      </c>
      <c r="M308" s="26">
        <v>1</v>
      </c>
      <c r="N308" s="25">
        <f t="shared" si="21"/>
        <v>120</v>
      </c>
      <c r="O308" s="25">
        <v>120</v>
      </c>
      <c r="P308" s="24"/>
      <c r="Q308" s="26">
        <v>1</v>
      </c>
      <c r="R308" s="26">
        <v>0</v>
      </c>
      <c r="S308" s="25">
        <f t="shared" si="22"/>
        <v>0</v>
      </c>
      <c r="T308" s="25">
        <v>120</v>
      </c>
      <c r="U308" s="24"/>
      <c r="V308" s="26">
        <v>1</v>
      </c>
      <c r="W308" s="26">
        <v>0</v>
      </c>
      <c r="X308" s="25">
        <f t="shared" si="23"/>
        <v>0</v>
      </c>
      <c r="Y308" s="25">
        <v>110</v>
      </c>
      <c r="Z308" s="24"/>
      <c r="AA308" s="26">
        <v>1</v>
      </c>
      <c r="AB308" s="26">
        <v>0</v>
      </c>
      <c r="AC308" s="25">
        <f t="shared" si="24"/>
        <v>0</v>
      </c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</row>
    <row r="309" spans="1:41">
      <c r="A309" s="39" t="s">
        <v>52</v>
      </c>
      <c r="B309" s="39" t="s">
        <v>287</v>
      </c>
      <c r="C309" s="39" t="s">
        <v>70</v>
      </c>
      <c r="D309" s="39" t="s">
        <v>13</v>
      </c>
      <c r="E309" s="40">
        <v>140</v>
      </c>
      <c r="F309" s="39"/>
      <c r="G309" s="41">
        <v>1</v>
      </c>
      <c r="H309" s="41">
        <v>0</v>
      </c>
      <c r="I309" s="40">
        <f t="shared" si="20"/>
        <v>0</v>
      </c>
      <c r="J309" s="40">
        <v>140</v>
      </c>
      <c r="K309" s="39"/>
      <c r="L309" s="41">
        <v>1</v>
      </c>
      <c r="M309" s="41">
        <v>0</v>
      </c>
      <c r="N309" s="40">
        <f t="shared" si="21"/>
        <v>0</v>
      </c>
      <c r="O309" s="40">
        <v>120</v>
      </c>
      <c r="P309" s="39"/>
      <c r="Q309" s="41">
        <v>1</v>
      </c>
      <c r="R309" s="41">
        <v>0</v>
      </c>
      <c r="S309" s="40">
        <f t="shared" si="22"/>
        <v>0</v>
      </c>
      <c r="T309" s="40">
        <v>140</v>
      </c>
      <c r="U309" s="41">
        <v>4</v>
      </c>
      <c r="V309" s="41">
        <v>1</v>
      </c>
      <c r="W309" s="41">
        <v>4</v>
      </c>
      <c r="X309" s="40">
        <f t="shared" si="23"/>
        <v>560</v>
      </c>
      <c r="Y309" s="40">
        <v>140</v>
      </c>
      <c r="Z309" s="39"/>
      <c r="AA309" s="41">
        <v>1</v>
      </c>
      <c r="AB309" s="41">
        <v>0</v>
      </c>
      <c r="AC309" s="40">
        <f t="shared" si="24"/>
        <v>0</v>
      </c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</row>
    <row r="310" spans="1:41">
      <c r="A310" s="24" t="s">
        <v>52</v>
      </c>
      <c r="B310" s="24" t="s">
        <v>287</v>
      </c>
      <c r="C310" s="24" t="s">
        <v>68</v>
      </c>
      <c r="D310" s="24" t="s">
        <v>13</v>
      </c>
      <c r="E310" s="25">
        <v>120</v>
      </c>
      <c r="F310" s="24"/>
      <c r="G310" s="26">
        <v>1</v>
      </c>
      <c r="H310" s="26">
        <v>0</v>
      </c>
      <c r="I310" s="25">
        <f t="shared" si="20"/>
        <v>0</v>
      </c>
      <c r="J310" s="25">
        <v>120</v>
      </c>
      <c r="K310" s="26">
        <v>1</v>
      </c>
      <c r="L310" s="26">
        <v>1</v>
      </c>
      <c r="M310" s="26">
        <v>1</v>
      </c>
      <c r="N310" s="25">
        <f t="shared" si="21"/>
        <v>120</v>
      </c>
      <c r="O310" s="25">
        <v>120</v>
      </c>
      <c r="P310" s="24"/>
      <c r="Q310" s="26">
        <v>1</v>
      </c>
      <c r="R310" s="26">
        <v>0</v>
      </c>
      <c r="S310" s="25">
        <f t="shared" si="22"/>
        <v>0</v>
      </c>
      <c r="T310" s="25">
        <v>120</v>
      </c>
      <c r="U310" s="26">
        <v>3</v>
      </c>
      <c r="V310" s="26">
        <v>1</v>
      </c>
      <c r="W310" s="26">
        <v>3</v>
      </c>
      <c r="X310" s="25">
        <f t="shared" si="23"/>
        <v>360</v>
      </c>
      <c r="Y310" s="25">
        <v>110</v>
      </c>
      <c r="Z310" s="24"/>
      <c r="AA310" s="26">
        <v>1</v>
      </c>
      <c r="AB310" s="26">
        <v>0</v>
      </c>
      <c r="AC310" s="25">
        <f t="shared" si="24"/>
        <v>0</v>
      </c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</row>
    <row r="311" spans="1:41">
      <c r="A311" s="36" t="s">
        <v>52</v>
      </c>
      <c r="B311" s="36" t="s">
        <v>288</v>
      </c>
      <c r="C311" s="36" t="s">
        <v>68</v>
      </c>
      <c r="D311" s="36" t="s">
        <v>13</v>
      </c>
      <c r="E311" s="37">
        <v>120</v>
      </c>
      <c r="F311" s="36"/>
      <c r="G311" s="38">
        <v>1</v>
      </c>
      <c r="H311" s="38">
        <v>0</v>
      </c>
      <c r="I311" s="37">
        <f t="shared" si="20"/>
        <v>0</v>
      </c>
      <c r="J311" s="37">
        <v>120</v>
      </c>
      <c r="K311" s="38">
        <v>1</v>
      </c>
      <c r="L311" s="38">
        <v>1</v>
      </c>
      <c r="M311" s="38">
        <v>1</v>
      </c>
      <c r="N311" s="37">
        <f t="shared" si="21"/>
        <v>120</v>
      </c>
      <c r="O311" s="37">
        <v>120</v>
      </c>
      <c r="P311" s="36"/>
      <c r="Q311" s="38">
        <v>1</v>
      </c>
      <c r="R311" s="38">
        <v>0</v>
      </c>
      <c r="S311" s="37">
        <f t="shared" si="22"/>
        <v>0</v>
      </c>
      <c r="T311" s="37">
        <v>120</v>
      </c>
      <c r="U311" s="36"/>
      <c r="V311" s="38">
        <v>1</v>
      </c>
      <c r="W311" s="38">
        <v>0</v>
      </c>
      <c r="X311" s="37">
        <f t="shared" si="23"/>
        <v>0</v>
      </c>
      <c r="Y311" s="37">
        <v>110</v>
      </c>
      <c r="Z311" s="36"/>
      <c r="AA311" s="38">
        <v>1</v>
      </c>
      <c r="AB311" s="38">
        <v>0</v>
      </c>
      <c r="AC311" s="37">
        <f t="shared" si="24"/>
        <v>0</v>
      </c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</row>
    <row r="312" spans="1:41">
      <c r="A312" s="36" t="s">
        <v>52</v>
      </c>
      <c r="B312" s="36" t="s">
        <v>289</v>
      </c>
      <c r="C312" s="36" t="s">
        <v>68</v>
      </c>
      <c r="D312" s="36" t="s">
        <v>29</v>
      </c>
      <c r="E312" s="37">
        <v>120</v>
      </c>
      <c r="F312" s="36"/>
      <c r="G312" s="38">
        <v>2</v>
      </c>
      <c r="H312" s="38">
        <v>0</v>
      </c>
      <c r="I312" s="37">
        <f t="shared" si="20"/>
        <v>0</v>
      </c>
      <c r="J312" s="37">
        <v>120</v>
      </c>
      <c r="K312" s="38">
        <v>1</v>
      </c>
      <c r="L312" s="38">
        <v>2</v>
      </c>
      <c r="M312" s="38">
        <v>2</v>
      </c>
      <c r="N312" s="37">
        <f t="shared" si="21"/>
        <v>240</v>
      </c>
      <c r="O312" s="37">
        <v>120</v>
      </c>
      <c r="P312" s="36"/>
      <c r="Q312" s="38">
        <v>2</v>
      </c>
      <c r="R312" s="38">
        <v>0</v>
      </c>
      <c r="S312" s="37">
        <f t="shared" si="22"/>
        <v>0</v>
      </c>
      <c r="T312" s="37">
        <v>120</v>
      </c>
      <c r="U312" s="36"/>
      <c r="V312" s="38">
        <v>2</v>
      </c>
      <c r="W312" s="38">
        <v>0</v>
      </c>
      <c r="X312" s="37">
        <f t="shared" si="23"/>
        <v>0</v>
      </c>
      <c r="Y312" s="37">
        <v>110</v>
      </c>
      <c r="Z312" s="36"/>
      <c r="AA312" s="38">
        <v>2</v>
      </c>
      <c r="AB312" s="38">
        <v>0</v>
      </c>
      <c r="AC312" s="37">
        <f t="shared" si="24"/>
        <v>0</v>
      </c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</row>
    <row r="313" spans="1:41">
      <c r="A313" s="24" t="s">
        <v>52</v>
      </c>
      <c r="B313" s="24" t="s">
        <v>290</v>
      </c>
      <c r="C313" s="24" t="s">
        <v>68</v>
      </c>
      <c r="D313" s="24" t="s">
        <v>29</v>
      </c>
      <c r="E313" s="25">
        <v>120</v>
      </c>
      <c r="F313" s="24"/>
      <c r="G313" s="26">
        <v>2</v>
      </c>
      <c r="H313" s="26">
        <v>0</v>
      </c>
      <c r="I313" s="25">
        <f t="shared" si="20"/>
        <v>0</v>
      </c>
      <c r="J313" s="25">
        <v>120</v>
      </c>
      <c r="K313" s="26">
        <v>1</v>
      </c>
      <c r="L313" s="26">
        <v>2</v>
      </c>
      <c r="M313" s="26">
        <v>2</v>
      </c>
      <c r="N313" s="25">
        <f t="shared" si="21"/>
        <v>240</v>
      </c>
      <c r="O313" s="25">
        <v>120</v>
      </c>
      <c r="P313" s="24"/>
      <c r="Q313" s="26">
        <v>2</v>
      </c>
      <c r="R313" s="26">
        <v>0</v>
      </c>
      <c r="S313" s="25">
        <f t="shared" si="22"/>
        <v>0</v>
      </c>
      <c r="T313" s="25">
        <v>120</v>
      </c>
      <c r="U313" s="24"/>
      <c r="V313" s="26">
        <v>2</v>
      </c>
      <c r="W313" s="26">
        <v>0</v>
      </c>
      <c r="X313" s="25">
        <f t="shared" si="23"/>
        <v>0</v>
      </c>
      <c r="Y313" s="25">
        <v>110</v>
      </c>
      <c r="Z313" s="24"/>
      <c r="AA313" s="26">
        <v>2</v>
      </c>
      <c r="AB313" s="26">
        <v>0</v>
      </c>
      <c r="AC313" s="25">
        <f t="shared" si="24"/>
        <v>0</v>
      </c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</row>
    <row r="314" spans="1:41">
      <c r="A314" s="36" t="s">
        <v>52</v>
      </c>
      <c r="B314" s="36" t="s">
        <v>291</v>
      </c>
      <c r="C314" s="36" t="s">
        <v>68</v>
      </c>
      <c r="D314" s="36" t="s">
        <v>13</v>
      </c>
      <c r="E314" s="37">
        <v>120</v>
      </c>
      <c r="F314" s="36"/>
      <c r="G314" s="38">
        <v>1</v>
      </c>
      <c r="H314" s="38">
        <v>0</v>
      </c>
      <c r="I314" s="37">
        <f t="shared" si="20"/>
        <v>0</v>
      </c>
      <c r="J314" s="37">
        <v>120</v>
      </c>
      <c r="K314" s="36"/>
      <c r="L314" s="38">
        <v>1</v>
      </c>
      <c r="M314" s="38">
        <v>0</v>
      </c>
      <c r="N314" s="37">
        <f t="shared" si="21"/>
        <v>0</v>
      </c>
      <c r="O314" s="37">
        <v>120</v>
      </c>
      <c r="P314" s="36"/>
      <c r="Q314" s="38">
        <v>1</v>
      </c>
      <c r="R314" s="38">
        <v>0</v>
      </c>
      <c r="S314" s="37">
        <f t="shared" si="22"/>
        <v>0</v>
      </c>
      <c r="T314" s="37">
        <v>120</v>
      </c>
      <c r="U314" s="38">
        <v>1</v>
      </c>
      <c r="V314" s="38">
        <v>1</v>
      </c>
      <c r="W314" s="38">
        <v>1</v>
      </c>
      <c r="X314" s="37">
        <f t="shared" si="23"/>
        <v>120</v>
      </c>
      <c r="Y314" s="37">
        <v>110</v>
      </c>
      <c r="Z314" s="36"/>
      <c r="AA314" s="38">
        <v>1</v>
      </c>
      <c r="AB314" s="38">
        <v>0</v>
      </c>
      <c r="AC314" s="37">
        <f t="shared" si="24"/>
        <v>0</v>
      </c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</row>
    <row r="315" spans="1:41">
      <c r="A315" s="36" t="s">
        <v>52</v>
      </c>
      <c r="B315" s="36" t="s">
        <v>291</v>
      </c>
      <c r="C315" s="36" t="s">
        <v>68</v>
      </c>
      <c r="D315" s="36" t="s">
        <v>29</v>
      </c>
      <c r="E315" s="37">
        <v>120</v>
      </c>
      <c r="F315" s="36"/>
      <c r="G315" s="38">
        <v>2</v>
      </c>
      <c r="H315" s="38">
        <v>0</v>
      </c>
      <c r="I315" s="37">
        <f t="shared" si="20"/>
        <v>0</v>
      </c>
      <c r="J315" s="37">
        <v>120</v>
      </c>
      <c r="K315" s="36"/>
      <c r="L315" s="38">
        <v>2</v>
      </c>
      <c r="M315" s="38">
        <v>0</v>
      </c>
      <c r="N315" s="37">
        <f t="shared" si="21"/>
        <v>0</v>
      </c>
      <c r="O315" s="37">
        <v>120</v>
      </c>
      <c r="P315" s="36"/>
      <c r="Q315" s="38">
        <v>2</v>
      </c>
      <c r="R315" s="38">
        <v>0</v>
      </c>
      <c r="S315" s="37">
        <f t="shared" si="22"/>
        <v>0</v>
      </c>
      <c r="T315" s="37">
        <v>120</v>
      </c>
      <c r="U315" s="38">
        <v>1</v>
      </c>
      <c r="V315" s="38">
        <v>2</v>
      </c>
      <c r="W315" s="38">
        <v>2</v>
      </c>
      <c r="X315" s="37">
        <f t="shared" si="23"/>
        <v>240</v>
      </c>
      <c r="Y315" s="37">
        <v>110</v>
      </c>
      <c r="Z315" s="36"/>
      <c r="AA315" s="38">
        <v>2</v>
      </c>
      <c r="AB315" s="38">
        <v>0</v>
      </c>
      <c r="AC315" s="37">
        <f t="shared" si="24"/>
        <v>0</v>
      </c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</row>
    <row r="316" spans="1:41">
      <c r="A316" s="24" t="s">
        <v>52</v>
      </c>
      <c r="B316" s="24" t="s">
        <v>292</v>
      </c>
      <c r="C316" s="24" t="s">
        <v>68</v>
      </c>
      <c r="D316" s="24" t="s">
        <v>55</v>
      </c>
      <c r="E316" s="25">
        <v>120</v>
      </c>
      <c r="F316" s="24"/>
      <c r="G316" s="26">
        <v>3</v>
      </c>
      <c r="H316" s="26">
        <v>0</v>
      </c>
      <c r="I316" s="25">
        <f t="shared" si="20"/>
        <v>0</v>
      </c>
      <c r="J316" s="25">
        <v>120</v>
      </c>
      <c r="K316" s="26">
        <v>1</v>
      </c>
      <c r="L316" s="26">
        <v>3</v>
      </c>
      <c r="M316" s="26">
        <v>3</v>
      </c>
      <c r="N316" s="25">
        <f t="shared" si="21"/>
        <v>360</v>
      </c>
      <c r="O316" s="25">
        <v>120</v>
      </c>
      <c r="P316" s="24"/>
      <c r="Q316" s="26">
        <v>3</v>
      </c>
      <c r="R316" s="26">
        <v>0</v>
      </c>
      <c r="S316" s="25">
        <f t="shared" si="22"/>
        <v>0</v>
      </c>
      <c r="T316" s="25">
        <v>120</v>
      </c>
      <c r="U316" s="24"/>
      <c r="V316" s="26">
        <v>3</v>
      </c>
      <c r="W316" s="26">
        <v>0</v>
      </c>
      <c r="X316" s="25">
        <f t="shared" si="23"/>
        <v>0</v>
      </c>
      <c r="Y316" s="25">
        <v>110</v>
      </c>
      <c r="Z316" s="24"/>
      <c r="AA316" s="26">
        <v>3</v>
      </c>
      <c r="AB316" s="26">
        <v>0</v>
      </c>
      <c r="AC316" s="25">
        <f t="shared" si="24"/>
        <v>0</v>
      </c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</row>
    <row r="317" spans="1:41">
      <c r="A317" s="36" t="s">
        <v>52</v>
      </c>
      <c r="B317" s="36" t="s">
        <v>293</v>
      </c>
      <c r="C317" s="36" t="s">
        <v>68</v>
      </c>
      <c r="D317" s="36" t="s">
        <v>13</v>
      </c>
      <c r="E317" s="37">
        <v>120</v>
      </c>
      <c r="F317" s="36"/>
      <c r="G317" s="38">
        <v>1</v>
      </c>
      <c r="H317" s="38">
        <v>0</v>
      </c>
      <c r="I317" s="37">
        <f t="shared" si="20"/>
        <v>0</v>
      </c>
      <c r="J317" s="37">
        <v>120</v>
      </c>
      <c r="K317" s="38">
        <v>3</v>
      </c>
      <c r="L317" s="38">
        <v>1</v>
      </c>
      <c r="M317" s="38">
        <v>3</v>
      </c>
      <c r="N317" s="37">
        <f t="shared" si="21"/>
        <v>360</v>
      </c>
      <c r="O317" s="37">
        <v>120</v>
      </c>
      <c r="P317" s="36"/>
      <c r="Q317" s="38">
        <v>1</v>
      </c>
      <c r="R317" s="38">
        <v>0</v>
      </c>
      <c r="S317" s="37">
        <f t="shared" si="22"/>
        <v>0</v>
      </c>
      <c r="T317" s="37">
        <v>120</v>
      </c>
      <c r="U317" s="36"/>
      <c r="V317" s="38">
        <v>1</v>
      </c>
      <c r="W317" s="38">
        <v>0</v>
      </c>
      <c r="X317" s="37">
        <f t="shared" si="23"/>
        <v>0</v>
      </c>
      <c r="Y317" s="37">
        <v>110</v>
      </c>
      <c r="Z317" s="36"/>
      <c r="AA317" s="38">
        <v>1</v>
      </c>
      <c r="AB317" s="38">
        <v>0</v>
      </c>
      <c r="AC317" s="37">
        <f t="shared" si="24"/>
        <v>0</v>
      </c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</row>
    <row r="318" spans="1:41">
      <c r="A318" s="24" t="s">
        <v>52</v>
      </c>
      <c r="B318" s="24" t="s">
        <v>294</v>
      </c>
      <c r="C318" s="24" t="s">
        <v>68</v>
      </c>
      <c r="D318" s="24" t="s">
        <v>189</v>
      </c>
      <c r="E318" s="25">
        <v>120</v>
      </c>
      <c r="F318" s="24"/>
      <c r="G318" s="26">
        <v>4</v>
      </c>
      <c r="H318" s="26">
        <v>0</v>
      </c>
      <c r="I318" s="25">
        <f t="shared" si="20"/>
        <v>0</v>
      </c>
      <c r="J318" s="25">
        <v>120</v>
      </c>
      <c r="K318" s="26">
        <v>1</v>
      </c>
      <c r="L318" s="26">
        <v>4</v>
      </c>
      <c r="M318" s="26">
        <v>4</v>
      </c>
      <c r="N318" s="25">
        <f t="shared" si="21"/>
        <v>480</v>
      </c>
      <c r="O318" s="25">
        <v>120</v>
      </c>
      <c r="P318" s="24"/>
      <c r="Q318" s="26">
        <v>4</v>
      </c>
      <c r="R318" s="26">
        <v>0</v>
      </c>
      <c r="S318" s="25">
        <f t="shared" si="22"/>
        <v>0</v>
      </c>
      <c r="T318" s="25">
        <v>120</v>
      </c>
      <c r="U318" s="24"/>
      <c r="V318" s="26">
        <v>4</v>
      </c>
      <c r="W318" s="26">
        <v>0</v>
      </c>
      <c r="X318" s="25">
        <f t="shared" si="23"/>
        <v>0</v>
      </c>
      <c r="Y318" s="25">
        <v>110</v>
      </c>
      <c r="Z318" s="24"/>
      <c r="AA318" s="26">
        <v>4</v>
      </c>
      <c r="AB318" s="26">
        <v>0</v>
      </c>
      <c r="AC318" s="25">
        <f t="shared" si="24"/>
        <v>0</v>
      </c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</row>
    <row r="319" spans="1:41">
      <c r="A319" s="24" t="s">
        <v>52</v>
      </c>
      <c r="B319" s="24" t="s">
        <v>295</v>
      </c>
      <c r="C319" s="24" t="s">
        <v>68</v>
      </c>
      <c r="D319" s="24" t="s">
        <v>29</v>
      </c>
      <c r="E319" s="25">
        <v>120</v>
      </c>
      <c r="F319" s="24"/>
      <c r="G319" s="26">
        <v>2</v>
      </c>
      <c r="H319" s="26">
        <v>0</v>
      </c>
      <c r="I319" s="25">
        <f t="shared" si="20"/>
        <v>0</v>
      </c>
      <c r="J319" s="25">
        <v>120</v>
      </c>
      <c r="K319" s="26">
        <v>3</v>
      </c>
      <c r="L319" s="26">
        <v>2</v>
      </c>
      <c r="M319" s="26">
        <v>6</v>
      </c>
      <c r="N319" s="25">
        <f t="shared" si="21"/>
        <v>720</v>
      </c>
      <c r="O319" s="25">
        <v>120</v>
      </c>
      <c r="P319" s="24"/>
      <c r="Q319" s="26">
        <v>2</v>
      </c>
      <c r="R319" s="26">
        <v>0</v>
      </c>
      <c r="S319" s="25">
        <f t="shared" si="22"/>
        <v>0</v>
      </c>
      <c r="T319" s="25">
        <v>120</v>
      </c>
      <c r="U319" s="24"/>
      <c r="V319" s="26">
        <v>2</v>
      </c>
      <c r="W319" s="26">
        <v>0</v>
      </c>
      <c r="X319" s="25">
        <f t="shared" si="23"/>
        <v>0</v>
      </c>
      <c r="Y319" s="25">
        <v>110</v>
      </c>
      <c r="Z319" s="24"/>
      <c r="AA319" s="26">
        <v>2</v>
      </c>
      <c r="AB319" s="26">
        <v>0</v>
      </c>
      <c r="AC319" s="25">
        <f t="shared" si="24"/>
        <v>0</v>
      </c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</row>
    <row r="320" spans="1:41">
      <c r="A320" s="36" t="s">
        <v>52</v>
      </c>
      <c r="B320" s="36" t="s">
        <v>296</v>
      </c>
      <c r="C320" s="36" t="s">
        <v>68</v>
      </c>
      <c r="D320" s="36" t="s">
        <v>13</v>
      </c>
      <c r="E320" s="37">
        <v>120</v>
      </c>
      <c r="F320" s="36"/>
      <c r="G320" s="38">
        <v>1</v>
      </c>
      <c r="H320" s="38">
        <v>0</v>
      </c>
      <c r="I320" s="37">
        <f t="shared" si="20"/>
        <v>0</v>
      </c>
      <c r="J320" s="37">
        <v>120</v>
      </c>
      <c r="K320" s="38">
        <v>8</v>
      </c>
      <c r="L320" s="38">
        <v>1</v>
      </c>
      <c r="M320" s="38">
        <v>8</v>
      </c>
      <c r="N320" s="37">
        <f t="shared" si="21"/>
        <v>960</v>
      </c>
      <c r="O320" s="37">
        <v>120</v>
      </c>
      <c r="P320" s="38">
        <v>1</v>
      </c>
      <c r="Q320" s="38">
        <v>1</v>
      </c>
      <c r="R320" s="38">
        <v>1</v>
      </c>
      <c r="S320" s="37">
        <f t="shared" si="22"/>
        <v>120</v>
      </c>
      <c r="T320" s="37">
        <v>120</v>
      </c>
      <c r="U320" s="36"/>
      <c r="V320" s="38">
        <v>1</v>
      </c>
      <c r="W320" s="38">
        <v>0</v>
      </c>
      <c r="X320" s="37">
        <f t="shared" si="23"/>
        <v>0</v>
      </c>
      <c r="Y320" s="37">
        <v>110</v>
      </c>
      <c r="Z320" s="36"/>
      <c r="AA320" s="38">
        <v>1</v>
      </c>
      <c r="AB320" s="38">
        <v>0</v>
      </c>
      <c r="AC320" s="37">
        <f t="shared" si="24"/>
        <v>0</v>
      </c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</row>
    <row r="321" spans="1:41">
      <c r="A321" s="36" t="s">
        <v>52</v>
      </c>
      <c r="B321" s="36" t="s">
        <v>297</v>
      </c>
      <c r="C321" s="36" t="s">
        <v>68</v>
      </c>
      <c r="D321" s="36" t="s">
        <v>13</v>
      </c>
      <c r="E321" s="37">
        <v>120</v>
      </c>
      <c r="F321" s="36"/>
      <c r="G321" s="38">
        <v>1</v>
      </c>
      <c r="H321" s="38">
        <v>0</v>
      </c>
      <c r="I321" s="37">
        <f t="shared" si="20"/>
        <v>0</v>
      </c>
      <c r="J321" s="37">
        <v>120</v>
      </c>
      <c r="K321" s="38">
        <v>13</v>
      </c>
      <c r="L321" s="38">
        <v>1</v>
      </c>
      <c r="M321" s="38">
        <v>13</v>
      </c>
      <c r="N321" s="37">
        <f t="shared" si="21"/>
        <v>1560</v>
      </c>
      <c r="O321" s="37">
        <v>120</v>
      </c>
      <c r="P321" s="38">
        <v>1</v>
      </c>
      <c r="Q321" s="38">
        <v>1</v>
      </c>
      <c r="R321" s="38">
        <v>1</v>
      </c>
      <c r="S321" s="37">
        <f t="shared" si="22"/>
        <v>120</v>
      </c>
      <c r="T321" s="37">
        <v>120</v>
      </c>
      <c r="U321" s="36"/>
      <c r="V321" s="38">
        <v>1</v>
      </c>
      <c r="W321" s="38">
        <v>0</v>
      </c>
      <c r="X321" s="37">
        <f t="shared" si="23"/>
        <v>0</v>
      </c>
      <c r="Y321" s="37">
        <v>110</v>
      </c>
      <c r="Z321" s="36"/>
      <c r="AA321" s="38">
        <v>1</v>
      </c>
      <c r="AB321" s="38">
        <v>0</v>
      </c>
      <c r="AC321" s="37">
        <f t="shared" si="24"/>
        <v>0</v>
      </c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</row>
    <row r="322" spans="1:41">
      <c r="A322" s="36" t="s">
        <v>52</v>
      </c>
      <c r="B322" s="36" t="s">
        <v>298</v>
      </c>
      <c r="C322" s="36" t="s">
        <v>68</v>
      </c>
      <c r="D322" s="36" t="s">
        <v>13</v>
      </c>
      <c r="E322" s="37">
        <v>120</v>
      </c>
      <c r="F322" s="36"/>
      <c r="G322" s="38">
        <v>1</v>
      </c>
      <c r="H322" s="38">
        <v>0</v>
      </c>
      <c r="I322" s="37">
        <f t="shared" si="20"/>
        <v>0</v>
      </c>
      <c r="J322" s="37">
        <v>120</v>
      </c>
      <c r="K322" s="38">
        <v>1</v>
      </c>
      <c r="L322" s="38">
        <v>1</v>
      </c>
      <c r="M322" s="38">
        <v>1</v>
      </c>
      <c r="N322" s="37">
        <f t="shared" si="21"/>
        <v>120</v>
      </c>
      <c r="O322" s="37">
        <v>120</v>
      </c>
      <c r="P322" s="36"/>
      <c r="Q322" s="38">
        <v>1</v>
      </c>
      <c r="R322" s="38">
        <v>0</v>
      </c>
      <c r="S322" s="37">
        <f t="shared" si="22"/>
        <v>0</v>
      </c>
      <c r="T322" s="37">
        <v>120</v>
      </c>
      <c r="U322" s="36"/>
      <c r="V322" s="38">
        <v>1</v>
      </c>
      <c r="W322" s="38">
        <v>0</v>
      </c>
      <c r="X322" s="37">
        <f t="shared" si="23"/>
        <v>0</v>
      </c>
      <c r="Y322" s="37">
        <v>110</v>
      </c>
      <c r="Z322" s="36"/>
      <c r="AA322" s="38">
        <v>1</v>
      </c>
      <c r="AB322" s="38">
        <v>0</v>
      </c>
      <c r="AC322" s="37">
        <f t="shared" si="24"/>
        <v>0</v>
      </c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</row>
    <row r="323" spans="1:41">
      <c r="A323" s="39" t="s">
        <v>52</v>
      </c>
      <c r="B323" s="39" t="s">
        <v>299</v>
      </c>
      <c r="C323" s="39" t="s">
        <v>70</v>
      </c>
      <c r="D323" s="39" t="s">
        <v>55</v>
      </c>
      <c r="E323" s="40">
        <v>140</v>
      </c>
      <c r="F323" s="39"/>
      <c r="G323" s="41">
        <v>3</v>
      </c>
      <c r="H323" s="41">
        <v>0</v>
      </c>
      <c r="I323" s="40">
        <f t="shared" ref="I323:I365" si="25">E323*H323</f>
        <v>0</v>
      </c>
      <c r="J323" s="40">
        <v>140</v>
      </c>
      <c r="K323" s="39"/>
      <c r="L323" s="41">
        <v>3</v>
      </c>
      <c r="M323" s="41">
        <v>0</v>
      </c>
      <c r="N323" s="40">
        <f t="shared" ref="N323:N365" si="26">J323*M323</f>
        <v>0</v>
      </c>
      <c r="O323" s="40">
        <v>120</v>
      </c>
      <c r="P323" s="39"/>
      <c r="Q323" s="41">
        <v>3</v>
      </c>
      <c r="R323" s="41">
        <v>0</v>
      </c>
      <c r="S323" s="40">
        <f t="shared" ref="S323:S365" si="27">O323*R323</f>
        <v>0</v>
      </c>
      <c r="T323" s="40">
        <v>140</v>
      </c>
      <c r="U323" s="39"/>
      <c r="V323" s="41">
        <v>3</v>
      </c>
      <c r="W323" s="41">
        <v>0</v>
      </c>
      <c r="X323" s="40">
        <f t="shared" ref="X323:X365" si="28">T323*W323</f>
        <v>0</v>
      </c>
      <c r="Y323" s="40">
        <v>140</v>
      </c>
      <c r="Z323" s="41">
        <v>1</v>
      </c>
      <c r="AA323" s="41">
        <v>3</v>
      </c>
      <c r="AB323" s="41">
        <v>3</v>
      </c>
      <c r="AC323" s="40">
        <f t="shared" ref="AC323:AC365" si="29">Y323*AB323</f>
        <v>420</v>
      </c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</row>
    <row r="324" spans="1:41">
      <c r="A324" s="24" t="s">
        <v>52</v>
      </c>
      <c r="B324" s="24" t="s">
        <v>300</v>
      </c>
      <c r="C324" s="24" t="s">
        <v>68</v>
      </c>
      <c r="D324" s="24" t="s">
        <v>29</v>
      </c>
      <c r="E324" s="25">
        <v>120</v>
      </c>
      <c r="F324" s="24"/>
      <c r="G324" s="26">
        <v>2</v>
      </c>
      <c r="H324" s="26">
        <v>0</v>
      </c>
      <c r="I324" s="25">
        <f t="shared" si="25"/>
        <v>0</v>
      </c>
      <c r="J324" s="25">
        <v>120</v>
      </c>
      <c r="K324" s="26">
        <v>7</v>
      </c>
      <c r="L324" s="26">
        <v>2</v>
      </c>
      <c r="M324" s="26">
        <v>14</v>
      </c>
      <c r="N324" s="25">
        <f t="shared" si="26"/>
        <v>1680</v>
      </c>
      <c r="O324" s="25">
        <v>120</v>
      </c>
      <c r="P324" s="24"/>
      <c r="Q324" s="26">
        <v>2</v>
      </c>
      <c r="R324" s="26">
        <v>0</v>
      </c>
      <c r="S324" s="25">
        <f t="shared" si="27"/>
        <v>0</v>
      </c>
      <c r="T324" s="25">
        <v>120</v>
      </c>
      <c r="U324" s="24"/>
      <c r="V324" s="26">
        <v>2</v>
      </c>
      <c r="W324" s="26">
        <v>0</v>
      </c>
      <c r="X324" s="25">
        <f t="shared" si="28"/>
        <v>0</v>
      </c>
      <c r="Y324" s="25">
        <v>110</v>
      </c>
      <c r="Z324" s="24"/>
      <c r="AA324" s="26">
        <v>2</v>
      </c>
      <c r="AB324" s="26">
        <v>0</v>
      </c>
      <c r="AC324" s="25">
        <f t="shared" si="29"/>
        <v>0</v>
      </c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</row>
    <row r="325" spans="1:41">
      <c r="A325" s="39" t="s">
        <v>52</v>
      </c>
      <c r="B325" s="39" t="s">
        <v>301</v>
      </c>
      <c r="C325" s="39" t="s">
        <v>70</v>
      </c>
      <c r="D325" s="39" t="s">
        <v>55</v>
      </c>
      <c r="E325" s="40">
        <v>140</v>
      </c>
      <c r="F325" s="39"/>
      <c r="G325" s="41">
        <v>3</v>
      </c>
      <c r="H325" s="41">
        <v>0</v>
      </c>
      <c r="I325" s="40">
        <f t="shared" si="25"/>
        <v>0</v>
      </c>
      <c r="J325" s="40">
        <v>140</v>
      </c>
      <c r="K325" s="39"/>
      <c r="L325" s="41">
        <v>3</v>
      </c>
      <c r="M325" s="41">
        <v>0</v>
      </c>
      <c r="N325" s="40">
        <f t="shared" si="26"/>
        <v>0</v>
      </c>
      <c r="O325" s="40">
        <v>120</v>
      </c>
      <c r="P325" s="39"/>
      <c r="Q325" s="41">
        <v>3</v>
      </c>
      <c r="R325" s="41">
        <v>0</v>
      </c>
      <c r="S325" s="40">
        <f t="shared" si="27"/>
        <v>0</v>
      </c>
      <c r="T325" s="40">
        <v>140</v>
      </c>
      <c r="U325" s="41">
        <v>1</v>
      </c>
      <c r="V325" s="41">
        <v>3</v>
      </c>
      <c r="W325" s="41">
        <v>3</v>
      </c>
      <c r="X325" s="40">
        <f t="shared" si="28"/>
        <v>420</v>
      </c>
      <c r="Y325" s="40">
        <v>140</v>
      </c>
      <c r="Z325" s="39"/>
      <c r="AA325" s="41">
        <v>3</v>
      </c>
      <c r="AB325" s="41">
        <v>0</v>
      </c>
      <c r="AC325" s="40">
        <f t="shared" si="29"/>
        <v>0</v>
      </c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</row>
    <row r="326" spans="1:41">
      <c r="A326" s="33" t="s">
        <v>52</v>
      </c>
      <c r="B326" s="33" t="s">
        <v>302</v>
      </c>
      <c r="C326" s="33" t="s">
        <v>54</v>
      </c>
      <c r="D326" s="33" t="s">
        <v>13</v>
      </c>
      <c r="E326" s="34">
        <v>140</v>
      </c>
      <c r="F326" s="33"/>
      <c r="G326" s="35">
        <v>1</v>
      </c>
      <c r="H326" s="35">
        <v>0</v>
      </c>
      <c r="I326" s="34">
        <f t="shared" si="25"/>
        <v>0</v>
      </c>
      <c r="J326" s="34">
        <v>140</v>
      </c>
      <c r="K326" s="35">
        <v>1</v>
      </c>
      <c r="L326" s="35">
        <v>1</v>
      </c>
      <c r="M326" s="35">
        <v>1</v>
      </c>
      <c r="N326" s="34">
        <f t="shared" si="26"/>
        <v>140</v>
      </c>
      <c r="O326" s="34">
        <v>140</v>
      </c>
      <c r="P326" s="33"/>
      <c r="Q326" s="35">
        <v>1</v>
      </c>
      <c r="R326" s="35">
        <v>0</v>
      </c>
      <c r="S326" s="34">
        <f t="shared" si="27"/>
        <v>0</v>
      </c>
      <c r="T326" s="34">
        <v>140</v>
      </c>
      <c r="U326" s="33"/>
      <c r="V326" s="35">
        <v>1</v>
      </c>
      <c r="W326" s="35">
        <v>0</v>
      </c>
      <c r="X326" s="34">
        <f t="shared" si="28"/>
        <v>0</v>
      </c>
      <c r="Y326" s="34">
        <v>135</v>
      </c>
      <c r="Z326" s="33"/>
      <c r="AA326" s="35">
        <v>1</v>
      </c>
      <c r="AB326" s="35">
        <v>0</v>
      </c>
      <c r="AC326" s="34">
        <f t="shared" si="29"/>
        <v>0</v>
      </c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</row>
    <row r="327" spans="1:41">
      <c r="A327" s="24" t="s">
        <v>52</v>
      </c>
      <c r="B327" s="24" t="s">
        <v>303</v>
      </c>
      <c r="C327" s="24" t="s">
        <v>68</v>
      </c>
      <c r="D327" s="24" t="s">
        <v>13</v>
      </c>
      <c r="E327" s="25">
        <v>120</v>
      </c>
      <c r="F327" s="24"/>
      <c r="G327" s="26">
        <v>1</v>
      </c>
      <c r="H327" s="26">
        <v>0</v>
      </c>
      <c r="I327" s="25">
        <f t="shared" si="25"/>
        <v>0</v>
      </c>
      <c r="J327" s="25">
        <v>120</v>
      </c>
      <c r="K327" s="26">
        <v>2</v>
      </c>
      <c r="L327" s="26">
        <v>1</v>
      </c>
      <c r="M327" s="26">
        <v>2</v>
      </c>
      <c r="N327" s="25">
        <f t="shared" si="26"/>
        <v>240</v>
      </c>
      <c r="O327" s="25">
        <v>120</v>
      </c>
      <c r="P327" s="24"/>
      <c r="Q327" s="26">
        <v>1</v>
      </c>
      <c r="R327" s="26">
        <v>0</v>
      </c>
      <c r="S327" s="25">
        <f t="shared" si="27"/>
        <v>0</v>
      </c>
      <c r="T327" s="25">
        <v>120</v>
      </c>
      <c r="U327" s="24"/>
      <c r="V327" s="26">
        <v>1</v>
      </c>
      <c r="W327" s="26">
        <v>0</v>
      </c>
      <c r="X327" s="25">
        <f t="shared" si="28"/>
        <v>0</v>
      </c>
      <c r="Y327" s="25">
        <v>110</v>
      </c>
      <c r="Z327" s="24"/>
      <c r="AA327" s="26">
        <v>1</v>
      </c>
      <c r="AB327" s="26">
        <v>0</v>
      </c>
      <c r="AC327" s="25">
        <f t="shared" si="29"/>
        <v>0</v>
      </c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</row>
    <row r="328" spans="1:41">
      <c r="A328" s="24" t="s">
        <v>52</v>
      </c>
      <c r="B328" s="24" t="s">
        <v>304</v>
      </c>
      <c r="C328" s="24" t="s">
        <v>68</v>
      </c>
      <c r="D328" s="24" t="s">
        <v>13</v>
      </c>
      <c r="E328" s="25">
        <v>120</v>
      </c>
      <c r="F328" s="24"/>
      <c r="G328" s="26">
        <v>1</v>
      </c>
      <c r="H328" s="26">
        <v>0</v>
      </c>
      <c r="I328" s="25">
        <f t="shared" si="25"/>
        <v>0</v>
      </c>
      <c r="J328" s="25">
        <v>120</v>
      </c>
      <c r="K328" s="26">
        <v>2</v>
      </c>
      <c r="L328" s="26">
        <v>1</v>
      </c>
      <c r="M328" s="26">
        <v>2</v>
      </c>
      <c r="N328" s="25">
        <f t="shared" si="26"/>
        <v>240</v>
      </c>
      <c r="O328" s="25">
        <v>120</v>
      </c>
      <c r="P328" s="24"/>
      <c r="Q328" s="26">
        <v>1</v>
      </c>
      <c r="R328" s="26">
        <v>0</v>
      </c>
      <c r="S328" s="25">
        <f t="shared" si="27"/>
        <v>0</v>
      </c>
      <c r="T328" s="25">
        <v>120</v>
      </c>
      <c r="U328" s="24"/>
      <c r="V328" s="26">
        <v>1</v>
      </c>
      <c r="W328" s="26">
        <v>0</v>
      </c>
      <c r="X328" s="25">
        <f t="shared" si="28"/>
        <v>0</v>
      </c>
      <c r="Y328" s="25">
        <v>110</v>
      </c>
      <c r="Z328" s="26">
        <v>1</v>
      </c>
      <c r="AA328" s="26">
        <v>1</v>
      </c>
      <c r="AB328" s="26">
        <v>1</v>
      </c>
      <c r="AC328" s="25">
        <f t="shared" si="29"/>
        <v>110</v>
      </c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</row>
    <row r="329" spans="1:41">
      <c r="A329" s="24" t="s">
        <v>52</v>
      </c>
      <c r="B329" s="24" t="s">
        <v>305</v>
      </c>
      <c r="C329" s="24" t="s">
        <v>68</v>
      </c>
      <c r="D329" s="24" t="s">
        <v>13</v>
      </c>
      <c r="E329" s="25">
        <v>120</v>
      </c>
      <c r="F329" s="24"/>
      <c r="G329" s="26">
        <v>1</v>
      </c>
      <c r="H329" s="26">
        <v>0</v>
      </c>
      <c r="I329" s="25">
        <f t="shared" si="25"/>
        <v>0</v>
      </c>
      <c r="J329" s="25">
        <v>120</v>
      </c>
      <c r="K329" s="26">
        <v>3</v>
      </c>
      <c r="L329" s="26">
        <v>1</v>
      </c>
      <c r="M329" s="26">
        <v>3</v>
      </c>
      <c r="N329" s="25">
        <f t="shared" si="26"/>
        <v>360</v>
      </c>
      <c r="O329" s="25">
        <v>120</v>
      </c>
      <c r="P329" s="24"/>
      <c r="Q329" s="26">
        <v>1</v>
      </c>
      <c r="R329" s="26">
        <v>0</v>
      </c>
      <c r="S329" s="25">
        <f t="shared" si="27"/>
        <v>0</v>
      </c>
      <c r="T329" s="25">
        <v>120</v>
      </c>
      <c r="U329" s="24"/>
      <c r="V329" s="26">
        <v>1</v>
      </c>
      <c r="W329" s="26">
        <v>0</v>
      </c>
      <c r="X329" s="25">
        <f t="shared" si="28"/>
        <v>0</v>
      </c>
      <c r="Y329" s="25">
        <v>110</v>
      </c>
      <c r="Z329" s="24"/>
      <c r="AA329" s="26">
        <v>1</v>
      </c>
      <c r="AB329" s="26">
        <v>0</v>
      </c>
      <c r="AC329" s="25">
        <f t="shared" si="29"/>
        <v>0</v>
      </c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</row>
    <row r="330" spans="1:41">
      <c r="A330" s="24" t="s">
        <v>52</v>
      </c>
      <c r="B330" s="24" t="s">
        <v>306</v>
      </c>
      <c r="C330" s="24" t="s">
        <v>68</v>
      </c>
      <c r="D330" s="24" t="s">
        <v>13</v>
      </c>
      <c r="E330" s="25">
        <v>120</v>
      </c>
      <c r="F330" s="24"/>
      <c r="G330" s="26">
        <v>1</v>
      </c>
      <c r="H330" s="26">
        <v>0</v>
      </c>
      <c r="I330" s="25">
        <f t="shared" si="25"/>
        <v>0</v>
      </c>
      <c r="J330" s="25">
        <v>120</v>
      </c>
      <c r="K330" s="26">
        <v>1</v>
      </c>
      <c r="L330" s="26">
        <v>1</v>
      </c>
      <c r="M330" s="26">
        <v>1</v>
      </c>
      <c r="N330" s="25">
        <f t="shared" si="26"/>
        <v>120</v>
      </c>
      <c r="O330" s="25">
        <v>120</v>
      </c>
      <c r="P330" s="24"/>
      <c r="Q330" s="26">
        <v>1</v>
      </c>
      <c r="R330" s="26">
        <v>0</v>
      </c>
      <c r="S330" s="25">
        <f t="shared" si="27"/>
        <v>0</v>
      </c>
      <c r="T330" s="25">
        <v>120</v>
      </c>
      <c r="U330" s="24"/>
      <c r="V330" s="26">
        <v>1</v>
      </c>
      <c r="W330" s="26">
        <v>0</v>
      </c>
      <c r="X330" s="25">
        <f t="shared" si="28"/>
        <v>0</v>
      </c>
      <c r="Y330" s="25">
        <v>110</v>
      </c>
      <c r="Z330" s="24"/>
      <c r="AA330" s="26">
        <v>1</v>
      </c>
      <c r="AB330" s="26">
        <v>0</v>
      </c>
      <c r="AC330" s="25">
        <f t="shared" si="29"/>
        <v>0</v>
      </c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</row>
    <row r="331" spans="1:41">
      <c r="A331" s="33" t="s">
        <v>52</v>
      </c>
      <c r="B331" s="33" t="s">
        <v>307</v>
      </c>
      <c r="C331" s="33" t="s">
        <v>68</v>
      </c>
      <c r="D331" s="33" t="s">
        <v>13</v>
      </c>
      <c r="E331" s="34">
        <v>140</v>
      </c>
      <c r="F331" s="33"/>
      <c r="G331" s="35">
        <v>1</v>
      </c>
      <c r="H331" s="35">
        <v>0</v>
      </c>
      <c r="I331" s="34">
        <f t="shared" si="25"/>
        <v>0</v>
      </c>
      <c r="J331" s="34">
        <v>140</v>
      </c>
      <c r="K331" s="35">
        <v>1</v>
      </c>
      <c r="L331" s="35">
        <v>1</v>
      </c>
      <c r="M331" s="35">
        <v>1</v>
      </c>
      <c r="N331" s="34">
        <f t="shared" si="26"/>
        <v>140</v>
      </c>
      <c r="O331" s="34">
        <v>140</v>
      </c>
      <c r="P331" s="33"/>
      <c r="Q331" s="35">
        <v>1</v>
      </c>
      <c r="R331" s="35">
        <v>0</v>
      </c>
      <c r="S331" s="34">
        <f t="shared" si="27"/>
        <v>0</v>
      </c>
      <c r="T331" s="34">
        <v>140</v>
      </c>
      <c r="U331" s="33"/>
      <c r="V331" s="35">
        <v>1</v>
      </c>
      <c r="W331" s="35">
        <v>0</v>
      </c>
      <c r="X331" s="34">
        <f t="shared" si="28"/>
        <v>0</v>
      </c>
      <c r="Y331" s="34">
        <v>135</v>
      </c>
      <c r="Z331" s="33"/>
      <c r="AA331" s="35">
        <v>1</v>
      </c>
      <c r="AB331" s="35">
        <v>0</v>
      </c>
      <c r="AC331" s="34">
        <f t="shared" si="29"/>
        <v>0</v>
      </c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</row>
    <row r="332" spans="1:41">
      <c r="A332" s="33" t="s">
        <v>52</v>
      </c>
      <c r="B332" s="33" t="s">
        <v>308</v>
      </c>
      <c r="C332" s="33" t="s">
        <v>54</v>
      </c>
      <c r="D332" s="33" t="s">
        <v>13</v>
      </c>
      <c r="E332" s="34">
        <v>140</v>
      </c>
      <c r="F332" s="33"/>
      <c r="G332" s="35">
        <v>1</v>
      </c>
      <c r="H332" s="35">
        <v>0</v>
      </c>
      <c r="I332" s="34">
        <f t="shared" si="25"/>
        <v>0</v>
      </c>
      <c r="J332" s="34">
        <v>140</v>
      </c>
      <c r="K332" s="35">
        <v>1</v>
      </c>
      <c r="L332" s="35">
        <v>1</v>
      </c>
      <c r="M332" s="35">
        <v>1</v>
      </c>
      <c r="N332" s="34">
        <f t="shared" si="26"/>
        <v>140</v>
      </c>
      <c r="O332" s="34">
        <v>140</v>
      </c>
      <c r="P332" s="33"/>
      <c r="Q332" s="35">
        <v>1</v>
      </c>
      <c r="R332" s="35">
        <v>0</v>
      </c>
      <c r="S332" s="34">
        <f t="shared" si="27"/>
        <v>0</v>
      </c>
      <c r="T332" s="34">
        <v>140</v>
      </c>
      <c r="U332" s="33"/>
      <c r="V332" s="35">
        <v>1</v>
      </c>
      <c r="W332" s="35">
        <v>0</v>
      </c>
      <c r="X332" s="34">
        <f t="shared" si="28"/>
        <v>0</v>
      </c>
      <c r="Y332" s="34">
        <v>135</v>
      </c>
      <c r="Z332" s="33"/>
      <c r="AA332" s="35">
        <v>1</v>
      </c>
      <c r="AB332" s="35">
        <v>0</v>
      </c>
      <c r="AC332" s="34">
        <f t="shared" si="29"/>
        <v>0</v>
      </c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</row>
    <row r="333" spans="1:41">
      <c r="A333" s="33" t="s">
        <v>52</v>
      </c>
      <c r="B333" s="33" t="s">
        <v>309</v>
      </c>
      <c r="C333" s="33" t="s">
        <v>54</v>
      </c>
      <c r="D333" s="33" t="s">
        <v>13</v>
      </c>
      <c r="E333" s="34">
        <v>140</v>
      </c>
      <c r="F333" s="33"/>
      <c r="G333" s="35">
        <v>1</v>
      </c>
      <c r="H333" s="35">
        <v>0</v>
      </c>
      <c r="I333" s="34">
        <f t="shared" si="25"/>
        <v>0</v>
      </c>
      <c r="J333" s="34">
        <v>140</v>
      </c>
      <c r="K333" s="35">
        <v>1</v>
      </c>
      <c r="L333" s="35">
        <v>1</v>
      </c>
      <c r="M333" s="35">
        <v>1</v>
      </c>
      <c r="N333" s="34">
        <f t="shared" si="26"/>
        <v>140</v>
      </c>
      <c r="O333" s="34">
        <v>140</v>
      </c>
      <c r="P333" s="33"/>
      <c r="Q333" s="35">
        <v>1</v>
      </c>
      <c r="R333" s="35">
        <v>0</v>
      </c>
      <c r="S333" s="34">
        <f t="shared" si="27"/>
        <v>0</v>
      </c>
      <c r="T333" s="34">
        <v>140</v>
      </c>
      <c r="U333" s="33"/>
      <c r="V333" s="35">
        <v>1</v>
      </c>
      <c r="W333" s="35">
        <v>0</v>
      </c>
      <c r="X333" s="34">
        <f t="shared" si="28"/>
        <v>0</v>
      </c>
      <c r="Y333" s="34">
        <v>135</v>
      </c>
      <c r="Z333" s="33"/>
      <c r="AA333" s="35">
        <v>1</v>
      </c>
      <c r="AB333" s="35">
        <v>0</v>
      </c>
      <c r="AC333" s="34">
        <f t="shared" si="29"/>
        <v>0</v>
      </c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</row>
    <row r="334" spans="1:41">
      <c r="A334" s="36" t="s">
        <v>52</v>
      </c>
      <c r="B334" s="36" t="s">
        <v>310</v>
      </c>
      <c r="C334" s="36" t="s">
        <v>68</v>
      </c>
      <c r="D334" s="36" t="s">
        <v>13</v>
      </c>
      <c r="E334" s="37">
        <v>120</v>
      </c>
      <c r="F334" s="36"/>
      <c r="G334" s="38">
        <v>1</v>
      </c>
      <c r="H334" s="38">
        <v>0</v>
      </c>
      <c r="I334" s="37">
        <f t="shared" si="25"/>
        <v>0</v>
      </c>
      <c r="J334" s="37">
        <v>120</v>
      </c>
      <c r="K334" s="38">
        <v>4</v>
      </c>
      <c r="L334" s="38">
        <v>1</v>
      </c>
      <c r="M334" s="38">
        <v>4</v>
      </c>
      <c r="N334" s="37">
        <f t="shared" si="26"/>
        <v>480</v>
      </c>
      <c r="O334" s="37">
        <v>120</v>
      </c>
      <c r="P334" s="36"/>
      <c r="Q334" s="38">
        <v>1</v>
      </c>
      <c r="R334" s="38">
        <v>0</v>
      </c>
      <c r="S334" s="37">
        <f t="shared" si="27"/>
        <v>0</v>
      </c>
      <c r="T334" s="37">
        <v>120</v>
      </c>
      <c r="U334" s="36"/>
      <c r="V334" s="38">
        <v>1</v>
      </c>
      <c r="W334" s="38">
        <v>0</v>
      </c>
      <c r="X334" s="37">
        <f t="shared" si="28"/>
        <v>0</v>
      </c>
      <c r="Y334" s="37">
        <v>110</v>
      </c>
      <c r="Z334" s="36"/>
      <c r="AA334" s="38">
        <v>1</v>
      </c>
      <c r="AB334" s="38">
        <v>0</v>
      </c>
      <c r="AC334" s="37">
        <f t="shared" si="29"/>
        <v>0</v>
      </c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</row>
    <row r="335" spans="1:41">
      <c r="A335" s="36" t="s">
        <v>52</v>
      </c>
      <c r="B335" s="36" t="s">
        <v>310</v>
      </c>
      <c r="C335" s="36" t="s">
        <v>68</v>
      </c>
      <c r="D335" s="36" t="s">
        <v>29</v>
      </c>
      <c r="E335" s="37">
        <v>120</v>
      </c>
      <c r="F335" s="36"/>
      <c r="G335" s="38">
        <v>2</v>
      </c>
      <c r="H335" s="38">
        <v>0</v>
      </c>
      <c r="I335" s="37">
        <f t="shared" si="25"/>
        <v>0</v>
      </c>
      <c r="J335" s="37">
        <v>120</v>
      </c>
      <c r="K335" s="38">
        <v>1</v>
      </c>
      <c r="L335" s="38">
        <v>2</v>
      </c>
      <c r="M335" s="38">
        <v>2</v>
      </c>
      <c r="N335" s="37">
        <f t="shared" si="26"/>
        <v>240</v>
      </c>
      <c r="O335" s="37">
        <v>120</v>
      </c>
      <c r="P335" s="36"/>
      <c r="Q335" s="38">
        <v>2</v>
      </c>
      <c r="R335" s="38">
        <v>0</v>
      </c>
      <c r="S335" s="37">
        <f t="shared" si="27"/>
        <v>0</v>
      </c>
      <c r="T335" s="37">
        <v>120</v>
      </c>
      <c r="U335" s="36"/>
      <c r="V335" s="38">
        <v>2</v>
      </c>
      <c r="W335" s="38">
        <v>0</v>
      </c>
      <c r="X335" s="37">
        <f t="shared" si="28"/>
        <v>0</v>
      </c>
      <c r="Y335" s="37">
        <v>110</v>
      </c>
      <c r="Z335" s="36"/>
      <c r="AA335" s="38">
        <v>2</v>
      </c>
      <c r="AB335" s="38">
        <v>0</v>
      </c>
      <c r="AC335" s="37">
        <f t="shared" si="29"/>
        <v>0</v>
      </c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</row>
    <row r="336" spans="1:41">
      <c r="A336" s="36" t="s">
        <v>52</v>
      </c>
      <c r="B336" s="36" t="s">
        <v>311</v>
      </c>
      <c r="C336" s="36" t="s">
        <v>68</v>
      </c>
      <c r="D336" s="36" t="s">
        <v>13</v>
      </c>
      <c r="E336" s="37">
        <v>120</v>
      </c>
      <c r="F336" s="36"/>
      <c r="G336" s="38">
        <v>1</v>
      </c>
      <c r="H336" s="38">
        <v>0</v>
      </c>
      <c r="I336" s="37">
        <f t="shared" si="25"/>
        <v>0</v>
      </c>
      <c r="J336" s="37">
        <v>120</v>
      </c>
      <c r="K336" s="38">
        <v>18</v>
      </c>
      <c r="L336" s="38">
        <v>1</v>
      </c>
      <c r="M336" s="38">
        <v>18</v>
      </c>
      <c r="N336" s="37">
        <f t="shared" si="26"/>
        <v>2160</v>
      </c>
      <c r="O336" s="37">
        <v>120</v>
      </c>
      <c r="P336" s="36"/>
      <c r="Q336" s="38">
        <v>1</v>
      </c>
      <c r="R336" s="38">
        <v>0</v>
      </c>
      <c r="S336" s="37">
        <f t="shared" si="27"/>
        <v>0</v>
      </c>
      <c r="T336" s="37">
        <v>120</v>
      </c>
      <c r="U336" s="36"/>
      <c r="V336" s="38">
        <v>1</v>
      </c>
      <c r="W336" s="38">
        <v>0</v>
      </c>
      <c r="X336" s="37">
        <f t="shared" si="28"/>
        <v>0</v>
      </c>
      <c r="Y336" s="37">
        <v>110</v>
      </c>
      <c r="Z336" s="36"/>
      <c r="AA336" s="38">
        <v>1</v>
      </c>
      <c r="AB336" s="38">
        <v>0</v>
      </c>
      <c r="AC336" s="37">
        <f t="shared" si="29"/>
        <v>0</v>
      </c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</row>
    <row r="337" spans="1:41">
      <c r="A337" s="24" t="s">
        <v>52</v>
      </c>
      <c r="B337" s="24" t="s">
        <v>312</v>
      </c>
      <c r="C337" s="24" t="s">
        <v>68</v>
      </c>
      <c r="D337" s="24" t="s">
        <v>29</v>
      </c>
      <c r="E337" s="25">
        <v>120</v>
      </c>
      <c r="F337" s="24"/>
      <c r="G337" s="26">
        <v>2</v>
      </c>
      <c r="H337" s="26">
        <v>0</v>
      </c>
      <c r="I337" s="25">
        <f t="shared" si="25"/>
        <v>0</v>
      </c>
      <c r="J337" s="25">
        <v>120</v>
      </c>
      <c r="K337" s="26">
        <v>1</v>
      </c>
      <c r="L337" s="26">
        <v>2</v>
      </c>
      <c r="M337" s="26">
        <v>2</v>
      </c>
      <c r="N337" s="25">
        <f t="shared" si="26"/>
        <v>240</v>
      </c>
      <c r="O337" s="25">
        <v>120</v>
      </c>
      <c r="P337" s="24"/>
      <c r="Q337" s="26">
        <v>2</v>
      </c>
      <c r="R337" s="26">
        <v>0</v>
      </c>
      <c r="S337" s="25">
        <f t="shared" si="27"/>
        <v>0</v>
      </c>
      <c r="T337" s="25">
        <v>120</v>
      </c>
      <c r="U337" s="24"/>
      <c r="V337" s="26">
        <v>2</v>
      </c>
      <c r="W337" s="26">
        <v>0</v>
      </c>
      <c r="X337" s="25">
        <f t="shared" si="28"/>
        <v>0</v>
      </c>
      <c r="Y337" s="25">
        <v>110</v>
      </c>
      <c r="Z337" s="24"/>
      <c r="AA337" s="26">
        <v>2</v>
      </c>
      <c r="AB337" s="26">
        <v>0</v>
      </c>
      <c r="AC337" s="25">
        <f t="shared" si="29"/>
        <v>0</v>
      </c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</row>
    <row r="338" spans="1:41">
      <c r="A338" s="24" t="s">
        <v>52</v>
      </c>
      <c r="B338" s="24" t="s">
        <v>313</v>
      </c>
      <c r="C338" s="24" t="s">
        <v>68</v>
      </c>
      <c r="D338" s="24" t="s">
        <v>29</v>
      </c>
      <c r="E338" s="25">
        <v>120</v>
      </c>
      <c r="F338" s="24"/>
      <c r="G338" s="26">
        <v>2</v>
      </c>
      <c r="H338" s="26">
        <v>0</v>
      </c>
      <c r="I338" s="25">
        <f t="shared" si="25"/>
        <v>0</v>
      </c>
      <c r="J338" s="25">
        <v>120</v>
      </c>
      <c r="K338" s="26">
        <v>2</v>
      </c>
      <c r="L338" s="26">
        <v>2</v>
      </c>
      <c r="M338" s="26">
        <v>4</v>
      </c>
      <c r="N338" s="25">
        <f t="shared" si="26"/>
        <v>480</v>
      </c>
      <c r="O338" s="25">
        <v>120</v>
      </c>
      <c r="P338" s="24"/>
      <c r="Q338" s="26">
        <v>2</v>
      </c>
      <c r="R338" s="26">
        <v>0</v>
      </c>
      <c r="S338" s="25">
        <f t="shared" si="27"/>
        <v>0</v>
      </c>
      <c r="T338" s="25">
        <v>120</v>
      </c>
      <c r="U338" s="24"/>
      <c r="V338" s="26">
        <v>2</v>
      </c>
      <c r="W338" s="26">
        <v>0</v>
      </c>
      <c r="X338" s="25">
        <f t="shared" si="28"/>
        <v>0</v>
      </c>
      <c r="Y338" s="25">
        <v>110</v>
      </c>
      <c r="Z338" s="24"/>
      <c r="AA338" s="26">
        <v>2</v>
      </c>
      <c r="AB338" s="26">
        <v>0</v>
      </c>
      <c r="AC338" s="25">
        <f t="shared" si="29"/>
        <v>0</v>
      </c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</row>
    <row r="339" spans="1:41">
      <c r="A339" s="39" t="s">
        <v>52</v>
      </c>
      <c r="B339" s="39" t="s">
        <v>314</v>
      </c>
      <c r="C339" s="39" t="s">
        <v>70</v>
      </c>
      <c r="D339" s="39" t="s">
        <v>29</v>
      </c>
      <c r="E339" s="40">
        <v>140</v>
      </c>
      <c r="F339" s="39"/>
      <c r="G339" s="41">
        <v>2</v>
      </c>
      <c r="H339" s="41">
        <v>0</v>
      </c>
      <c r="I339" s="40">
        <f t="shared" si="25"/>
        <v>0</v>
      </c>
      <c r="J339" s="40">
        <v>140</v>
      </c>
      <c r="K339" s="41">
        <v>2</v>
      </c>
      <c r="L339" s="41">
        <v>2</v>
      </c>
      <c r="M339" s="41">
        <v>4</v>
      </c>
      <c r="N339" s="40">
        <f t="shared" si="26"/>
        <v>560</v>
      </c>
      <c r="O339" s="40">
        <v>120</v>
      </c>
      <c r="P339" s="39"/>
      <c r="Q339" s="41">
        <v>2</v>
      </c>
      <c r="R339" s="41">
        <v>0</v>
      </c>
      <c r="S339" s="40">
        <f t="shared" si="27"/>
        <v>0</v>
      </c>
      <c r="T339" s="40">
        <v>140</v>
      </c>
      <c r="U339" s="39"/>
      <c r="V339" s="41">
        <v>2</v>
      </c>
      <c r="W339" s="41">
        <v>0</v>
      </c>
      <c r="X339" s="40">
        <f t="shared" si="28"/>
        <v>0</v>
      </c>
      <c r="Y339" s="40">
        <v>140</v>
      </c>
      <c r="Z339" s="39"/>
      <c r="AA339" s="41">
        <v>2</v>
      </c>
      <c r="AB339" s="41">
        <v>0</v>
      </c>
      <c r="AC339" s="40">
        <f t="shared" si="29"/>
        <v>0</v>
      </c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</row>
    <row r="340" spans="1:41">
      <c r="A340" s="24" t="s">
        <v>52</v>
      </c>
      <c r="B340" s="24" t="s">
        <v>314</v>
      </c>
      <c r="C340" s="24" t="s">
        <v>68</v>
      </c>
      <c r="D340" s="24" t="s">
        <v>29</v>
      </c>
      <c r="E340" s="25">
        <v>120</v>
      </c>
      <c r="F340" s="24"/>
      <c r="G340" s="26">
        <v>2</v>
      </c>
      <c r="H340" s="26">
        <v>0</v>
      </c>
      <c r="I340" s="25">
        <f t="shared" si="25"/>
        <v>0</v>
      </c>
      <c r="J340" s="25">
        <v>120</v>
      </c>
      <c r="K340" s="26">
        <v>6</v>
      </c>
      <c r="L340" s="26">
        <v>2</v>
      </c>
      <c r="M340" s="26">
        <v>12</v>
      </c>
      <c r="N340" s="25">
        <f t="shared" si="26"/>
        <v>1440</v>
      </c>
      <c r="O340" s="25">
        <v>120</v>
      </c>
      <c r="P340" s="24"/>
      <c r="Q340" s="26">
        <v>2</v>
      </c>
      <c r="R340" s="26">
        <v>0</v>
      </c>
      <c r="S340" s="25">
        <f t="shared" si="27"/>
        <v>0</v>
      </c>
      <c r="T340" s="25">
        <v>120</v>
      </c>
      <c r="U340" s="26">
        <v>1</v>
      </c>
      <c r="V340" s="26">
        <v>2</v>
      </c>
      <c r="W340" s="26">
        <v>2</v>
      </c>
      <c r="X340" s="25">
        <f t="shared" si="28"/>
        <v>240</v>
      </c>
      <c r="Y340" s="25">
        <v>110</v>
      </c>
      <c r="Z340" s="24"/>
      <c r="AA340" s="26">
        <v>2</v>
      </c>
      <c r="AB340" s="26">
        <v>0</v>
      </c>
      <c r="AC340" s="25">
        <f t="shared" si="29"/>
        <v>0</v>
      </c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</row>
    <row r="341" spans="1:41">
      <c r="A341" s="24" t="s">
        <v>52</v>
      </c>
      <c r="B341" s="24" t="s">
        <v>315</v>
      </c>
      <c r="C341" s="24" t="s">
        <v>68</v>
      </c>
      <c r="D341" s="24" t="s">
        <v>29</v>
      </c>
      <c r="E341" s="25">
        <v>120</v>
      </c>
      <c r="F341" s="24"/>
      <c r="G341" s="26">
        <v>2</v>
      </c>
      <c r="H341" s="26">
        <v>0</v>
      </c>
      <c r="I341" s="25">
        <f t="shared" si="25"/>
        <v>0</v>
      </c>
      <c r="J341" s="25">
        <v>120</v>
      </c>
      <c r="K341" s="26">
        <v>6</v>
      </c>
      <c r="L341" s="26">
        <v>2</v>
      </c>
      <c r="M341" s="26">
        <v>12</v>
      </c>
      <c r="N341" s="25">
        <f t="shared" si="26"/>
        <v>1440</v>
      </c>
      <c r="O341" s="25">
        <v>120</v>
      </c>
      <c r="P341" s="24"/>
      <c r="Q341" s="26">
        <v>2</v>
      </c>
      <c r="R341" s="26">
        <v>0</v>
      </c>
      <c r="S341" s="25">
        <f t="shared" si="27"/>
        <v>0</v>
      </c>
      <c r="T341" s="25">
        <v>120</v>
      </c>
      <c r="U341" s="24"/>
      <c r="V341" s="26">
        <v>2</v>
      </c>
      <c r="W341" s="26">
        <v>0</v>
      </c>
      <c r="X341" s="25">
        <f t="shared" si="28"/>
        <v>0</v>
      </c>
      <c r="Y341" s="25">
        <v>110</v>
      </c>
      <c r="Z341" s="24"/>
      <c r="AA341" s="26">
        <v>2</v>
      </c>
      <c r="AB341" s="26">
        <v>0</v>
      </c>
      <c r="AC341" s="25">
        <f t="shared" si="29"/>
        <v>0</v>
      </c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</row>
    <row r="342" spans="1:41">
      <c r="A342" s="39" t="s">
        <v>52</v>
      </c>
      <c r="B342" s="39" t="s">
        <v>316</v>
      </c>
      <c r="C342" s="39" t="s">
        <v>70</v>
      </c>
      <c r="D342" s="39" t="s">
        <v>29</v>
      </c>
      <c r="E342" s="40">
        <v>140</v>
      </c>
      <c r="F342" s="39"/>
      <c r="G342" s="41">
        <v>2</v>
      </c>
      <c r="H342" s="41">
        <v>0</v>
      </c>
      <c r="I342" s="40">
        <f t="shared" si="25"/>
        <v>0</v>
      </c>
      <c r="J342" s="40">
        <v>140</v>
      </c>
      <c r="K342" s="41">
        <v>1</v>
      </c>
      <c r="L342" s="41">
        <v>2</v>
      </c>
      <c r="M342" s="41">
        <v>2</v>
      </c>
      <c r="N342" s="40">
        <f t="shared" si="26"/>
        <v>280</v>
      </c>
      <c r="O342" s="40">
        <v>120</v>
      </c>
      <c r="P342" s="39"/>
      <c r="Q342" s="41">
        <v>2</v>
      </c>
      <c r="R342" s="41">
        <v>0</v>
      </c>
      <c r="S342" s="40">
        <f t="shared" si="27"/>
        <v>0</v>
      </c>
      <c r="T342" s="40">
        <v>140</v>
      </c>
      <c r="U342" s="39"/>
      <c r="V342" s="41">
        <v>2</v>
      </c>
      <c r="W342" s="41">
        <v>0</v>
      </c>
      <c r="X342" s="40">
        <f t="shared" si="28"/>
        <v>0</v>
      </c>
      <c r="Y342" s="40">
        <v>140</v>
      </c>
      <c r="Z342" s="39"/>
      <c r="AA342" s="41">
        <v>2</v>
      </c>
      <c r="AB342" s="41">
        <v>0</v>
      </c>
      <c r="AC342" s="40">
        <f t="shared" si="29"/>
        <v>0</v>
      </c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</row>
    <row r="343" spans="1:41">
      <c r="A343" s="24" t="s">
        <v>52</v>
      </c>
      <c r="B343" s="24" t="s">
        <v>316</v>
      </c>
      <c r="C343" s="24" t="s">
        <v>68</v>
      </c>
      <c r="D343" s="24" t="s">
        <v>29</v>
      </c>
      <c r="E343" s="25">
        <v>120</v>
      </c>
      <c r="F343" s="24"/>
      <c r="G343" s="26">
        <v>2</v>
      </c>
      <c r="H343" s="26">
        <v>0</v>
      </c>
      <c r="I343" s="25">
        <f t="shared" si="25"/>
        <v>0</v>
      </c>
      <c r="J343" s="25">
        <v>120</v>
      </c>
      <c r="K343" s="26">
        <v>4</v>
      </c>
      <c r="L343" s="26">
        <v>2</v>
      </c>
      <c r="M343" s="26">
        <v>8</v>
      </c>
      <c r="N343" s="25">
        <f t="shared" si="26"/>
        <v>960</v>
      </c>
      <c r="O343" s="25">
        <v>120</v>
      </c>
      <c r="P343" s="24"/>
      <c r="Q343" s="26">
        <v>2</v>
      </c>
      <c r="R343" s="26">
        <v>0</v>
      </c>
      <c r="S343" s="25">
        <f t="shared" si="27"/>
        <v>0</v>
      </c>
      <c r="T343" s="25">
        <v>120</v>
      </c>
      <c r="U343" s="24"/>
      <c r="V343" s="26">
        <v>2</v>
      </c>
      <c r="W343" s="26">
        <v>0</v>
      </c>
      <c r="X343" s="25">
        <f t="shared" si="28"/>
        <v>0</v>
      </c>
      <c r="Y343" s="25">
        <v>110</v>
      </c>
      <c r="Z343" s="26">
        <v>1</v>
      </c>
      <c r="AA343" s="26">
        <v>2</v>
      </c>
      <c r="AB343" s="26">
        <v>2</v>
      </c>
      <c r="AC343" s="25">
        <f t="shared" si="29"/>
        <v>220</v>
      </c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</row>
    <row r="344" spans="1:41">
      <c r="A344" s="24" t="s">
        <v>52</v>
      </c>
      <c r="B344" s="24" t="s">
        <v>317</v>
      </c>
      <c r="C344" s="24" t="s">
        <v>68</v>
      </c>
      <c r="D344" s="24" t="s">
        <v>29</v>
      </c>
      <c r="E344" s="25">
        <v>120</v>
      </c>
      <c r="F344" s="24"/>
      <c r="G344" s="26">
        <v>2</v>
      </c>
      <c r="H344" s="26">
        <v>0</v>
      </c>
      <c r="I344" s="25">
        <f t="shared" si="25"/>
        <v>0</v>
      </c>
      <c r="J344" s="25">
        <v>120</v>
      </c>
      <c r="K344" s="26">
        <v>1</v>
      </c>
      <c r="L344" s="26">
        <v>2</v>
      </c>
      <c r="M344" s="26">
        <v>2</v>
      </c>
      <c r="N344" s="25">
        <f t="shared" si="26"/>
        <v>240</v>
      </c>
      <c r="O344" s="25">
        <v>120</v>
      </c>
      <c r="P344" s="24"/>
      <c r="Q344" s="26">
        <v>2</v>
      </c>
      <c r="R344" s="26">
        <v>0</v>
      </c>
      <c r="S344" s="25">
        <f t="shared" si="27"/>
        <v>0</v>
      </c>
      <c r="T344" s="25">
        <v>120</v>
      </c>
      <c r="U344" s="24"/>
      <c r="V344" s="26">
        <v>2</v>
      </c>
      <c r="W344" s="26">
        <v>0</v>
      </c>
      <c r="X344" s="25">
        <f t="shared" si="28"/>
        <v>0</v>
      </c>
      <c r="Y344" s="25">
        <v>110</v>
      </c>
      <c r="Z344" s="24"/>
      <c r="AA344" s="26">
        <v>2</v>
      </c>
      <c r="AB344" s="26">
        <v>0</v>
      </c>
      <c r="AC344" s="25">
        <f t="shared" si="29"/>
        <v>0</v>
      </c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</row>
    <row r="345" spans="1:41">
      <c r="A345" s="39" t="s">
        <v>52</v>
      </c>
      <c r="B345" s="39" t="s">
        <v>318</v>
      </c>
      <c r="C345" s="39" t="s">
        <v>70</v>
      </c>
      <c r="D345" s="39" t="s">
        <v>13</v>
      </c>
      <c r="E345" s="40">
        <v>140</v>
      </c>
      <c r="F345" s="39"/>
      <c r="G345" s="41">
        <v>1</v>
      </c>
      <c r="H345" s="41">
        <v>0</v>
      </c>
      <c r="I345" s="40">
        <f t="shared" si="25"/>
        <v>0</v>
      </c>
      <c r="J345" s="40">
        <v>140</v>
      </c>
      <c r="K345" s="39"/>
      <c r="L345" s="41">
        <v>1</v>
      </c>
      <c r="M345" s="41">
        <v>0</v>
      </c>
      <c r="N345" s="40">
        <f t="shared" si="26"/>
        <v>0</v>
      </c>
      <c r="O345" s="40">
        <v>120</v>
      </c>
      <c r="P345" s="39"/>
      <c r="Q345" s="41">
        <v>1</v>
      </c>
      <c r="R345" s="41">
        <v>0</v>
      </c>
      <c r="S345" s="40">
        <f t="shared" si="27"/>
        <v>0</v>
      </c>
      <c r="T345" s="40">
        <v>140</v>
      </c>
      <c r="U345" s="39"/>
      <c r="V345" s="41">
        <v>1</v>
      </c>
      <c r="W345" s="41">
        <v>0</v>
      </c>
      <c r="X345" s="40">
        <f t="shared" si="28"/>
        <v>0</v>
      </c>
      <c r="Y345" s="40">
        <v>140</v>
      </c>
      <c r="Z345" s="41">
        <v>1</v>
      </c>
      <c r="AA345" s="41">
        <v>1</v>
      </c>
      <c r="AB345" s="41">
        <v>1</v>
      </c>
      <c r="AC345" s="40">
        <f t="shared" si="29"/>
        <v>140</v>
      </c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</row>
    <row r="346" spans="1:41">
      <c r="A346" s="24" t="s">
        <v>52</v>
      </c>
      <c r="B346" s="24" t="s">
        <v>318</v>
      </c>
      <c r="C346" s="24" t="s">
        <v>68</v>
      </c>
      <c r="D346" s="24" t="s">
        <v>13</v>
      </c>
      <c r="E346" s="25">
        <v>120</v>
      </c>
      <c r="F346" s="24"/>
      <c r="G346" s="26">
        <v>1</v>
      </c>
      <c r="H346" s="26">
        <v>0</v>
      </c>
      <c r="I346" s="25">
        <f t="shared" si="25"/>
        <v>0</v>
      </c>
      <c r="J346" s="25">
        <v>120</v>
      </c>
      <c r="K346" s="26">
        <v>2</v>
      </c>
      <c r="L346" s="26">
        <v>1</v>
      </c>
      <c r="M346" s="26">
        <v>2</v>
      </c>
      <c r="N346" s="25">
        <f t="shared" si="26"/>
        <v>240</v>
      </c>
      <c r="O346" s="25">
        <v>120</v>
      </c>
      <c r="P346" s="24"/>
      <c r="Q346" s="26">
        <v>1</v>
      </c>
      <c r="R346" s="26">
        <v>0</v>
      </c>
      <c r="S346" s="25">
        <f t="shared" si="27"/>
        <v>0</v>
      </c>
      <c r="T346" s="25">
        <v>120</v>
      </c>
      <c r="U346" s="24"/>
      <c r="V346" s="26">
        <v>1</v>
      </c>
      <c r="W346" s="26">
        <v>0</v>
      </c>
      <c r="X346" s="25">
        <f t="shared" si="28"/>
        <v>0</v>
      </c>
      <c r="Y346" s="25">
        <v>110</v>
      </c>
      <c r="Z346" s="24"/>
      <c r="AA346" s="26">
        <v>1</v>
      </c>
      <c r="AB346" s="26">
        <v>0</v>
      </c>
      <c r="AC346" s="25">
        <f t="shared" si="29"/>
        <v>0</v>
      </c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</row>
    <row r="347" spans="1:41">
      <c r="A347" s="39" t="s">
        <v>52</v>
      </c>
      <c r="B347" s="39" t="s">
        <v>319</v>
      </c>
      <c r="C347" s="39" t="s">
        <v>70</v>
      </c>
      <c r="D347" s="39" t="s">
        <v>55</v>
      </c>
      <c r="E347" s="40">
        <v>140</v>
      </c>
      <c r="F347" s="39"/>
      <c r="G347" s="41">
        <v>3</v>
      </c>
      <c r="H347" s="41">
        <v>0</v>
      </c>
      <c r="I347" s="40">
        <f t="shared" si="25"/>
        <v>0</v>
      </c>
      <c r="J347" s="40">
        <v>140</v>
      </c>
      <c r="K347" s="39"/>
      <c r="L347" s="41">
        <v>3</v>
      </c>
      <c r="M347" s="41">
        <v>0</v>
      </c>
      <c r="N347" s="40">
        <f t="shared" si="26"/>
        <v>0</v>
      </c>
      <c r="O347" s="40">
        <v>120</v>
      </c>
      <c r="P347" s="39"/>
      <c r="Q347" s="41">
        <v>3</v>
      </c>
      <c r="R347" s="41">
        <v>0</v>
      </c>
      <c r="S347" s="40">
        <f t="shared" si="27"/>
        <v>0</v>
      </c>
      <c r="T347" s="40">
        <v>140</v>
      </c>
      <c r="U347" s="39"/>
      <c r="V347" s="41">
        <v>3</v>
      </c>
      <c r="W347" s="41">
        <v>0</v>
      </c>
      <c r="X347" s="40">
        <f t="shared" si="28"/>
        <v>0</v>
      </c>
      <c r="Y347" s="40">
        <v>140</v>
      </c>
      <c r="Z347" s="41">
        <v>1</v>
      </c>
      <c r="AA347" s="41">
        <v>3</v>
      </c>
      <c r="AB347" s="41">
        <v>3</v>
      </c>
      <c r="AC347" s="40">
        <f t="shared" si="29"/>
        <v>420</v>
      </c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</row>
    <row r="348" spans="1:41">
      <c r="A348" s="24" t="s">
        <v>52</v>
      </c>
      <c r="B348" s="24" t="s">
        <v>319</v>
      </c>
      <c r="C348" s="24" t="s">
        <v>68</v>
      </c>
      <c r="D348" s="24" t="s">
        <v>13</v>
      </c>
      <c r="E348" s="25">
        <v>120</v>
      </c>
      <c r="F348" s="24"/>
      <c r="G348" s="26">
        <v>1</v>
      </c>
      <c r="H348" s="26">
        <v>0</v>
      </c>
      <c r="I348" s="25">
        <f t="shared" si="25"/>
        <v>0</v>
      </c>
      <c r="J348" s="25">
        <v>120</v>
      </c>
      <c r="K348" s="26">
        <v>1</v>
      </c>
      <c r="L348" s="26">
        <v>1</v>
      </c>
      <c r="M348" s="26">
        <v>1</v>
      </c>
      <c r="N348" s="25">
        <f t="shared" si="26"/>
        <v>120</v>
      </c>
      <c r="O348" s="25">
        <v>120</v>
      </c>
      <c r="P348" s="24"/>
      <c r="Q348" s="26">
        <v>1</v>
      </c>
      <c r="R348" s="26">
        <v>0</v>
      </c>
      <c r="S348" s="25">
        <f t="shared" si="27"/>
        <v>0</v>
      </c>
      <c r="T348" s="25">
        <v>120</v>
      </c>
      <c r="U348" s="24"/>
      <c r="V348" s="26">
        <v>1</v>
      </c>
      <c r="W348" s="26">
        <v>0</v>
      </c>
      <c r="X348" s="25">
        <f t="shared" si="28"/>
        <v>0</v>
      </c>
      <c r="Y348" s="25">
        <v>110</v>
      </c>
      <c r="Z348" s="26">
        <v>1</v>
      </c>
      <c r="AA348" s="26">
        <v>1</v>
      </c>
      <c r="AB348" s="26">
        <v>1</v>
      </c>
      <c r="AC348" s="25">
        <f t="shared" si="29"/>
        <v>110</v>
      </c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</row>
    <row r="349" spans="1:41">
      <c r="A349" s="24" t="s">
        <v>52</v>
      </c>
      <c r="B349" s="24" t="s">
        <v>319</v>
      </c>
      <c r="C349" s="24" t="s">
        <v>68</v>
      </c>
      <c r="D349" s="24" t="s">
        <v>55</v>
      </c>
      <c r="E349" s="25">
        <v>120</v>
      </c>
      <c r="F349" s="24"/>
      <c r="G349" s="26">
        <v>3</v>
      </c>
      <c r="H349" s="26">
        <v>0</v>
      </c>
      <c r="I349" s="25">
        <f t="shared" si="25"/>
        <v>0</v>
      </c>
      <c r="J349" s="25">
        <v>120</v>
      </c>
      <c r="K349" s="26">
        <v>1</v>
      </c>
      <c r="L349" s="26">
        <v>3</v>
      </c>
      <c r="M349" s="26">
        <v>3</v>
      </c>
      <c r="N349" s="25">
        <f t="shared" si="26"/>
        <v>360</v>
      </c>
      <c r="O349" s="25">
        <v>120</v>
      </c>
      <c r="P349" s="24"/>
      <c r="Q349" s="26">
        <v>3</v>
      </c>
      <c r="R349" s="26">
        <v>0</v>
      </c>
      <c r="S349" s="25">
        <f t="shared" si="27"/>
        <v>0</v>
      </c>
      <c r="T349" s="25">
        <v>120</v>
      </c>
      <c r="U349" s="24"/>
      <c r="V349" s="26">
        <v>3</v>
      </c>
      <c r="W349" s="26">
        <v>0</v>
      </c>
      <c r="X349" s="25">
        <f t="shared" si="28"/>
        <v>0</v>
      </c>
      <c r="Y349" s="25">
        <v>110</v>
      </c>
      <c r="Z349" s="26">
        <v>1</v>
      </c>
      <c r="AA349" s="26">
        <v>3</v>
      </c>
      <c r="AB349" s="26">
        <v>3</v>
      </c>
      <c r="AC349" s="25">
        <f t="shared" si="29"/>
        <v>330</v>
      </c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</row>
    <row r="350" spans="1:41">
      <c r="A350" s="24" t="s">
        <v>52</v>
      </c>
      <c r="B350" s="24" t="s">
        <v>320</v>
      </c>
      <c r="C350" s="24" t="s">
        <v>68</v>
      </c>
      <c r="D350" s="24" t="s">
        <v>55</v>
      </c>
      <c r="E350" s="25">
        <v>120</v>
      </c>
      <c r="F350" s="24"/>
      <c r="G350" s="26">
        <v>3</v>
      </c>
      <c r="H350" s="26">
        <v>0</v>
      </c>
      <c r="I350" s="25">
        <f t="shared" si="25"/>
        <v>0</v>
      </c>
      <c r="J350" s="25">
        <v>120</v>
      </c>
      <c r="K350" s="26">
        <v>1</v>
      </c>
      <c r="L350" s="26">
        <v>3</v>
      </c>
      <c r="M350" s="26">
        <v>3</v>
      </c>
      <c r="N350" s="25">
        <f t="shared" si="26"/>
        <v>360</v>
      </c>
      <c r="O350" s="25">
        <v>120</v>
      </c>
      <c r="P350" s="24"/>
      <c r="Q350" s="26">
        <v>3</v>
      </c>
      <c r="R350" s="26">
        <v>0</v>
      </c>
      <c r="S350" s="25">
        <f t="shared" si="27"/>
        <v>0</v>
      </c>
      <c r="T350" s="25">
        <v>120</v>
      </c>
      <c r="U350" s="24"/>
      <c r="V350" s="26">
        <v>3</v>
      </c>
      <c r="W350" s="26">
        <v>0</v>
      </c>
      <c r="X350" s="25">
        <f t="shared" si="28"/>
        <v>0</v>
      </c>
      <c r="Y350" s="25">
        <v>110</v>
      </c>
      <c r="Z350" s="24"/>
      <c r="AA350" s="26">
        <v>3</v>
      </c>
      <c r="AB350" s="26">
        <v>0</v>
      </c>
      <c r="AC350" s="25">
        <f t="shared" si="29"/>
        <v>0</v>
      </c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</row>
    <row r="351" spans="1:41">
      <c r="A351" s="39" t="s">
        <v>52</v>
      </c>
      <c r="B351" s="39" t="s">
        <v>321</v>
      </c>
      <c r="C351" s="39" t="s">
        <v>70</v>
      </c>
      <c r="D351" s="39" t="s">
        <v>55</v>
      </c>
      <c r="E351" s="40">
        <v>140</v>
      </c>
      <c r="F351" s="39"/>
      <c r="G351" s="41">
        <v>3</v>
      </c>
      <c r="H351" s="41">
        <v>0</v>
      </c>
      <c r="I351" s="40">
        <f t="shared" si="25"/>
        <v>0</v>
      </c>
      <c r="J351" s="40">
        <v>140</v>
      </c>
      <c r="K351" s="39"/>
      <c r="L351" s="41">
        <v>3</v>
      </c>
      <c r="M351" s="41">
        <v>0</v>
      </c>
      <c r="N351" s="40">
        <f t="shared" si="26"/>
        <v>0</v>
      </c>
      <c r="O351" s="40">
        <v>120</v>
      </c>
      <c r="P351" s="39"/>
      <c r="Q351" s="41">
        <v>3</v>
      </c>
      <c r="R351" s="41">
        <v>0</v>
      </c>
      <c r="S351" s="40">
        <f t="shared" si="27"/>
        <v>0</v>
      </c>
      <c r="T351" s="40">
        <v>140</v>
      </c>
      <c r="U351" s="41">
        <v>1</v>
      </c>
      <c r="V351" s="41">
        <v>3</v>
      </c>
      <c r="W351" s="41">
        <v>3</v>
      </c>
      <c r="X351" s="40">
        <f t="shared" si="28"/>
        <v>420</v>
      </c>
      <c r="Y351" s="40">
        <v>140</v>
      </c>
      <c r="Z351" s="39"/>
      <c r="AA351" s="41">
        <v>3</v>
      </c>
      <c r="AB351" s="41">
        <v>0</v>
      </c>
      <c r="AC351" s="40">
        <f t="shared" si="29"/>
        <v>0</v>
      </c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</row>
    <row r="352" spans="1:41">
      <c r="A352" s="24" t="s">
        <v>52</v>
      </c>
      <c r="B352" s="24" t="s">
        <v>321</v>
      </c>
      <c r="C352" s="24" t="s">
        <v>68</v>
      </c>
      <c r="D352" s="24" t="s">
        <v>55</v>
      </c>
      <c r="E352" s="25">
        <v>120</v>
      </c>
      <c r="F352" s="24"/>
      <c r="G352" s="26">
        <v>3</v>
      </c>
      <c r="H352" s="26">
        <v>0</v>
      </c>
      <c r="I352" s="25">
        <f t="shared" si="25"/>
        <v>0</v>
      </c>
      <c r="J352" s="25">
        <v>120</v>
      </c>
      <c r="K352" s="26">
        <v>1</v>
      </c>
      <c r="L352" s="26">
        <v>3</v>
      </c>
      <c r="M352" s="26">
        <v>3</v>
      </c>
      <c r="N352" s="25">
        <f t="shared" si="26"/>
        <v>360</v>
      </c>
      <c r="O352" s="25">
        <v>120</v>
      </c>
      <c r="P352" s="24"/>
      <c r="Q352" s="26">
        <v>3</v>
      </c>
      <c r="R352" s="26">
        <v>0</v>
      </c>
      <c r="S352" s="25">
        <f t="shared" si="27"/>
        <v>0</v>
      </c>
      <c r="T352" s="25">
        <v>120</v>
      </c>
      <c r="U352" s="24"/>
      <c r="V352" s="26">
        <v>3</v>
      </c>
      <c r="W352" s="26">
        <v>0</v>
      </c>
      <c r="X352" s="25">
        <f t="shared" si="28"/>
        <v>0</v>
      </c>
      <c r="Y352" s="25">
        <v>110</v>
      </c>
      <c r="Z352" s="24"/>
      <c r="AA352" s="26">
        <v>3</v>
      </c>
      <c r="AB352" s="26">
        <v>0</v>
      </c>
      <c r="AC352" s="25">
        <f t="shared" si="29"/>
        <v>0</v>
      </c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</row>
    <row r="353" spans="1:41">
      <c r="A353" s="39" t="s">
        <v>52</v>
      </c>
      <c r="B353" s="39" t="s">
        <v>322</v>
      </c>
      <c r="C353" s="39" t="s">
        <v>70</v>
      </c>
      <c r="D353" s="39" t="s">
        <v>13</v>
      </c>
      <c r="E353" s="40">
        <v>140</v>
      </c>
      <c r="F353" s="39"/>
      <c r="G353" s="41">
        <v>1</v>
      </c>
      <c r="H353" s="41">
        <v>0</v>
      </c>
      <c r="I353" s="40">
        <f t="shared" si="25"/>
        <v>0</v>
      </c>
      <c r="J353" s="40">
        <v>140</v>
      </c>
      <c r="K353" s="39"/>
      <c r="L353" s="41">
        <v>1</v>
      </c>
      <c r="M353" s="41">
        <v>0</v>
      </c>
      <c r="N353" s="40">
        <f t="shared" si="26"/>
        <v>0</v>
      </c>
      <c r="O353" s="40">
        <v>120</v>
      </c>
      <c r="P353" s="39"/>
      <c r="Q353" s="41">
        <v>1</v>
      </c>
      <c r="R353" s="41">
        <v>0</v>
      </c>
      <c r="S353" s="40">
        <f t="shared" si="27"/>
        <v>0</v>
      </c>
      <c r="T353" s="40">
        <v>140</v>
      </c>
      <c r="U353" s="41">
        <v>1</v>
      </c>
      <c r="V353" s="41">
        <v>1</v>
      </c>
      <c r="W353" s="41">
        <v>1</v>
      </c>
      <c r="X353" s="40">
        <f t="shared" si="28"/>
        <v>140</v>
      </c>
      <c r="Y353" s="40">
        <v>140</v>
      </c>
      <c r="Z353" s="39"/>
      <c r="AA353" s="41">
        <v>1</v>
      </c>
      <c r="AB353" s="41">
        <v>0</v>
      </c>
      <c r="AC353" s="40">
        <f t="shared" si="29"/>
        <v>0</v>
      </c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</row>
    <row r="354" spans="1:41">
      <c r="A354" s="24" t="s">
        <v>52</v>
      </c>
      <c r="B354" s="24" t="s">
        <v>323</v>
      </c>
      <c r="C354" s="24" t="s">
        <v>68</v>
      </c>
      <c r="D354" s="24" t="s">
        <v>13</v>
      </c>
      <c r="E354" s="25">
        <v>120</v>
      </c>
      <c r="F354" s="24"/>
      <c r="G354" s="26">
        <v>1</v>
      </c>
      <c r="H354" s="26">
        <v>0</v>
      </c>
      <c r="I354" s="25">
        <f t="shared" si="25"/>
        <v>0</v>
      </c>
      <c r="J354" s="25">
        <v>120</v>
      </c>
      <c r="K354" s="26">
        <v>1</v>
      </c>
      <c r="L354" s="26">
        <v>1</v>
      </c>
      <c r="M354" s="26">
        <v>1</v>
      </c>
      <c r="N354" s="25">
        <f t="shared" si="26"/>
        <v>120</v>
      </c>
      <c r="O354" s="25">
        <v>120</v>
      </c>
      <c r="P354" s="24"/>
      <c r="Q354" s="26">
        <v>1</v>
      </c>
      <c r="R354" s="26">
        <v>0</v>
      </c>
      <c r="S354" s="25">
        <f t="shared" si="27"/>
        <v>0</v>
      </c>
      <c r="T354" s="25">
        <v>120</v>
      </c>
      <c r="U354" s="24"/>
      <c r="V354" s="26">
        <v>1</v>
      </c>
      <c r="W354" s="26">
        <v>0</v>
      </c>
      <c r="X354" s="25">
        <f t="shared" si="28"/>
        <v>0</v>
      </c>
      <c r="Y354" s="25">
        <v>110</v>
      </c>
      <c r="Z354" s="24"/>
      <c r="AA354" s="26">
        <v>1</v>
      </c>
      <c r="AB354" s="26">
        <v>0</v>
      </c>
      <c r="AC354" s="25">
        <f t="shared" si="29"/>
        <v>0</v>
      </c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</row>
    <row r="355" spans="1:41">
      <c r="A355" s="24" t="s">
        <v>52</v>
      </c>
      <c r="B355" s="24" t="s">
        <v>324</v>
      </c>
      <c r="C355" s="24" t="s">
        <v>68</v>
      </c>
      <c r="D355" s="24" t="s">
        <v>13</v>
      </c>
      <c r="E355" s="25">
        <v>120</v>
      </c>
      <c r="F355" s="24"/>
      <c r="G355" s="26">
        <v>1</v>
      </c>
      <c r="H355" s="26">
        <v>0</v>
      </c>
      <c r="I355" s="25">
        <f t="shared" si="25"/>
        <v>0</v>
      </c>
      <c r="J355" s="25">
        <v>120</v>
      </c>
      <c r="K355" s="26">
        <v>1</v>
      </c>
      <c r="L355" s="26">
        <v>1</v>
      </c>
      <c r="M355" s="26">
        <v>1</v>
      </c>
      <c r="N355" s="25">
        <f t="shared" si="26"/>
        <v>120</v>
      </c>
      <c r="O355" s="25">
        <v>120</v>
      </c>
      <c r="P355" s="24"/>
      <c r="Q355" s="26">
        <v>1</v>
      </c>
      <c r="R355" s="26">
        <v>0</v>
      </c>
      <c r="S355" s="25">
        <f t="shared" si="27"/>
        <v>0</v>
      </c>
      <c r="T355" s="25">
        <v>120</v>
      </c>
      <c r="U355" s="24"/>
      <c r="V355" s="26">
        <v>1</v>
      </c>
      <c r="W355" s="26">
        <v>0</v>
      </c>
      <c r="X355" s="25">
        <f t="shared" si="28"/>
        <v>0</v>
      </c>
      <c r="Y355" s="25">
        <v>110</v>
      </c>
      <c r="Z355" s="24"/>
      <c r="AA355" s="26">
        <v>1</v>
      </c>
      <c r="AB355" s="26">
        <v>0</v>
      </c>
      <c r="AC355" s="25">
        <f t="shared" si="29"/>
        <v>0</v>
      </c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</row>
    <row r="356" spans="1:41">
      <c r="A356" s="36" t="s">
        <v>52</v>
      </c>
      <c r="B356" s="36" t="s">
        <v>325</v>
      </c>
      <c r="C356" s="36" t="s">
        <v>68</v>
      </c>
      <c r="D356" s="36" t="s">
        <v>13</v>
      </c>
      <c r="E356" s="37">
        <v>120</v>
      </c>
      <c r="F356" s="36"/>
      <c r="G356" s="38">
        <v>1</v>
      </c>
      <c r="H356" s="38">
        <v>0</v>
      </c>
      <c r="I356" s="37">
        <f t="shared" si="25"/>
        <v>0</v>
      </c>
      <c r="J356" s="37">
        <v>120</v>
      </c>
      <c r="K356" s="36"/>
      <c r="L356" s="38">
        <v>1</v>
      </c>
      <c r="M356" s="38">
        <v>0</v>
      </c>
      <c r="N356" s="37">
        <f t="shared" si="26"/>
        <v>0</v>
      </c>
      <c r="O356" s="37">
        <v>120</v>
      </c>
      <c r="P356" s="36"/>
      <c r="Q356" s="38">
        <v>1</v>
      </c>
      <c r="R356" s="38">
        <v>0</v>
      </c>
      <c r="S356" s="37">
        <f t="shared" si="27"/>
        <v>0</v>
      </c>
      <c r="T356" s="37">
        <v>120</v>
      </c>
      <c r="U356" s="36"/>
      <c r="V356" s="38">
        <v>1</v>
      </c>
      <c r="W356" s="38">
        <v>0</v>
      </c>
      <c r="X356" s="37">
        <f t="shared" si="28"/>
        <v>0</v>
      </c>
      <c r="Y356" s="37">
        <v>110</v>
      </c>
      <c r="Z356" s="38">
        <v>1</v>
      </c>
      <c r="AA356" s="38">
        <v>1</v>
      </c>
      <c r="AB356" s="38">
        <v>1</v>
      </c>
      <c r="AC356" s="37">
        <f t="shared" si="29"/>
        <v>110</v>
      </c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</row>
    <row r="357" spans="1:41">
      <c r="A357" s="36" t="s">
        <v>52</v>
      </c>
      <c r="B357" s="36" t="s">
        <v>326</v>
      </c>
      <c r="C357" s="36" t="s">
        <v>68</v>
      </c>
      <c r="D357" s="36" t="s">
        <v>13</v>
      </c>
      <c r="E357" s="37">
        <v>120</v>
      </c>
      <c r="F357" s="36"/>
      <c r="G357" s="38">
        <v>1</v>
      </c>
      <c r="H357" s="38">
        <v>0</v>
      </c>
      <c r="I357" s="37">
        <f t="shared" si="25"/>
        <v>0</v>
      </c>
      <c r="J357" s="37">
        <v>120</v>
      </c>
      <c r="K357" s="38">
        <v>1</v>
      </c>
      <c r="L357" s="38">
        <v>1</v>
      </c>
      <c r="M357" s="38">
        <v>1</v>
      </c>
      <c r="N357" s="37">
        <f t="shared" si="26"/>
        <v>120</v>
      </c>
      <c r="O357" s="37">
        <v>120</v>
      </c>
      <c r="P357" s="36"/>
      <c r="Q357" s="38">
        <v>1</v>
      </c>
      <c r="R357" s="38">
        <v>0</v>
      </c>
      <c r="S357" s="37">
        <f t="shared" si="27"/>
        <v>0</v>
      </c>
      <c r="T357" s="37">
        <v>120</v>
      </c>
      <c r="U357" s="36"/>
      <c r="V357" s="38">
        <v>1</v>
      </c>
      <c r="W357" s="38">
        <v>0</v>
      </c>
      <c r="X357" s="37">
        <f t="shared" si="28"/>
        <v>0</v>
      </c>
      <c r="Y357" s="37">
        <v>110</v>
      </c>
      <c r="Z357" s="36"/>
      <c r="AA357" s="38">
        <v>1</v>
      </c>
      <c r="AB357" s="38">
        <v>0</v>
      </c>
      <c r="AC357" s="37">
        <f t="shared" si="29"/>
        <v>0</v>
      </c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</row>
    <row r="358" spans="1:41">
      <c r="A358" s="36" t="s">
        <v>52</v>
      </c>
      <c r="B358" s="36" t="s">
        <v>327</v>
      </c>
      <c r="C358" s="36" t="s">
        <v>68</v>
      </c>
      <c r="D358" s="36" t="s">
        <v>13</v>
      </c>
      <c r="E358" s="37">
        <v>120</v>
      </c>
      <c r="F358" s="36"/>
      <c r="G358" s="38">
        <v>1</v>
      </c>
      <c r="H358" s="38">
        <v>0</v>
      </c>
      <c r="I358" s="37">
        <f t="shared" si="25"/>
        <v>0</v>
      </c>
      <c r="J358" s="37">
        <v>120</v>
      </c>
      <c r="K358" s="38">
        <v>2</v>
      </c>
      <c r="L358" s="38">
        <v>1</v>
      </c>
      <c r="M358" s="38">
        <v>2</v>
      </c>
      <c r="N358" s="37">
        <f t="shared" si="26"/>
        <v>240</v>
      </c>
      <c r="O358" s="37">
        <v>120</v>
      </c>
      <c r="P358" s="36"/>
      <c r="Q358" s="38">
        <v>1</v>
      </c>
      <c r="R358" s="38">
        <v>0</v>
      </c>
      <c r="S358" s="37">
        <f t="shared" si="27"/>
        <v>0</v>
      </c>
      <c r="T358" s="37">
        <v>120</v>
      </c>
      <c r="U358" s="36"/>
      <c r="V358" s="38">
        <v>1</v>
      </c>
      <c r="W358" s="38">
        <v>0</v>
      </c>
      <c r="X358" s="37">
        <f t="shared" si="28"/>
        <v>0</v>
      </c>
      <c r="Y358" s="37">
        <v>110</v>
      </c>
      <c r="Z358" s="36"/>
      <c r="AA358" s="38">
        <v>1</v>
      </c>
      <c r="AB358" s="38">
        <v>0</v>
      </c>
      <c r="AC358" s="37">
        <f t="shared" si="29"/>
        <v>0</v>
      </c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</row>
    <row r="359" spans="1:41">
      <c r="A359" s="24" t="s">
        <v>52</v>
      </c>
      <c r="B359" s="24" t="s">
        <v>328</v>
      </c>
      <c r="C359" s="24" t="s">
        <v>68</v>
      </c>
      <c r="D359" s="24" t="s">
        <v>13</v>
      </c>
      <c r="E359" s="25">
        <v>120</v>
      </c>
      <c r="F359" s="24"/>
      <c r="G359" s="26">
        <v>1</v>
      </c>
      <c r="H359" s="26">
        <v>0</v>
      </c>
      <c r="I359" s="25">
        <f t="shared" si="25"/>
        <v>0</v>
      </c>
      <c r="J359" s="25">
        <v>120</v>
      </c>
      <c r="K359" s="24"/>
      <c r="L359" s="26">
        <v>1</v>
      </c>
      <c r="M359" s="26">
        <v>0</v>
      </c>
      <c r="N359" s="25">
        <f t="shared" si="26"/>
        <v>0</v>
      </c>
      <c r="O359" s="25">
        <v>120</v>
      </c>
      <c r="P359" s="24"/>
      <c r="Q359" s="26">
        <v>1</v>
      </c>
      <c r="R359" s="26">
        <v>0</v>
      </c>
      <c r="S359" s="25">
        <f t="shared" si="27"/>
        <v>0</v>
      </c>
      <c r="T359" s="25">
        <v>120</v>
      </c>
      <c r="U359" s="24"/>
      <c r="V359" s="26">
        <v>1</v>
      </c>
      <c r="W359" s="26">
        <v>0</v>
      </c>
      <c r="X359" s="25">
        <f t="shared" si="28"/>
        <v>0</v>
      </c>
      <c r="Y359" s="25">
        <v>110</v>
      </c>
      <c r="Z359" s="26">
        <v>1</v>
      </c>
      <c r="AA359" s="26">
        <v>1</v>
      </c>
      <c r="AB359" s="26">
        <v>1</v>
      </c>
      <c r="AC359" s="25">
        <f t="shared" si="29"/>
        <v>110</v>
      </c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</row>
    <row r="360" spans="1:41">
      <c r="A360" s="39" t="s">
        <v>52</v>
      </c>
      <c r="B360" s="39" t="s">
        <v>329</v>
      </c>
      <c r="C360" s="39" t="s">
        <v>70</v>
      </c>
      <c r="D360" s="39" t="s">
        <v>13</v>
      </c>
      <c r="E360" s="40">
        <v>140</v>
      </c>
      <c r="F360" s="39"/>
      <c r="G360" s="41">
        <v>1</v>
      </c>
      <c r="H360" s="41">
        <v>0</v>
      </c>
      <c r="I360" s="40">
        <f t="shared" si="25"/>
        <v>0</v>
      </c>
      <c r="J360" s="40">
        <v>140</v>
      </c>
      <c r="K360" s="39"/>
      <c r="L360" s="41">
        <v>1</v>
      </c>
      <c r="M360" s="41">
        <v>0</v>
      </c>
      <c r="N360" s="40">
        <f t="shared" si="26"/>
        <v>0</v>
      </c>
      <c r="O360" s="40">
        <v>120</v>
      </c>
      <c r="P360" s="39"/>
      <c r="Q360" s="41">
        <v>1</v>
      </c>
      <c r="R360" s="41">
        <v>0</v>
      </c>
      <c r="S360" s="40">
        <f t="shared" si="27"/>
        <v>0</v>
      </c>
      <c r="T360" s="40">
        <v>140</v>
      </c>
      <c r="U360" s="39"/>
      <c r="V360" s="41">
        <v>1</v>
      </c>
      <c r="W360" s="41">
        <v>0</v>
      </c>
      <c r="X360" s="40">
        <f t="shared" si="28"/>
        <v>0</v>
      </c>
      <c r="Y360" s="40">
        <v>140</v>
      </c>
      <c r="Z360" s="41">
        <v>1</v>
      </c>
      <c r="AA360" s="41">
        <v>1</v>
      </c>
      <c r="AB360" s="41">
        <v>1</v>
      </c>
      <c r="AC360" s="40">
        <f t="shared" si="29"/>
        <v>140</v>
      </c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</row>
    <row r="361" spans="1:41">
      <c r="A361" s="39" t="s">
        <v>52</v>
      </c>
      <c r="B361" s="39" t="s">
        <v>330</v>
      </c>
      <c r="C361" s="39" t="s">
        <v>70</v>
      </c>
      <c r="D361" s="39" t="s">
        <v>189</v>
      </c>
      <c r="E361" s="40">
        <v>140</v>
      </c>
      <c r="F361" s="39"/>
      <c r="G361" s="41">
        <v>4</v>
      </c>
      <c r="H361" s="41">
        <v>0</v>
      </c>
      <c r="I361" s="40">
        <f t="shared" si="25"/>
        <v>0</v>
      </c>
      <c r="J361" s="40">
        <v>140</v>
      </c>
      <c r="K361" s="39"/>
      <c r="L361" s="41">
        <v>4</v>
      </c>
      <c r="M361" s="41">
        <v>0</v>
      </c>
      <c r="N361" s="40">
        <f t="shared" si="26"/>
        <v>0</v>
      </c>
      <c r="O361" s="40">
        <v>120</v>
      </c>
      <c r="P361" s="39"/>
      <c r="Q361" s="41">
        <v>4</v>
      </c>
      <c r="R361" s="41">
        <v>0</v>
      </c>
      <c r="S361" s="40">
        <f t="shared" si="27"/>
        <v>0</v>
      </c>
      <c r="T361" s="40">
        <v>140</v>
      </c>
      <c r="U361" s="41">
        <v>1</v>
      </c>
      <c r="V361" s="41">
        <v>4</v>
      </c>
      <c r="W361" s="41">
        <v>4</v>
      </c>
      <c r="X361" s="40">
        <f t="shared" si="28"/>
        <v>560</v>
      </c>
      <c r="Y361" s="40">
        <v>140</v>
      </c>
      <c r="Z361" s="39"/>
      <c r="AA361" s="41">
        <v>4</v>
      </c>
      <c r="AB361" s="41">
        <v>0</v>
      </c>
      <c r="AC361" s="40">
        <f t="shared" si="29"/>
        <v>0</v>
      </c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</row>
    <row r="362" spans="1:41">
      <c r="A362" s="33" t="s">
        <v>52</v>
      </c>
      <c r="B362" s="33" t="s">
        <v>331</v>
      </c>
      <c r="C362" s="33" t="s">
        <v>54</v>
      </c>
      <c r="D362" s="33" t="s">
        <v>13</v>
      </c>
      <c r="E362" s="34">
        <v>140</v>
      </c>
      <c r="F362" s="33"/>
      <c r="G362" s="35">
        <v>1</v>
      </c>
      <c r="H362" s="35">
        <v>0</v>
      </c>
      <c r="I362" s="34">
        <f t="shared" si="25"/>
        <v>0</v>
      </c>
      <c r="J362" s="34">
        <v>140</v>
      </c>
      <c r="K362" s="35">
        <v>3</v>
      </c>
      <c r="L362" s="35">
        <v>1</v>
      </c>
      <c r="M362" s="35">
        <v>3</v>
      </c>
      <c r="N362" s="34">
        <f t="shared" si="26"/>
        <v>420</v>
      </c>
      <c r="O362" s="34">
        <v>140</v>
      </c>
      <c r="P362" s="33"/>
      <c r="Q362" s="35">
        <v>1</v>
      </c>
      <c r="R362" s="35">
        <v>0</v>
      </c>
      <c r="S362" s="34">
        <f t="shared" si="27"/>
        <v>0</v>
      </c>
      <c r="T362" s="34">
        <v>140</v>
      </c>
      <c r="U362" s="33"/>
      <c r="V362" s="35">
        <v>1</v>
      </c>
      <c r="W362" s="35">
        <v>0</v>
      </c>
      <c r="X362" s="34">
        <f t="shared" si="28"/>
        <v>0</v>
      </c>
      <c r="Y362" s="34">
        <v>135</v>
      </c>
      <c r="Z362" s="33"/>
      <c r="AA362" s="35">
        <v>1</v>
      </c>
      <c r="AB362" s="35">
        <v>0</v>
      </c>
      <c r="AC362" s="34">
        <f t="shared" si="29"/>
        <v>0</v>
      </c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</row>
    <row r="363" spans="1:41">
      <c r="A363" s="39" t="s">
        <v>52</v>
      </c>
      <c r="B363" s="39" t="s">
        <v>332</v>
      </c>
      <c r="C363" s="39" t="s">
        <v>70</v>
      </c>
      <c r="D363" s="39" t="s">
        <v>55</v>
      </c>
      <c r="E363" s="40">
        <v>140</v>
      </c>
      <c r="F363" s="39"/>
      <c r="G363" s="41">
        <v>3</v>
      </c>
      <c r="H363" s="41">
        <v>0</v>
      </c>
      <c r="I363" s="40">
        <f t="shared" si="25"/>
        <v>0</v>
      </c>
      <c r="J363" s="40">
        <v>140</v>
      </c>
      <c r="K363" s="41">
        <v>1</v>
      </c>
      <c r="L363" s="41">
        <v>3</v>
      </c>
      <c r="M363" s="41">
        <v>3</v>
      </c>
      <c r="N363" s="40">
        <f t="shared" si="26"/>
        <v>420</v>
      </c>
      <c r="O363" s="40">
        <v>120</v>
      </c>
      <c r="P363" s="39"/>
      <c r="Q363" s="41">
        <v>3</v>
      </c>
      <c r="R363" s="41">
        <v>0</v>
      </c>
      <c r="S363" s="40">
        <f t="shared" si="27"/>
        <v>0</v>
      </c>
      <c r="T363" s="40">
        <v>140</v>
      </c>
      <c r="U363" s="39"/>
      <c r="V363" s="41">
        <v>3</v>
      </c>
      <c r="W363" s="41">
        <v>0</v>
      </c>
      <c r="X363" s="40">
        <f t="shared" si="28"/>
        <v>0</v>
      </c>
      <c r="Y363" s="40">
        <v>140</v>
      </c>
      <c r="Z363" s="39"/>
      <c r="AA363" s="41">
        <v>3</v>
      </c>
      <c r="AB363" s="41">
        <v>0</v>
      </c>
      <c r="AC363" s="40">
        <f t="shared" si="29"/>
        <v>0</v>
      </c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</row>
    <row r="364" spans="1:41">
      <c r="A364" s="24" t="s">
        <v>52</v>
      </c>
      <c r="B364" s="24" t="s">
        <v>332</v>
      </c>
      <c r="C364" s="24" t="s">
        <v>68</v>
      </c>
      <c r="D364" s="24" t="s">
        <v>55</v>
      </c>
      <c r="E364" s="25">
        <v>120</v>
      </c>
      <c r="F364" s="24"/>
      <c r="G364" s="26">
        <v>3</v>
      </c>
      <c r="H364" s="26">
        <v>0</v>
      </c>
      <c r="I364" s="25">
        <f t="shared" si="25"/>
        <v>0</v>
      </c>
      <c r="J364" s="25">
        <v>120</v>
      </c>
      <c r="K364" s="26">
        <v>2</v>
      </c>
      <c r="L364" s="26">
        <v>3</v>
      </c>
      <c r="M364" s="26">
        <v>6</v>
      </c>
      <c r="N364" s="25">
        <f t="shared" si="26"/>
        <v>720</v>
      </c>
      <c r="O364" s="25">
        <v>120</v>
      </c>
      <c r="P364" s="24"/>
      <c r="Q364" s="26">
        <v>3</v>
      </c>
      <c r="R364" s="26">
        <v>0</v>
      </c>
      <c r="S364" s="25">
        <f t="shared" si="27"/>
        <v>0</v>
      </c>
      <c r="T364" s="25">
        <v>120</v>
      </c>
      <c r="U364" s="24"/>
      <c r="V364" s="26">
        <v>3</v>
      </c>
      <c r="W364" s="26">
        <v>0</v>
      </c>
      <c r="X364" s="25">
        <f t="shared" si="28"/>
        <v>0</v>
      </c>
      <c r="Y364" s="25">
        <v>110</v>
      </c>
      <c r="Z364" s="24"/>
      <c r="AA364" s="26">
        <v>3</v>
      </c>
      <c r="AB364" s="26">
        <v>0</v>
      </c>
      <c r="AC364" s="25">
        <f t="shared" si="29"/>
        <v>0</v>
      </c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</row>
    <row r="365" spans="1:41">
      <c r="A365" s="36" t="s">
        <v>52</v>
      </c>
      <c r="B365" s="36" t="s">
        <v>333</v>
      </c>
      <c r="C365" s="36" t="s">
        <v>68</v>
      </c>
      <c r="D365" s="36" t="s">
        <v>13</v>
      </c>
      <c r="E365" s="37">
        <v>120</v>
      </c>
      <c r="F365" s="38">
        <v>1</v>
      </c>
      <c r="G365" s="38">
        <v>1</v>
      </c>
      <c r="H365" s="38">
        <v>1</v>
      </c>
      <c r="I365" s="37">
        <f t="shared" si="25"/>
        <v>120</v>
      </c>
      <c r="J365" s="37">
        <v>120</v>
      </c>
      <c r="K365" s="36"/>
      <c r="L365" s="38">
        <v>1</v>
      </c>
      <c r="M365" s="38">
        <v>0</v>
      </c>
      <c r="N365" s="37">
        <f t="shared" si="26"/>
        <v>0</v>
      </c>
      <c r="O365" s="37">
        <v>120</v>
      </c>
      <c r="P365" s="36"/>
      <c r="Q365" s="38">
        <v>1</v>
      </c>
      <c r="R365" s="38">
        <v>0</v>
      </c>
      <c r="S365" s="37">
        <f t="shared" si="27"/>
        <v>0</v>
      </c>
      <c r="T365" s="37">
        <v>120</v>
      </c>
      <c r="U365" s="36"/>
      <c r="V365" s="38">
        <v>1</v>
      </c>
      <c r="W365" s="38">
        <v>0</v>
      </c>
      <c r="X365" s="37">
        <f t="shared" si="28"/>
        <v>0</v>
      </c>
      <c r="Y365" s="37">
        <v>110</v>
      </c>
      <c r="Z365" s="36"/>
      <c r="AA365" s="38">
        <v>1</v>
      </c>
      <c r="AB365" s="38">
        <v>0</v>
      </c>
      <c r="AC365" s="37">
        <f t="shared" si="29"/>
        <v>0</v>
      </c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</row>
    <row r="366" spans="1:41" s="16" customFormat="1">
      <c r="E366" s="17"/>
      <c r="F366" s="18"/>
      <c r="G366" s="18"/>
      <c r="H366" s="18">
        <f>SUM(H1:H365)</f>
        <v>5</v>
      </c>
      <c r="I366" s="17">
        <f>SUM(I1:I365)</f>
        <v>660</v>
      </c>
      <c r="J366" s="17"/>
      <c r="K366" s="18"/>
      <c r="L366" s="18"/>
      <c r="M366" s="18">
        <f>SUM(M1:M365)</f>
        <v>757</v>
      </c>
      <c r="N366" s="17">
        <f>SUM(N1:N365)</f>
        <v>93475</v>
      </c>
      <c r="O366" s="17"/>
      <c r="P366" s="18"/>
      <c r="Q366" s="18"/>
      <c r="R366" s="18">
        <f>SUM(R1:R365)</f>
        <v>32</v>
      </c>
      <c r="S366" s="17">
        <f>SUM(S1:S365)</f>
        <v>4105</v>
      </c>
      <c r="T366" s="17"/>
      <c r="U366" s="18"/>
      <c r="V366" s="18"/>
      <c r="W366" s="18">
        <f>SUM(W1:W365)</f>
        <v>187</v>
      </c>
      <c r="X366" s="17">
        <f>SUM(X1:X365)</f>
        <v>24990</v>
      </c>
      <c r="Y366" s="17"/>
      <c r="Z366" s="18"/>
      <c r="AA366" s="18"/>
      <c r="AB366" s="18">
        <f>SUM(AB1:AB365)</f>
        <v>109</v>
      </c>
      <c r="AC366" s="17">
        <f>SUM(AC1:AC365)</f>
        <v>15825</v>
      </c>
    </row>
    <row r="367" spans="1:41">
      <c r="E367" s="42"/>
    </row>
    <row r="368" spans="1:41">
      <c r="E368" s="42"/>
    </row>
    <row r="369" spans="4:5">
      <c r="D369" s="19" t="s">
        <v>334</v>
      </c>
      <c r="E369" s="43">
        <f>SUM(I366,N366,S366,X366,AC366)</f>
        <v>139055</v>
      </c>
    </row>
    <row r="370" spans="4:5">
      <c r="E370" s="42"/>
    </row>
    <row r="371" spans="4:5">
      <c r="D371" s="19" t="s">
        <v>335</v>
      </c>
      <c r="E371" s="43">
        <f>13*150</f>
        <v>1950</v>
      </c>
    </row>
    <row r="372" spans="4:5">
      <c r="E372" s="42"/>
    </row>
    <row r="373" spans="4:5" ht="29.1">
      <c r="D373" s="45" t="s">
        <v>336</v>
      </c>
      <c r="E373" s="43">
        <v>120</v>
      </c>
    </row>
    <row r="374" spans="4:5">
      <c r="E374" s="42"/>
    </row>
    <row r="375" spans="4:5">
      <c r="D375" s="20" t="s">
        <v>337</v>
      </c>
      <c r="E375" s="44">
        <f>SUM(E369:E373)</f>
        <v>141125</v>
      </c>
    </row>
    <row r="376" spans="4:5">
      <c r="E376" s="42"/>
    </row>
  </sheetData>
  <autoFilter ref="A2:AO2" xr:uid="{00000000-0001-0000-0000-000000000000}"/>
  <pageMargins left="0" right="0" top="0" bottom="0" header="0" footer="0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781"/>
  <sheetViews>
    <sheetView workbookViewId="0"/>
  </sheetViews>
  <sheetFormatPr defaultRowHeight="14.65"/>
  <cols>
    <col min="1" max="1" width="12.7109375" style="4" customWidth="1"/>
    <col min="2" max="3" width="12.7109375" customWidth="1"/>
    <col min="4" max="4" width="12.7109375" style="4" customWidth="1"/>
    <col min="5" max="11" width="12.7109375" customWidth="1"/>
    <col min="12" max="12" width="12.7109375" style="5" customWidth="1"/>
    <col min="13" max="13" width="12.7109375" customWidth="1"/>
  </cols>
  <sheetData>
    <row r="1" spans="1:13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7</v>
      </c>
      <c r="M1" t="s">
        <v>349</v>
      </c>
    </row>
    <row r="2" spans="1:13">
      <c r="A2" s="4">
        <v>46149</v>
      </c>
      <c r="B2" t="s">
        <v>350</v>
      </c>
      <c r="C2" t="s">
        <v>351</v>
      </c>
      <c r="D2" s="4">
        <v>46134</v>
      </c>
      <c r="E2" t="s">
        <v>6</v>
      </c>
      <c r="F2" t="s">
        <v>10</v>
      </c>
      <c r="G2" t="s">
        <v>47</v>
      </c>
      <c r="H2" t="s">
        <v>12</v>
      </c>
      <c r="I2" t="s">
        <v>13</v>
      </c>
      <c r="J2" t="s">
        <v>352</v>
      </c>
      <c r="K2" t="s">
        <v>353</v>
      </c>
      <c r="M2" t="s">
        <v>354</v>
      </c>
    </row>
    <row r="3" spans="1:13">
      <c r="A3" s="4">
        <v>46149</v>
      </c>
      <c r="B3" t="s">
        <v>350</v>
      </c>
      <c r="C3" t="s">
        <v>355</v>
      </c>
      <c r="D3" s="4">
        <v>46148</v>
      </c>
      <c r="E3" t="s">
        <v>3</v>
      </c>
      <c r="F3" t="s">
        <v>52</v>
      </c>
      <c r="G3" t="s">
        <v>194</v>
      </c>
      <c r="H3" t="s">
        <v>68</v>
      </c>
      <c r="I3" t="s">
        <v>29</v>
      </c>
      <c r="J3" t="s">
        <v>352</v>
      </c>
      <c r="K3" t="s">
        <v>353</v>
      </c>
      <c r="M3" t="s">
        <v>356</v>
      </c>
    </row>
    <row r="4" spans="1:13">
      <c r="A4" s="4">
        <v>46149</v>
      </c>
      <c r="B4" t="s">
        <v>350</v>
      </c>
      <c r="C4" t="s">
        <v>357</v>
      </c>
      <c r="D4" s="4">
        <v>46149</v>
      </c>
      <c r="E4" t="s">
        <v>3</v>
      </c>
      <c r="F4" t="s">
        <v>52</v>
      </c>
      <c r="G4" t="s">
        <v>177</v>
      </c>
      <c r="H4" t="s">
        <v>68</v>
      </c>
      <c r="I4" t="s">
        <v>13</v>
      </c>
      <c r="J4" t="s">
        <v>352</v>
      </c>
      <c r="K4" t="s">
        <v>353</v>
      </c>
      <c r="M4" t="s">
        <v>358</v>
      </c>
    </row>
    <row r="5" spans="1:13">
      <c r="A5" s="4">
        <v>46149</v>
      </c>
      <c r="B5" t="s">
        <v>350</v>
      </c>
      <c r="C5" t="s">
        <v>359</v>
      </c>
      <c r="D5" s="4">
        <v>46149</v>
      </c>
      <c r="E5" t="s">
        <v>3</v>
      </c>
      <c r="F5" t="s">
        <v>52</v>
      </c>
      <c r="G5" t="s">
        <v>269</v>
      </c>
      <c r="H5" t="s">
        <v>68</v>
      </c>
      <c r="I5" t="s">
        <v>13</v>
      </c>
      <c r="J5" t="s">
        <v>352</v>
      </c>
      <c r="K5" t="s">
        <v>353</v>
      </c>
      <c r="M5" t="s">
        <v>360</v>
      </c>
    </row>
    <row r="6" spans="1:13">
      <c r="A6" s="4">
        <v>46149</v>
      </c>
      <c r="B6" t="s">
        <v>350</v>
      </c>
      <c r="C6" t="s">
        <v>361</v>
      </c>
      <c r="D6" s="4">
        <v>46149</v>
      </c>
      <c r="E6" t="s">
        <v>3</v>
      </c>
      <c r="F6" t="s">
        <v>52</v>
      </c>
      <c r="G6" t="s">
        <v>63</v>
      </c>
      <c r="H6" t="s">
        <v>54</v>
      </c>
      <c r="I6" t="s">
        <v>13</v>
      </c>
      <c r="J6" t="s">
        <v>352</v>
      </c>
      <c r="K6" t="s">
        <v>362</v>
      </c>
      <c r="M6" t="s">
        <v>363</v>
      </c>
    </row>
    <row r="7" spans="1:13">
      <c r="A7" s="4">
        <v>46149</v>
      </c>
      <c r="B7" t="s">
        <v>350</v>
      </c>
      <c r="C7" t="s">
        <v>364</v>
      </c>
      <c r="D7" s="4">
        <v>46149</v>
      </c>
      <c r="E7" t="s">
        <v>3</v>
      </c>
      <c r="F7" t="s">
        <v>52</v>
      </c>
      <c r="G7" t="s">
        <v>150</v>
      </c>
      <c r="H7" t="s">
        <v>54</v>
      </c>
      <c r="I7" t="s">
        <v>13</v>
      </c>
      <c r="J7" t="s">
        <v>352</v>
      </c>
      <c r="K7" t="s">
        <v>365</v>
      </c>
      <c r="M7" t="s">
        <v>366</v>
      </c>
    </row>
    <row r="8" spans="1:13">
      <c r="A8" s="4">
        <v>46149</v>
      </c>
      <c r="B8" t="s">
        <v>350</v>
      </c>
      <c r="C8" t="s">
        <v>367</v>
      </c>
      <c r="D8" s="4">
        <v>46139</v>
      </c>
      <c r="E8" t="s">
        <v>5</v>
      </c>
      <c r="F8" t="s">
        <v>10</v>
      </c>
      <c r="G8" t="s">
        <v>40</v>
      </c>
      <c r="H8" t="s">
        <v>12</v>
      </c>
      <c r="I8" t="s">
        <v>13</v>
      </c>
      <c r="J8" t="s">
        <v>352</v>
      </c>
      <c r="K8" t="s">
        <v>368</v>
      </c>
      <c r="M8" t="s">
        <v>369</v>
      </c>
    </row>
    <row r="9" spans="1:13">
      <c r="A9" s="4">
        <v>46149</v>
      </c>
      <c r="B9" t="s">
        <v>350</v>
      </c>
      <c r="C9" t="s">
        <v>370</v>
      </c>
      <c r="D9" s="4">
        <v>46148</v>
      </c>
      <c r="E9" t="s">
        <v>5</v>
      </c>
      <c r="F9" t="s">
        <v>52</v>
      </c>
      <c r="G9" t="s">
        <v>285</v>
      </c>
      <c r="H9" t="s">
        <v>70</v>
      </c>
      <c r="I9" t="s">
        <v>13</v>
      </c>
      <c r="J9" t="s">
        <v>352</v>
      </c>
      <c r="K9" t="s">
        <v>368</v>
      </c>
      <c r="M9" t="s">
        <v>371</v>
      </c>
    </row>
    <row r="10" spans="1:13">
      <c r="A10" s="4">
        <v>46149</v>
      </c>
      <c r="B10" t="s">
        <v>350</v>
      </c>
      <c r="C10" t="s">
        <v>372</v>
      </c>
      <c r="D10" s="4">
        <v>46149</v>
      </c>
      <c r="E10" t="s">
        <v>3</v>
      </c>
      <c r="F10" t="s">
        <v>52</v>
      </c>
      <c r="G10" t="s">
        <v>168</v>
      </c>
      <c r="H10" t="s">
        <v>68</v>
      </c>
      <c r="I10" t="s">
        <v>13</v>
      </c>
      <c r="J10" t="s">
        <v>352</v>
      </c>
      <c r="K10" t="s">
        <v>373</v>
      </c>
      <c r="M10" t="s">
        <v>374</v>
      </c>
    </row>
    <row r="11" spans="1:13">
      <c r="A11" s="4">
        <v>46149</v>
      </c>
      <c r="B11" t="s">
        <v>350</v>
      </c>
      <c r="C11" t="s">
        <v>375</v>
      </c>
      <c r="D11" s="4">
        <v>46149</v>
      </c>
      <c r="E11" t="s">
        <v>3</v>
      </c>
      <c r="F11" t="s">
        <v>52</v>
      </c>
      <c r="G11" t="s">
        <v>183</v>
      </c>
      <c r="H11" t="s">
        <v>68</v>
      </c>
      <c r="I11" t="s">
        <v>13</v>
      </c>
      <c r="J11" t="s">
        <v>352</v>
      </c>
      <c r="K11" t="s">
        <v>376</v>
      </c>
      <c r="M11" t="s">
        <v>377</v>
      </c>
    </row>
    <row r="12" spans="1:13">
      <c r="A12" s="4">
        <v>46149</v>
      </c>
      <c r="B12" t="s">
        <v>350</v>
      </c>
      <c r="C12" t="s">
        <v>378</v>
      </c>
      <c r="D12" s="4">
        <v>46149</v>
      </c>
      <c r="E12" t="s">
        <v>3</v>
      </c>
      <c r="F12" t="s">
        <v>52</v>
      </c>
      <c r="G12" t="s">
        <v>196</v>
      </c>
      <c r="H12" t="s">
        <v>68</v>
      </c>
      <c r="I12" t="s">
        <v>29</v>
      </c>
      <c r="J12" t="s">
        <v>352</v>
      </c>
      <c r="K12" t="s">
        <v>379</v>
      </c>
      <c r="M12" t="s">
        <v>380</v>
      </c>
    </row>
    <row r="13" spans="1:13">
      <c r="A13" s="4">
        <v>46149</v>
      </c>
      <c r="B13" t="s">
        <v>350</v>
      </c>
      <c r="C13" t="s">
        <v>381</v>
      </c>
      <c r="D13" s="4">
        <v>46058</v>
      </c>
      <c r="E13" t="s">
        <v>6</v>
      </c>
      <c r="F13" t="s">
        <v>10</v>
      </c>
      <c r="G13" t="s">
        <v>35</v>
      </c>
      <c r="H13" t="s">
        <v>15</v>
      </c>
      <c r="I13" t="s">
        <v>13</v>
      </c>
      <c r="J13" t="s">
        <v>352</v>
      </c>
      <c r="K13" t="s">
        <v>382</v>
      </c>
      <c r="M13" t="s">
        <v>383</v>
      </c>
    </row>
    <row r="14" spans="1:13">
      <c r="A14" s="4">
        <v>46149</v>
      </c>
      <c r="B14" t="s">
        <v>350</v>
      </c>
      <c r="C14" t="s">
        <v>384</v>
      </c>
      <c r="D14" s="4">
        <v>46148</v>
      </c>
      <c r="E14" t="s">
        <v>3</v>
      </c>
      <c r="F14" t="s">
        <v>52</v>
      </c>
      <c r="G14" t="s">
        <v>215</v>
      </c>
      <c r="H14" t="s">
        <v>68</v>
      </c>
      <c r="I14" t="s">
        <v>13</v>
      </c>
      <c r="J14" t="s">
        <v>352</v>
      </c>
      <c r="K14" t="s">
        <v>385</v>
      </c>
      <c r="M14" t="s">
        <v>386</v>
      </c>
    </row>
    <row r="15" spans="1:13">
      <c r="A15" s="4">
        <v>46149</v>
      </c>
      <c r="B15" t="s">
        <v>350</v>
      </c>
      <c r="C15" t="s">
        <v>387</v>
      </c>
      <c r="D15" s="4">
        <v>46146</v>
      </c>
      <c r="E15" t="s">
        <v>5</v>
      </c>
      <c r="F15" t="s">
        <v>52</v>
      </c>
      <c r="G15" t="s">
        <v>106</v>
      </c>
      <c r="H15" t="s">
        <v>68</v>
      </c>
      <c r="I15" t="s">
        <v>13</v>
      </c>
      <c r="J15" t="s">
        <v>352</v>
      </c>
      <c r="K15" t="s">
        <v>388</v>
      </c>
      <c r="M15" t="s">
        <v>389</v>
      </c>
    </row>
    <row r="16" spans="1:13">
      <c r="A16" s="4">
        <v>46149</v>
      </c>
      <c r="B16" t="s">
        <v>350</v>
      </c>
      <c r="C16" t="s">
        <v>390</v>
      </c>
      <c r="D16" s="4">
        <v>46149</v>
      </c>
      <c r="E16" t="s">
        <v>6</v>
      </c>
      <c r="F16" t="s">
        <v>10</v>
      </c>
      <c r="G16" t="s">
        <v>28</v>
      </c>
      <c r="H16" t="s">
        <v>20</v>
      </c>
      <c r="I16" t="s">
        <v>29</v>
      </c>
      <c r="J16" t="s">
        <v>352</v>
      </c>
      <c r="K16" t="s">
        <v>391</v>
      </c>
      <c r="M16" t="s">
        <v>392</v>
      </c>
    </row>
    <row r="17" spans="1:13">
      <c r="A17" s="4">
        <v>46149</v>
      </c>
      <c r="B17" t="s">
        <v>350</v>
      </c>
      <c r="C17" t="s">
        <v>393</v>
      </c>
      <c r="D17" s="4">
        <v>46133</v>
      </c>
      <c r="E17" t="s">
        <v>3</v>
      </c>
      <c r="F17" t="s">
        <v>10</v>
      </c>
      <c r="G17" t="s">
        <v>45</v>
      </c>
      <c r="H17" t="s">
        <v>12</v>
      </c>
      <c r="I17" t="s">
        <v>13</v>
      </c>
      <c r="J17" t="s">
        <v>352</v>
      </c>
      <c r="K17" t="s">
        <v>394</v>
      </c>
      <c r="M17" t="s">
        <v>395</v>
      </c>
    </row>
    <row r="18" spans="1:13">
      <c r="A18" s="4">
        <v>46149</v>
      </c>
      <c r="B18" t="s">
        <v>350</v>
      </c>
      <c r="C18" t="s">
        <v>396</v>
      </c>
      <c r="D18" s="4">
        <v>46148</v>
      </c>
      <c r="E18" t="s">
        <v>5</v>
      </c>
      <c r="F18" t="s">
        <v>52</v>
      </c>
      <c r="G18" t="s">
        <v>168</v>
      </c>
      <c r="H18" t="s">
        <v>68</v>
      </c>
      <c r="I18" t="s">
        <v>13</v>
      </c>
      <c r="J18" t="s">
        <v>352</v>
      </c>
      <c r="K18" t="s">
        <v>397</v>
      </c>
      <c r="M18" t="s">
        <v>398</v>
      </c>
    </row>
    <row r="19" spans="1:13">
      <c r="A19" s="4">
        <v>46149</v>
      </c>
      <c r="B19" t="s">
        <v>350</v>
      </c>
      <c r="C19" t="s">
        <v>399</v>
      </c>
      <c r="D19" s="4">
        <v>46149</v>
      </c>
      <c r="E19" t="s">
        <v>3</v>
      </c>
      <c r="F19" t="s">
        <v>52</v>
      </c>
      <c r="G19" t="s">
        <v>168</v>
      </c>
      <c r="H19" t="s">
        <v>68</v>
      </c>
      <c r="I19" t="s">
        <v>13</v>
      </c>
      <c r="J19" t="s">
        <v>352</v>
      </c>
      <c r="K19" t="s">
        <v>397</v>
      </c>
      <c r="M19" t="s">
        <v>400</v>
      </c>
    </row>
    <row r="20" spans="1:13">
      <c r="A20" s="4">
        <v>46149</v>
      </c>
      <c r="B20" t="s">
        <v>350</v>
      </c>
      <c r="C20" t="s">
        <v>401</v>
      </c>
      <c r="D20" s="4">
        <v>46148</v>
      </c>
      <c r="E20" t="s">
        <v>5</v>
      </c>
      <c r="F20" t="s">
        <v>52</v>
      </c>
      <c r="G20" t="s">
        <v>225</v>
      </c>
      <c r="H20" t="s">
        <v>68</v>
      </c>
      <c r="I20" t="s">
        <v>55</v>
      </c>
      <c r="J20" t="s">
        <v>352</v>
      </c>
      <c r="K20" t="s">
        <v>402</v>
      </c>
      <c r="M20" t="s">
        <v>403</v>
      </c>
    </row>
    <row r="21" spans="1:13">
      <c r="A21" s="4">
        <v>46149</v>
      </c>
      <c r="B21" t="s">
        <v>350</v>
      </c>
      <c r="C21" t="s">
        <v>404</v>
      </c>
      <c r="D21" s="4">
        <v>46149</v>
      </c>
      <c r="E21" t="s">
        <v>4</v>
      </c>
      <c r="F21" t="s">
        <v>52</v>
      </c>
      <c r="G21" t="s">
        <v>296</v>
      </c>
      <c r="H21" t="s">
        <v>68</v>
      </c>
      <c r="I21" t="s">
        <v>13</v>
      </c>
      <c r="J21" t="s">
        <v>352</v>
      </c>
      <c r="K21" t="s">
        <v>405</v>
      </c>
      <c r="M21" t="s">
        <v>406</v>
      </c>
    </row>
    <row r="22" spans="1:13">
      <c r="A22" s="4">
        <v>46149</v>
      </c>
      <c r="B22" t="s">
        <v>350</v>
      </c>
      <c r="C22" t="s">
        <v>407</v>
      </c>
      <c r="D22" s="4">
        <v>46149</v>
      </c>
      <c r="E22" t="s">
        <v>3</v>
      </c>
      <c r="F22" t="s">
        <v>52</v>
      </c>
      <c r="G22" t="s">
        <v>296</v>
      </c>
      <c r="H22" t="s">
        <v>68</v>
      </c>
      <c r="I22" t="s">
        <v>13</v>
      </c>
      <c r="J22" t="s">
        <v>352</v>
      </c>
      <c r="K22" t="s">
        <v>405</v>
      </c>
      <c r="M22" t="s">
        <v>408</v>
      </c>
    </row>
    <row r="23" spans="1:13">
      <c r="A23" s="4">
        <v>46149</v>
      </c>
      <c r="B23" t="s">
        <v>350</v>
      </c>
      <c r="C23" t="s">
        <v>409</v>
      </c>
      <c r="D23" s="4">
        <v>46149</v>
      </c>
      <c r="E23" t="s">
        <v>3</v>
      </c>
      <c r="F23" t="s">
        <v>52</v>
      </c>
      <c r="G23" t="s">
        <v>297</v>
      </c>
      <c r="H23" t="s">
        <v>68</v>
      </c>
      <c r="I23" t="s">
        <v>13</v>
      </c>
      <c r="J23" t="s">
        <v>352</v>
      </c>
      <c r="K23" t="s">
        <v>405</v>
      </c>
      <c r="M23" t="s">
        <v>410</v>
      </c>
    </row>
    <row r="24" spans="1:13">
      <c r="A24" s="4">
        <v>46149</v>
      </c>
      <c r="B24" t="s">
        <v>350</v>
      </c>
      <c r="C24" t="s">
        <v>411</v>
      </c>
      <c r="D24" s="4">
        <v>46149</v>
      </c>
      <c r="E24" t="s">
        <v>3</v>
      </c>
      <c r="F24" t="s">
        <v>52</v>
      </c>
      <c r="G24" t="s">
        <v>296</v>
      </c>
      <c r="H24" t="s">
        <v>68</v>
      </c>
      <c r="I24" t="s">
        <v>13</v>
      </c>
      <c r="J24" t="s">
        <v>352</v>
      </c>
      <c r="K24" t="s">
        <v>405</v>
      </c>
      <c r="M24" t="s">
        <v>412</v>
      </c>
    </row>
    <row r="25" spans="1:13">
      <c r="A25" s="4">
        <v>46149</v>
      </c>
      <c r="B25" t="s">
        <v>350</v>
      </c>
      <c r="C25" t="s">
        <v>413</v>
      </c>
      <c r="D25" s="4">
        <v>46141</v>
      </c>
      <c r="E25" t="s">
        <v>5</v>
      </c>
      <c r="F25" t="s">
        <v>10</v>
      </c>
      <c r="G25" t="s">
        <v>22</v>
      </c>
      <c r="H25" t="s">
        <v>12</v>
      </c>
      <c r="I25" t="s">
        <v>13</v>
      </c>
      <c r="J25" t="s">
        <v>352</v>
      </c>
      <c r="K25" t="s">
        <v>414</v>
      </c>
      <c r="M25" t="s">
        <v>415</v>
      </c>
    </row>
    <row r="26" spans="1:13">
      <c r="A26" s="4">
        <v>46149</v>
      </c>
      <c r="B26" t="s">
        <v>350</v>
      </c>
      <c r="C26" t="s">
        <v>416</v>
      </c>
      <c r="D26" s="4">
        <v>46126</v>
      </c>
      <c r="E26" t="s">
        <v>6</v>
      </c>
      <c r="F26" t="s">
        <v>10</v>
      </c>
      <c r="G26" t="s">
        <v>23</v>
      </c>
      <c r="H26" t="s">
        <v>15</v>
      </c>
      <c r="I26" t="s">
        <v>13</v>
      </c>
      <c r="J26" t="s">
        <v>352</v>
      </c>
      <c r="K26" t="s">
        <v>417</v>
      </c>
      <c r="M26" t="s">
        <v>418</v>
      </c>
    </row>
    <row r="27" spans="1:13">
      <c r="A27" s="4">
        <v>46149</v>
      </c>
      <c r="B27" t="s">
        <v>350</v>
      </c>
      <c r="C27" t="s">
        <v>419</v>
      </c>
      <c r="D27" s="4">
        <v>46129</v>
      </c>
      <c r="E27" t="s">
        <v>6</v>
      </c>
      <c r="F27" t="s">
        <v>10</v>
      </c>
      <c r="G27" t="s">
        <v>24</v>
      </c>
      <c r="H27" t="s">
        <v>15</v>
      </c>
      <c r="I27" t="s">
        <v>13</v>
      </c>
      <c r="J27" t="s">
        <v>352</v>
      </c>
      <c r="K27" t="s">
        <v>417</v>
      </c>
      <c r="M27" t="s">
        <v>420</v>
      </c>
    </row>
    <row r="28" spans="1:13">
      <c r="A28" s="4">
        <v>46149</v>
      </c>
      <c r="B28" t="s">
        <v>350</v>
      </c>
      <c r="C28" t="s">
        <v>421</v>
      </c>
      <c r="D28" s="4">
        <v>46149</v>
      </c>
      <c r="E28" t="s">
        <v>3</v>
      </c>
      <c r="F28" t="s">
        <v>52</v>
      </c>
      <c r="G28" t="s">
        <v>112</v>
      </c>
      <c r="H28" t="s">
        <v>68</v>
      </c>
      <c r="I28" t="s">
        <v>13</v>
      </c>
      <c r="J28" t="s">
        <v>352</v>
      </c>
      <c r="K28" t="s">
        <v>422</v>
      </c>
      <c r="M28" t="s">
        <v>423</v>
      </c>
    </row>
    <row r="29" spans="1:13">
      <c r="A29" s="4">
        <v>46149</v>
      </c>
      <c r="B29" t="s">
        <v>350</v>
      </c>
      <c r="C29" t="s">
        <v>424</v>
      </c>
      <c r="D29" s="4">
        <v>46149</v>
      </c>
      <c r="E29" t="s">
        <v>3</v>
      </c>
      <c r="F29" t="s">
        <v>52</v>
      </c>
      <c r="G29" t="s">
        <v>192</v>
      </c>
      <c r="H29" t="s">
        <v>68</v>
      </c>
      <c r="I29" t="s">
        <v>29</v>
      </c>
      <c r="J29" t="s">
        <v>352</v>
      </c>
      <c r="K29" t="s">
        <v>422</v>
      </c>
      <c r="M29" t="s">
        <v>425</v>
      </c>
    </row>
    <row r="30" spans="1:13">
      <c r="A30" s="4">
        <v>46149</v>
      </c>
      <c r="B30" t="s">
        <v>350</v>
      </c>
      <c r="C30" t="s">
        <v>426</v>
      </c>
      <c r="D30" s="4">
        <v>46149</v>
      </c>
      <c r="E30" t="s">
        <v>3</v>
      </c>
      <c r="F30" t="s">
        <v>52</v>
      </c>
      <c r="G30" t="s">
        <v>192</v>
      </c>
      <c r="H30" t="s">
        <v>68</v>
      </c>
      <c r="I30" t="s">
        <v>29</v>
      </c>
      <c r="J30" t="s">
        <v>352</v>
      </c>
      <c r="K30" t="s">
        <v>427</v>
      </c>
      <c r="M30" t="s">
        <v>428</v>
      </c>
    </row>
    <row r="31" spans="1:13">
      <c r="A31" s="4">
        <v>46149</v>
      </c>
      <c r="B31" t="s">
        <v>350</v>
      </c>
      <c r="C31" t="s">
        <v>429</v>
      </c>
      <c r="D31" s="4">
        <v>46057</v>
      </c>
      <c r="E31" t="s">
        <v>5</v>
      </c>
      <c r="F31" t="s">
        <v>52</v>
      </c>
      <c r="G31" t="s">
        <v>287</v>
      </c>
      <c r="H31" t="s">
        <v>68</v>
      </c>
      <c r="I31" t="s">
        <v>13</v>
      </c>
      <c r="J31" t="s">
        <v>352</v>
      </c>
      <c r="K31" t="s">
        <v>430</v>
      </c>
      <c r="M31" t="s">
        <v>431</v>
      </c>
    </row>
    <row r="32" spans="1:13">
      <c r="A32" s="4">
        <v>46149</v>
      </c>
      <c r="B32" t="s">
        <v>350</v>
      </c>
      <c r="C32" t="s">
        <v>432</v>
      </c>
      <c r="D32" s="4">
        <v>46146</v>
      </c>
      <c r="E32" t="s">
        <v>5</v>
      </c>
      <c r="F32" t="s">
        <v>52</v>
      </c>
      <c r="G32" t="s">
        <v>287</v>
      </c>
      <c r="H32" t="s">
        <v>68</v>
      </c>
      <c r="I32" t="s">
        <v>13</v>
      </c>
      <c r="J32" t="s">
        <v>352</v>
      </c>
      <c r="K32" t="s">
        <v>430</v>
      </c>
      <c r="M32" t="s">
        <v>433</v>
      </c>
    </row>
    <row r="33" spans="1:13">
      <c r="A33" s="4">
        <v>46149</v>
      </c>
      <c r="B33" t="s">
        <v>350</v>
      </c>
      <c r="C33" t="s">
        <v>434</v>
      </c>
      <c r="D33" s="4">
        <v>46149</v>
      </c>
      <c r="E33" t="s">
        <v>3</v>
      </c>
      <c r="F33" t="s">
        <v>52</v>
      </c>
      <c r="G33" t="s">
        <v>295</v>
      </c>
      <c r="H33" t="s">
        <v>68</v>
      </c>
      <c r="I33" t="s">
        <v>29</v>
      </c>
      <c r="J33" t="s">
        <v>352</v>
      </c>
      <c r="K33" t="s">
        <v>435</v>
      </c>
      <c r="M33" t="s">
        <v>436</v>
      </c>
    </row>
    <row r="34" spans="1:13">
      <c r="A34" s="4">
        <v>46149</v>
      </c>
      <c r="B34" t="s">
        <v>350</v>
      </c>
      <c r="C34" t="s">
        <v>437</v>
      </c>
      <c r="D34" s="4">
        <v>46149</v>
      </c>
      <c r="E34" t="s">
        <v>3</v>
      </c>
      <c r="F34" t="s">
        <v>52</v>
      </c>
      <c r="G34" t="s">
        <v>192</v>
      </c>
      <c r="H34" t="s">
        <v>68</v>
      </c>
      <c r="I34" t="s">
        <v>29</v>
      </c>
      <c r="J34" t="s">
        <v>352</v>
      </c>
      <c r="K34" t="s">
        <v>435</v>
      </c>
      <c r="M34" t="s">
        <v>438</v>
      </c>
    </row>
    <row r="35" spans="1:13">
      <c r="A35" s="4">
        <v>46149</v>
      </c>
      <c r="B35" t="s">
        <v>350</v>
      </c>
      <c r="C35" t="s">
        <v>439</v>
      </c>
      <c r="D35" s="4">
        <v>46149</v>
      </c>
      <c r="E35" t="s">
        <v>3</v>
      </c>
      <c r="F35" t="s">
        <v>52</v>
      </c>
      <c r="G35" t="s">
        <v>168</v>
      </c>
      <c r="H35" t="s">
        <v>68</v>
      </c>
      <c r="I35" t="s">
        <v>13</v>
      </c>
      <c r="J35" t="s">
        <v>352</v>
      </c>
      <c r="K35" t="s">
        <v>435</v>
      </c>
      <c r="M35" t="s">
        <v>440</v>
      </c>
    </row>
    <row r="36" spans="1:13">
      <c r="A36" s="4">
        <v>46149</v>
      </c>
      <c r="B36" t="s">
        <v>350</v>
      </c>
      <c r="C36" t="s">
        <v>441</v>
      </c>
      <c r="D36" s="4">
        <v>46149</v>
      </c>
      <c r="E36" t="s">
        <v>3</v>
      </c>
      <c r="F36" t="s">
        <v>52</v>
      </c>
      <c r="G36" t="s">
        <v>168</v>
      </c>
      <c r="H36" t="s">
        <v>68</v>
      </c>
      <c r="I36" t="s">
        <v>13</v>
      </c>
      <c r="J36" t="s">
        <v>352</v>
      </c>
      <c r="K36" t="s">
        <v>435</v>
      </c>
      <c r="M36" t="s">
        <v>442</v>
      </c>
    </row>
    <row r="37" spans="1:13">
      <c r="A37" s="4">
        <v>46149</v>
      </c>
      <c r="B37" t="s">
        <v>350</v>
      </c>
      <c r="C37" t="s">
        <v>443</v>
      </c>
      <c r="D37" s="4">
        <v>46146</v>
      </c>
      <c r="E37" t="s">
        <v>5</v>
      </c>
      <c r="F37" t="s">
        <v>52</v>
      </c>
      <c r="G37" t="s">
        <v>243</v>
      </c>
      <c r="H37" t="s">
        <v>68</v>
      </c>
      <c r="I37" t="s">
        <v>13</v>
      </c>
      <c r="J37" t="s">
        <v>352</v>
      </c>
      <c r="K37" t="s">
        <v>444</v>
      </c>
      <c r="M37" t="s">
        <v>445</v>
      </c>
    </row>
    <row r="38" spans="1:13">
      <c r="A38" s="4">
        <v>46149</v>
      </c>
      <c r="B38" t="s">
        <v>350</v>
      </c>
      <c r="C38" t="s">
        <v>446</v>
      </c>
      <c r="D38" s="4">
        <v>46149</v>
      </c>
      <c r="E38" t="s">
        <v>3</v>
      </c>
      <c r="F38" t="s">
        <v>52</v>
      </c>
      <c r="G38" t="s">
        <v>181</v>
      </c>
      <c r="H38" t="s">
        <v>68</v>
      </c>
      <c r="I38" t="s">
        <v>29</v>
      </c>
      <c r="J38" t="s">
        <v>352</v>
      </c>
      <c r="K38" t="s">
        <v>447</v>
      </c>
      <c r="M38" t="s">
        <v>448</v>
      </c>
    </row>
    <row r="39" spans="1:13">
      <c r="A39" s="4">
        <v>46149</v>
      </c>
      <c r="B39" t="s">
        <v>350</v>
      </c>
      <c r="C39" t="s">
        <v>449</v>
      </c>
      <c r="D39" s="4">
        <v>46149</v>
      </c>
      <c r="E39" t="s">
        <v>3</v>
      </c>
      <c r="F39" t="s">
        <v>52</v>
      </c>
      <c r="G39" t="s">
        <v>195</v>
      </c>
      <c r="H39" t="s">
        <v>68</v>
      </c>
      <c r="I39" t="s">
        <v>29</v>
      </c>
      <c r="J39" t="s">
        <v>352</v>
      </c>
      <c r="K39" t="s">
        <v>447</v>
      </c>
      <c r="M39" t="s">
        <v>450</v>
      </c>
    </row>
    <row r="40" spans="1:13">
      <c r="A40" s="4">
        <v>46149</v>
      </c>
      <c r="B40" t="s">
        <v>350</v>
      </c>
      <c r="C40" t="s">
        <v>451</v>
      </c>
      <c r="D40" s="4">
        <v>46149</v>
      </c>
      <c r="E40" t="s">
        <v>3</v>
      </c>
      <c r="F40" t="s">
        <v>10</v>
      </c>
      <c r="G40" t="s">
        <v>26</v>
      </c>
      <c r="H40" t="s">
        <v>20</v>
      </c>
      <c r="I40" t="s">
        <v>13</v>
      </c>
      <c r="J40" t="s">
        <v>352</v>
      </c>
      <c r="K40" t="s">
        <v>452</v>
      </c>
      <c r="M40" t="s">
        <v>453</v>
      </c>
    </row>
    <row r="41" spans="1:13">
      <c r="A41" s="4">
        <v>46149</v>
      </c>
      <c r="B41" t="s">
        <v>350</v>
      </c>
      <c r="C41" t="s">
        <v>454</v>
      </c>
      <c r="D41" s="4">
        <v>46149</v>
      </c>
      <c r="E41" t="s">
        <v>4</v>
      </c>
      <c r="F41" t="s">
        <v>10</v>
      </c>
      <c r="G41" t="s">
        <v>26</v>
      </c>
      <c r="H41" t="s">
        <v>20</v>
      </c>
      <c r="I41" t="s">
        <v>13</v>
      </c>
      <c r="J41" t="s">
        <v>352</v>
      </c>
      <c r="K41" t="s">
        <v>452</v>
      </c>
      <c r="M41" t="s">
        <v>455</v>
      </c>
    </row>
    <row r="42" spans="1:13">
      <c r="A42" s="4">
        <v>46149</v>
      </c>
      <c r="B42" t="s">
        <v>350</v>
      </c>
      <c r="C42" t="s">
        <v>456</v>
      </c>
      <c r="D42" s="4">
        <v>46149</v>
      </c>
      <c r="E42" t="s">
        <v>4</v>
      </c>
      <c r="F42" t="s">
        <v>10</v>
      </c>
      <c r="G42" t="s">
        <v>26</v>
      </c>
      <c r="H42" t="s">
        <v>20</v>
      </c>
      <c r="I42" t="s">
        <v>13</v>
      </c>
      <c r="J42" t="s">
        <v>352</v>
      </c>
      <c r="K42" t="s">
        <v>452</v>
      </c>
      <c r="M42" t="s">
        <v>457</v>
      </c>
    </row>
    <row r="43" spans="1:13">
      <c r="A43" s="4">
        <v>46150</v>
      </c>
      <c r="B43" t="s">
        <v>350</v>
      </c>
      <c r="C43" t="s">
        <v>458</v>
      </c>
      <c r="D43" s="4">
        <v>46150</v>
      </c>
      <c r="E43" t="s">
        <v>3</v>
      </c>
      <c r="F43" t="s">
        <v>52</v>
      </c>
      <c r="G43" t="s">
        <v>179</v>
      </c>
      <c r="H43" t="s">
        <v>68</v>
      </c>
      <c r="I43" t="s">
        <v>13</v>
      </c>
      <c r="J43" t="s">
        <v>352</v>
      </c>
      <c r="K43" t="s">
        <v>373</v>
      </c>
      <c r="M43" t="s">
        <v>459</v>
      </c>
    </row>
    <row r="44" spans="1:13">
      <c r="A44" s="4">
        <v>46150</v>
      </c>
      <c r="B44" t="s">
        <v>350</v>
      </c>
      <c r="C44" t="s">
        <v>460</v>
      </c>
      <c r="D44" s="4">
        <v>46139</v>
      </c>
      <c r="E44" t="s">
        <v>6</v>
      </c>
      <c r="F44" t="s">
        <v>10</v>
      </c>
      <c r="G44" t="s">
        <v>11</v>
      </c>
      <c r="H44" t="s">
        <v>12</v>
      </c>
      <c r="I44" t="s">
        <v>13</v>
      </c>
      <c r="J44" t="s">
        <v>352</v>
      </c>
      <c r="K44" t="s">
        <v>461</v>
      </c>
      <c r="M44" t="s">
        <v>462</v>
      </c>
    </row>
    <row r="45" spans="1:13">
      <c r="A45" s="4">
        <v>46150</v>
      </c>
      <c r="B45" t="s">
        <v>350</v>
      </c>
      <c r="C45" t="s">
        <v>463</v>
      </c>
      <c r="D45" s="4">
        <v>46150</v>
      </c>
      <c r="E45" t="s">
        <v>3</v>
      </c>
      <c r="F45" t="s">
        <v>52</v>
      </c>
      <c r="G45" t="s">
        <v>276</v>
      </c>
      <c r="H45" t="s">
        <v>68</v>
      </c>
      <c r="I45" t="s">
        <v>13</v>
      </c>
      <c r="J45" t="s">
        <v>352</v>
      </c>
      <c r="K45" t="s">
        <v>362</v>
      </c>
      <c r="M45" t="s">
        <v>464</v>
      </c>
    </row>
    <row r="46" spans="1:13">
      <c r="A46" s="4">
        <v>46150</v>
      </c>
      <c r="B46" t="s">
        <v>350</v>
      </c>
      <c r="C46" t="s">
        <v>465</v>
      </c>
      <c r="D46" s="4">
        <v>46146</v>
      </c>
      <c r="E46" t="s">
        <v>5</v>
      </c>
      <c r="F46" t="s">
        <v>52</v>
      </c>
      <c r="G46" t="s">
        <v>301</v>
      </c>
      <c r="H46" t="s">
        <v>70</v>
      </c>
      <c r="I46" t="s">
        <v>55</v>
      </c>
      <c r="J46" t="s">
        <v>352</v>
      </c>
      <c r="K46" t="s">
        <v>368</v>
      </c>
      <c r="M46" t="s">
        <v>466</v>
      </c>
    </row>
    <row r="47" spans="1:13">
      <c r="A47" s="4">
        <v>46150</v>
      </c>
      <c r="B47" t="s">
        <v>350</v>
      </c>
      <c r="C47" t="s">
        <v>467</v>
      </c>
      <c r="D47" s="4">
        <v>46147</v>
      </c>
      <c r="E47" t="s">
        <v>5</v>
      </c>
      <c r="F47" t="s">
        <v>52</v>
      </c>
      <c r="G47" t="s">
        <v>285</v>
      </c>
      <c r="H47" t="s">
        <v>70</v>
      </c>
      <c r="I47" t="s">
        <v>55</v>
      </c>
      <c r="J47" t="s">
        <v>352</v>
      </c>
      <c r="K47" t="s">
        <v>368</v>
      </c>
      <c r="M47" t="s">
        <v>468</v>
      </c>
    </row>
    <row r="48" spans="1:13">
      <c r="A48" s="4">
        <v>46150</v>
      </c>
      <c r="B48" t="s">
        <v>350</v>
      </c>
      <c r="C48" t="s">
        <v>469</v>
      </c>
      <c r="D48" s="4">
        <v>46149</v>
      </c>
      <c r="E48" t="s">
        <v>5</v>
      </c>
      <c r="F48" t="s">
        <v>52</v>
      </c>
      <c r="G48" t="s">
        <v>165</v>
      </c>
      <c r="H48" t="s">
        <v>70</v>
      </c>
      <c r="I48" t="s">
        <v>29</v>
      </c>
      <c r="J48" t="s">
        <v>352</v>
      </c>
      <c r="K48" t="s">
        <v>470</v>
      </c>
      <c r="M48" t="s">
        <v>471</v>
      </c>
    </row>
    <row r="49" spans="1:13">
      <c r="A49" s="4">
        <v>46150</v>
      </c>
      <c r="B49" t="s">
        <v>350</v>
      </c>
      <c r="C49" t="s">
        <v>472</v>
      </c>
      <c r="D49" s="4">
        <v>46148</v>
      </c>
      <c r="E49" t="s">
        <v>5</v>
      </c>
      <c r="F49" t="s">
        <v>52</v>
      </c>
      <c r="G49" t="s">
        <v>271</v>
      </c>
      <c r="H49" t="s">
        <v>68</v>
      </c>
      <c r="I49" t="s">
        <v>29</v>
      </c>
      <c r="J49" t="s">
        <v>352</v>
      </c>
      <c r="K49" t="s">
        <v>473</v>
      </c>
      <c r="M49" t="s">
        <v>474</v>
      </c>
    </row>
    <row r="50" spans="1:13">
      <c r="A50" s="4">
        <v>46150</v>
      </c>
      <c r="B50" t="s">
        <v>350</v>
      </c>
      <c r="C50" t="s">
        <v>475</v>
      </c>
      <c r="D50" s="4">
        <v>46150</v>
      </c>
      <c r="E50" t="s">
        <v>3</v>
      </c>
      <c r="F50" t="s">
        <v>52</v>
      </c>
      <c r="G50" t="s">
        <v>207</v>
      </c>
      <c r="H50" t="s">
        <v>68</v>
      </c>
      <c r="I50" t="s">
        <v>29</v>
      </c>
      <c r="J50" t="s">
        <v>352</v>
      </c>
      <c r="K50" t="s">
        <v>476</v>
      </c>
      <c r="M50" t="s">
        <v>477</v>
      </c>
    </row>
    <row r="51" spans="1:13">
      <c r="A51" s="4">
        <v>46150</v>
      </c>
      <c r="B51" t="s">
        <v>350</v>
      </c>
      <c r="C51" t="s">
        <v>478</v>
      </c>
      <c r="D51" s="4">
        <v>46150</v>
      </c>
      <c r="E51" t="s">
        <v>3</v>
      </c>
      <c r="F51" t="s">
        <v>52</v>
      </c>
      <c r="G51" t="s">
        <v>177</v>
      </c>
      <c r="H51" t="s">
        <v>68</v>
      </c>
      <c r="I51" t="s">
        <v>13</v>
      </c>
      <c r="J51" t="s">
        <v>352</v>
      </c>
      <c r="K51" t="s">
        <v>388</v>
      </c>
      <c r="M51" t="s">
        <v>479</v>
      </c>
    </row>
    <row r="52" spans="1:13">
      <c r="A52" s="4">
        <v>46150</v>
      </c>
      <c r="B52" t="s">
        <v>350</v>
      </c>
      <c r="C52" t="s">
        <v>480</v>
      </c>
      <c r="D52" s="4">
        <v>46149</v>
      </c>
      <c r="E52" t="s">
        <v>5</v>
      </c>
      <c r="F52" t="s">
        <v>52</v>
      </c>
      <c r="G52" t="s">
        <v>330</v>
      </c>
      <c r="H52" t="s">
        <v>70</v>
      </c>
      <c r="I52" t="s">
        <v>189</v>
      </c>
      <c r="J52" t="s">
        <v>352</v>
      </c>
      <c r="K52" t="s">
        <v>394</v>
      </c>
      <c r="M52" t="s">
        <v>481</v>
      </c>
    </row>
    <row r="53" spans="1:13">
      <c r="A53" s="4">
        <v>46150</v>
      </c>
      <c r="B53" t="s">
        <v>350</v>
      </c>
      <c r="C53" t="s">
        <v>482</v>
      </c>
      <c r="D53" s="4">
        <v>46150</v>
      </c>
      <c r="E53" t="s">
        <v>3</v>
      </c>
      <c r="F53" t="s">
        <v>52</v>
      </c>
      <c r="G53" t="s">
        <v>311</v>
      </c>
      <c r="H53" t="s">
        <v>68</v>
      </c>
      <c r="I53" t="s">
        <v>13</v>
      </c>
      <c r="J53" t="s">
        <v>352</v>
      </c>
      <c r="K53" t="s">
        <v>394</v>
      </c>
      <c r="M53" t="s">
        <v>483</v>
      </c>
    </row>
    <row r="54" spans="1:13">
      <c r="A54" s="4">
        <v>46150</v>
      </c>
      <c r="B54" t="s">
        <v>350</v>
      </c>
      <c r="C54" t="s">
        <v>484</v>
      </c>
      <c r="D54" s="4">
        <v>46150</v>
      </c>
      <c r="E54" t="s">
        <v>3</v>
      </c>
      <c r="F54" t="s">
        <v>52</v>
      </c>
      <c r="G54" t="s">
        <v>311</v>
      </c>
      <c r="H54" t="s">
        <v>68</v>
      </c>
      <c r="I54" t="s">
        <v>13</v>
      </c>
      <c r="J54" t="s">
        <v>352</v>
      </c>
      <c r="K54" t="s">
        <v>394</v>
      </c>
      <c r="M54" t="s">
        <v>485</v>
      </c>
    </row>
    <row r="55" spans="1:13">
      <c r="A55" s="4">
        <v>46150</v>
      </c>
      <c r="B55" t="s">
        <v>350</v>
      </c>
      <c r="C55" t="s">
        <v>486</v>
      </c>
      <c r="D55" s="4">
        <v>46150</v>
      </c>
      <c r="E55" t="s">
        <v>3</v>
      </c>
      <c r="F55" t="s">
        <v>52</v>
      </c>
      <c r="G55" t="s">
        <v>327</v>
      </c>
      <c r="H55" t="s">
        <v>68</v>
      </c>
      <c r="I55" t="s">
        <v>13</v>
      </c>
      <c r="J55" t="s">
        <v>352</v>
      </c>
      <c r="K55" t="s">
        <v>394</v>
      </c>
      <c r="M55" t="s">
        <v>487</v>
      </c>
    </row>
    <row r="56" spans="1:13">
      <c r="A56" s="4">
        <v>46150</v>
      </c>
      <c r="B56" t="s">
        <v>350</v>
      </c>
      <c r="C56" t="s">
        <v>488</v>
      </c>
      <c r="D56" s="4">
        <v>46150</v>
      </c>
      <c r="E56" t="s">
        <v>3</v>
      </c>
      <c r="F56" t="s">
        <v>52</v>
      </c>
      <c r="G56" t="s">
        <v>168</v>
      </c>
      <c r="H56" t="s">
        <v>68</v>
      </c>
      <c r="I56" t="s">
        <v>13</v>
      </c>
      <c r="J56" t="s">
        <v>352</v>
      </c>
      <c r="K56" t="s">
        <v>397</v>
      </c>
      <c r="M56" t="s">
        <v>489</v>
      </c>
    </row>
    <row r="57" spans="1:13">
      <c r="A57" s="4">
        <v>46150</v>
      </c>
      <c r="B57" t="s">
        <v>350</v>
      </c>
      <c r="C57" t="s">
        <v>490</v>
      </c>
      <c r="D57" s="4">
        <v>46106</v>
      </c>
      <c r="E57" t="s">
        <v>6</v>
      </c>
      <c r="F57" t="s">
        <v>10</v>
      </c>
      <c r="G57" t="s">
        <v>49</v>
      </c>
      <c r="H57" t="s">
        <v>12</v>
      </c>
      <c r="I57" t="s">
        <v>13</v>
      </c>
      <c r="J57" t="s">
        <v>352</v>
      </c>
      <c r="K57" t="s">
        <v>491</v>
      </c>
      <c r="M57" t="s">
        <v>492</v>
      </c>
    </row>
    <row r="58" spans="1:13">
      <c r="A58" s="4">
        <v>46150</v>
      </c>
      <c r="B58" t="s">
        <v>350</v>
      </c>
      <c r="C58" t="s">
        <v>493</v>
      </c>
      <c r="D58" s="4">
        <v>46147</v>
      </c>
      <c r="E58" t="s">
        <v>6</v>
      </c>
      <c r="F58" t="s">
        <v>52</v>
      </c>
      <c r="G58" t="s">
        <v>304</v>
      </c>
      <c r="H58" t="s">
        <v>68</v>
      </c>
      <c r="I58" t="s">
        <v>13</v>
      </c>
      <c r="J58" t="s">
        <v>352</v>
      </c>
      <c r="K58" t="s">
        <v>405</v>
      </c>
      <c r="M58" t="s">
        <v>494</v>
      </c>
    </row>
    <row r="59" spans="1:13">
      <c r="A59" s="4">
        <v>46150</v>
      </c>
      <c r="B59" t="s">
        <v>350</v>
      </c>
      <c r="C59" t="s">
        <v>495</v>
      </c>
      <c r="D59" s="4">
        <v>46149</v>
      </c>
      <c r="E59" t="s">
        <v>6</v>
      </c>
      <c r="F59" t="s">
        <v>52</v>
      </c>
      <c r="G59" t="s">
        <v>262</v>
      </c>
      <c r="H59" t="s">
        <v>68</v>
      </c>
      <c r="I59" t="s">
        <v>13</v>
      </c>
      <c r="J59" t="s">
        <v>352</v>
      </c>
      <c r="K59" t="s">
        <v>496</v>
      </c>
      <c r="M59" t="s">
        <v>497</v>
      </c>
    </row>
    <row r="60" spans="1:13">
      <c r="A60" s="4">
        <v>46150</v>
      </c>
      <c r="B60" t="s">
        <v>350</v>
      </c>
      <c r="C60" t="s">
        <v>498</v>
      </c>
      <c r="D60" s="4">
        <v>46150</v>
      </c>
      <c r="E60" t="s">
        <v>3</v>
      </c>
      <c r="F60" t="s">
        <v>52</v>
      </c>
      <c r="G60" t="s">
        <v>192</v>
      </c>
      <c r="H60" t="s">
        <v>68</v>
      </c>
      <c r="I60" t="s">
        <v>29</v>
      </c>
      <c r="J60" t="s">
        <v>352</v>
      </c>
      <c r="K60" t="s">
        <v>499</v>
      </c>
      <c r="M60" t="s">
        <v>500</v>
      </c>
    </row>
    <row r="61" spans="1:13">
      <c r="A61" s="4">
        <v>46150</v>
      </c>
      <c r="B61" t="s">
        <v>350</v>
      </c>
      <c r="C61" t="s">
        <v>501</v>
      </c>
      <c r="D61" s="4">
        <v>46150</v>
      </c>
      <c r="E61" t="s">
        <v>3</v>
      </c>
      <c r="F61" t="s">
        <v>52</v>
      </c>
      <c r="G61" t="s">
        <v>86</v>
      </c>
      <c r="H61" t="s">
        <v>68</v>
      </c>
      <c r="I61" t="s">
        <v>13</v>
      </c>
      <c r="J61" t="s">
        <v>352</v>
      </c>
      <c r="K61" t="s">
        <v>502</v>
      </c>
      <c r="M61" t="s">
        <v>503</v>
      </c>
    </row>
    <row r="62" spans="1:13">
      <c r="A62" s="4">
        <v>46150</v>
      </c>
      <c r="B62" t="s">
        <v>350</v>
      </c>
      <c r="C62" t="s">
        <v>504</v>
      </c>
      <c r="D62" s="4">
        <v>46149</v>
      </c>
      <c r="E62" t="s">
        <v>5</v>
      </c>
      <c r="F62" t="s">
        <v>52</v>
      </c>
      <c r="G62" t="s">
        <v>287</v>
      </c>
      <c r="H62" t="s">
        <v>70</v>
      </c>
      <c r="I62" t="s">
        <v>13</v>
      </c>
      <c r="J62" t="s">
        <v>352</v>
      </c>
      <c r="K62" t="s">
        <v>430</v>
      </c>
      <c r="M62" t="s">
        <v>505</v>
      </c>
    </row>
    <row r="63" spans="1:13">
      <c r="A63" s="4">
        <v>46150</v>
      </c>
      <c r="B63" t="s">
        <v>350</v>
      </c>
      <c r="C63" t="s">
        <v>506</v>
      </c>
      <c r="D63" s="4">
        <v>46150</v>
      </c>
      <c r="E63" t="s">
        <v>3</v>
      </c>
      <c r="F63" t="s">
        <v>52</v>
      </c>
      <c r="G63" t="s">
        <v>215</v>
      </c>
      <c r="H63" t="s">
        <v>68</v>
      </c>
      <c r="I63" t="s">
        <v>13</v>
      </c>
      <c r="J63" t="s">
        <v>352</v>
      </c>
      <c r="K63" t="s">
        <v>435</v>
      </c>
      <c r="M63" t="s">
        <v>507</v>
      </c>
    </row>
    <row r="64" spans="1:13">
      <c r="A64" s="4">
        <v>46150</v>
      </c>
      <c r="B64" t="s">
        <v>350</v>
      </c>
      <c r="C64" t="s">
        <v>508</v>
      </c>
      <c r="D64" s="4">
        <v>46150</v>
      </c>
      <c r="E64" t="s">
        <v>3</v>
      </c>
      <c r="F64" t="s">
        <v>52</v>
      </c>
      <c r="G64" t="s">
        <v>168</v>
      </c>
      <c r="H64" t="s">
        <v>68</v>
      </c>
      <c r="I64" t="s">
        <v>13</v>
      </c>
      <c r="J64" t="s">
        <v>352</v>
      </c>
      <c r="K64" t="s">
        <v>435</v>
      </c>
      <c r="M64" t="s">
        <v>509</v>
      </c>
    </row>
    <row r="65" spans="1:13">
      <c r="A65" s="4">
        <v>46150</v>
      </c>
      <c r="B65" t="s">
        <v>350</v>
      </c>
      <c r="C65" t="s">
        <v>510</v>
      </c>
      <c r="D65" s="4">
        <v>46146</v>
      </c>
      <c r="E65" t="s">
        <v>5</v>
      </c>
      <c r="F65" t="s">
        <v>52</v>
      </c>
      <c r="G65" t="s">
        <v>132</v>
      </c>
      <c r="H65" t="s">
        <v>70</v>
      </c>
      <c r="I65" t="s">
        <v>13</v>
      </c>
      <c r="J65" t="s">
        <v>352</v>
      </c>
      <c r="K65" t="s">
        <v>511</v>
      </c>
      <c r="M65" t="s">
        <v>512</v>
      </c>
    </row>
    <row r="66" spans="1:13">
      <c r="A66" s="4">
        <v>46150</v>
      </c>
      <c r="B66" t="s">
        <v>350</v>
      </c>
      <c r="C66" t="s">
        <v>513</v>
      </c>
      <c r="D66" s="4">
        <v>46150</v>
      </c>
      <c r="E66" t="s">
        <v>3</v>
      </c>
      <c r="F66" t="s">
        <v>52</v>
      </c>
      <c r="G66" t="s">
        <v>72</v>
      </c>
      <c r="H66" t="s">
        <v>68</v>
      </c>
      <c r="I66" t="s">
        <v>13</v>
      </c>
      <c r="J66" t="s">
        <v>352</v>
      </c>
      <c r="K66" t="s">
        <v>514</v>
      </c>
      <c r="M66" t="s">
        <v>515</v>
      </c>
    </row>
    <row r="67" spans="1:13">
      <c r="A67" s="4">
        <v>46150</v>
      </c>
      <c r="B67" t="s">
        <v>350</v>
      </c>
      <c r="C67" t="s">
        <v>516</v>
      </c>
      <c r="D67" s="4">
        <v>46150</v>
      </c>
      <c r="E67" t="s">
        <v>3</v>
      </c>
      <c r="F67" t="s">
        <v>52</v>
      </c>
      <c r="G67" t="s">
        <v>185</v>
      </c>
      <c r="H67" t="s">
        <v>68</v>
      </c>
      <c r="I67" t="s">
        <v>13</v>
      </c>
      <c r="J67" t="s">
        <v>352</v>
      </c>
      <c r="K67" t="s">
        <v>447</v>
      </c>
      <c r="M67" t="s">
        <v>517</v>
      </c>
    </row>
    <row r="68" spans="1:13">
      <c r="A68" s="4">
        <v>46150</v>
      </c>
      <c r="B68" t="s">
        <v>350</v>
      </c>
      <c r="C68" t="s">
        <v>518</v>
      </c>
      <c r="D68" s="4">
        <v>46150</v>
      </c>
      <c r="E68" t="s">
        <v>3</v>
      </c>
      <c r="F68" t="s">
        <v>52</v>
      </c>
      <c r="G68" t="s">
        <v>247</v>
      </c>
      <c r="H68" t="s">
        <v>68</v>
      </c>
      <c r="I68" t="s">
        <v>13</v>
      </c>
      <c r="J68" t="s">
        <v>352</v>
      </c>
      <c r="K68" t="s">
        <v>447</v>
      </c>
      <c r="M68" t="s">
        <v>519</v>
      </c>
    </row>
    <row r="69" spans="1:13">
      <c r="A69" s="4">
        <v>46150</v>
      </c>
      <c r="B69" t="s">
        <v>350</v>
      </c>
      <c r="C69" t="s">
        <v>520</v>
      </c>
      <c r="D69" s="4">
        <v>46149</v>
      </c>
      <c r="E69" t="s">
        <v>3</v>
      </c>
      <c r="F69" t="s">
        <v>10</v>
      </c>
      <c r="G69" t="s">
        <v>32</v>
      </c>
      <c r="H69" t="s">
        <v>15</v>
      </c>
      <c r="I69" t="s">
        <v>13</v>
      </c>
      <c r="J69" t="s">
        <v>352</v>
      </c>
      <c r="K69" t="s">
        <v>452</v>
      </c>
      <c r="M69" t="s">
        <v>521</v>
      </c>
    </row>
    <row r="70" spans="1:13">
      <c r="A70" s="4">
        <v>46150</v>
      </c>
      <c r="B70" t="s">
        <v>350</v>
      </c>
      <c r="C70" t="s">
        <v>522</v>
      </c>
      <c r="D70" s="4">
        <v>46150</v>
      </c>
      <c r="E70" t="s">
        <v>4</v>
      </c>
      <c r="F70" t="s">
        <v>10</v>
      </c>
      <c r="G70" t="s">
        <v>26</v>
      </c>
      <c r="H70" t="s">
        <v>20</v>
      </c>
      <c r="I70" t="s">
        <v>13</v>
      </c>
      <c r="J70" t="s">
        <v>352</v>
      </c>
      <c r="K70" t="s">
        <v>452</v>
      </c>
      <c r="M70" t="s">
        <v>523</v>
      </c>
    </row>
    <row r="71" spans="1:13">
      <c r="A71" s="4">
        <v>46151</v>
      </c>
      <c r="B71" t="s">
        <v>350</v>
      </c>
      <c r="C71" t="s">
        <v>524</v>
      </c>
      <c r="D71" s="4">
        <v>46151</v>
      </c>
      <c r="E71" t="s">
        <v>3</v>
      </c>
      <c r="F71" t="s">
        <v>52</v>
      </c>
      <c r="G71" t="s">
        <v>192</v>
      </c>
      <c r="H71" t="s">
        <v>68</v>
      </c>
      <c r="I71" t="s">
        <v>29</v>
      </c>
      <c r="J71" t="s">
        <v>352</v>
      </c>
      <c r="K71" t="s">
        <v>525</v>
      </c>
      <c r="M71" t="s">
        <v>526</v>
      </c>
    </row>
    <row r="72" spans="1:13">
      <c r="A72" s="4">
        <v>46151</v>
      </c>
      <c r="B72" t="s">
        <v>350</v>
      </c>
      <c r="C72" t="s">
        <v>527</v>
      </c>
      <c r="D72" s="4">
        <v>46151</v>
      </c>
      <c r="E72" t="s">
        <v>3</v>
      </c>
      <c r="F72" t="s">
        <v>52</v>
      </c>
      <c r="G72" t="s">
        <v>280</v>
      </c>
      <c r="H72" t="s">
        <v>68</v>
      </c>
      <c r="I72" t="s">
        <v>29</v>
      </c>
      <c r="J72" t="s">
        <v>352</v>
      </c>
      <c r="K72" t="s">
        <v>362</v>
      </c>
      <c r="M72" t="s">
        <v>528</v>
      </c>
    </row>
    <row r="73" spans="1:13">
      <c r="A73" s="4">
        <v>46151</v>
      </c>
      <c r="B73" t="s">
        <v>350</v>
      </c>
      <c r="C73" t="s">
        <v>529</v>
      </c>
      <c r="D73" s="4">
        <v>46151</v>
      </c>
      <c r="E73" t="s">
        <v>3</v>
      </c>
      <c r="F73" t="s">
        <v>52</v>
      </c>
      <c r="G73" t="s">
        <v>187</v>
      </c>
      <c r="H73" t="s">
        <v>68</v>
      </c>
      <c r="I73" t="s">
        <v>13</v>
      </c>
      <c r="J73" t="s">
        <v>352</v>
      </c>
      <c r="K73" t="s">
        <v>365</v>
      </c>
      <c r="M73" t="s">
        <v>530</v>
      </c>
    </row>
    <row r="74" spans="1:13">
      <c r="A74" s="4">
        <v>46151</v>
      </c>
      <c r="B74" t="s">
        <v>350</v>
      </c>
      <c r="C74" t="s">
        <v>531</v>
      </c>
      <c r="D74" s="4">
        <v>46151</v>
      </c>
      <c r="E74" t="s">
        <v>3</v>
      </c>
      <c r="F74" t="s">
        <v>52</v>
      </c>
      <c r="G74" t="s">
        <v>199</v>
      </c>
      <c r="H74" t="s">
        <v>68</v>
      </c>
      <c r="I74" t="s">
        <v>29</v>
      </c>
      <c r="J74" t="s">
        <v>352</v>
      </c>
      <c r="K74" t="s">
        <v>376</v>
      </c>
      <c r="M74" t="s">
        <v>532</v>
      </c>
    </row>
    <row r="75" spans="1:13">
      <c r="A75" s="4">
        <v>46151</v>
      </c>
      <c r="B75" t="s">
        <v>350</v>
      </c>
      <c r="C75" t="s">
        <v>533</v>
      </c>
      <c r="D75" s="4">
        <v>46151</v>
      </c>
      <c r="E75" t="s">
        <v>3</v>
      </c>
      <c r="F75" t="s">
        <v>52</v>
      </c>
      <c r="G75" t="s">
        <v>198</v>
      </c>
      <c r="H75" t="s">
        <v>68</v>
      </c>
      <c r="I75" t="s">
        <v>29</v>
      </c>
      <c r="J75" t="s">
        <v>352</v>
      </c>
      <c r="K75" t="s">
        <v>385</v>
      </c>
      <c r="M75" t="s">
        <v>534</v>
      </c>
    </row>
    <row r="76" spans="1:13">
      <c r="A76" s="4">
        <v>46151</v>
      </c>
      <c r="B76" t="s">
        <v>350</v>
      </c>
      <c r="C76" t="s">
        <v>535</v>
      </c>
      <c r="D76" s="4">
        <v>46151</v>
      </c>
      <c r="E76" t="s">
        <v>3</v>
      </c>
      <c r="F76" t="s">
        <v>52</v>
      </c>
      <c r="G76" t="s">
        <v>168</v>
      </c>
      <c r="H76" t="s">
        <v>68</v>
      </c>
      <c r="I76" t="s">
        <v>13</v>
      </c>
      <c r="J76" t="s">
        <v>352</v>
      </c>
      <c r="K76" t="s">
        <v>385</v>
      </c>
      <c r="M76" t="s">
        <v>536</v>
      </c>
    </row>
    <row r="77" spans="1:13">
      <c r="A77" s="4">
        <v>46151</v>
      </c>
      <c r="B77" t="s">
        <v>350</v>
      </c>
      <c r="C77" t="s">
        <v>537</v>
      </c>
      <c r="D77" s="4">
        <v>46151</v>
      </c>
      <c r="E77" t="s">
        <v>3</v>
      </c>
      <c r="F77" t="s">
        <v>52</v>
      </c>
      <c r="G77" t="s">
        <v>168</v>
      </c>
      <c r="H77" t="s">
        <v>68</v>
      </c>
      <c r="I77" t="s">
        <v>13</v>
      </c>
      <c r="J77" t="s">
        <v>352</v>
      </c>
      <c r="K77" t="s">
        <v>385</v>
      </c>
      <c r="M77" t="s">
        <v>538</v>
      </c>
    </row>
    <row r="78" spans="1:13">
      <c r="A78" s="4">
        <v>46151</v>
      </c>
      <c r="B78" t="s">
        <v>350</v>
      </c>
      <c r="C78" t="s">
        <v>539</v>
      </c>
      <c r="D78" s="4">
        <v>46151</v>
      </c>
      <c r="E78" t="s">
        <v>3</v>
      </c>
      <c r="F78" t="s">
        <v>52</v>
      </c>
      <c r="G78" t="s">
        <v>253</v>
      </c>
      <c r="H78" t="s">
        <v>68</v>
      </c>
      <c r="I78" t="s">
        <v>13</v>
      </c>
      <c r="J78" t="s">
        <v>352</v>
      </c>
      <c r="K78" t="s">
        <v>540</v>
      </c>
      <c r="M78" t="s">
        <v>541</v>
      </c>
    </row>
    <row r="79" spans="1:13">
      <c r="A79" s="4">
        <v>46151</v>
      </c>
      <c r="B79" t="s">
        <v>350</v>
      </c>
      <c r="C79" t="s">
        <v>542</v>
      </c>
      <c r="D79" s="4">
        <v>46151</v>
      </c>
      <c r="E79" t="s">
        <v>3</v>
      </c>
      <c r="F79" t="s">
        <v>52</v>
      </c>
      <c r="G79" t="s">
        <v>173</v>
      </c>
      <c r="H79" t="s">
        <v>68</v>
      </c>
      <c r="I79" t="s">
        <v>13</v>
      </c>
      <c r="J79" t="s">
        <v>352</v>
      </c>
      <c r="K79" t="s">
        <v>540</v>
      </c>
      <c r="M79" t="s">
        <v>543</v>
      </c>
    </row>
    <row r="80" spans="1:13">
      <c r="A80" s="4">
        <v>46151</v>
      </c>
      <c r="B80" t="s">
        <v>350</v>
      </c>
      <c r="C80" t="s">
        <v>544</v>
      </c>
      <c r="D80" s="4">
        <v>46151</v>
      </c>
      <c r="E80" t="s">
        <v>3</v>
      </c>
      <c r="F80" t="s">
        <v>52</v>
      </c>
      <c r="G80" t="s">
        <v>173</v>
      </c>
      <c r="H80" t="s">
        <v>68</v>
      </c>
      <c r="I80" t="s">
        <v>13</v>
      </c>
      <c r="J80" t="s">
        <v>352</v>
      </c>
      <c r="K80" t="s">
        <v>540</v>
      </c>
      <c r="M80" t="s">
        <v>545</v>
      </c>
    </row>
    <row r="81" spans="1:13">
      <c r="A81" s="4">
        <v>46151</v>
      </c>
      <c r="B81" t="s">
        <v>350</v>
      </c>
      <c r="C81" t="s">
        <v>546</v>
      </c>
      <c r="D81" s="4">
        <v>46151</v>
      </c>
      <c r="E81" t="s">
        <v>3</v>
      </c>
      <c r="F81" t="s">
        <v>52</v>
      </c>
      <c r="G81" t="s">
        <v>221</v>
      </c>
      <c r="H81" t="s">
        <v>68</v>
      </c>
      <c r="I81" t="s">
        <v>13</v>
      </c>
      <c r="J81" t="s">
        <v>352</v>
      </c>
      <c r="K81" t="s">
        <v>540</v>
      </c>
      <c r="M81" t="s">
        <v>547</v>
      </c>
    </row>
    <row r="82" spans="1:13">
      <c r="A82" s="4">
        <v>46151</v>
      </c>
      <c r="B82" t="s">
        <v>350</v>
      </c>
      <c r="C82" t="s">
        <v>548</v>
      </c>
      <c r="D82" s="4">
        <v>46151</v>
      </c>
      <c r="E82" t="s">
        <v>3</v>
      </c>
      <c r="F82" t="s">
        <v>52</v>
      </c>
      <c r="G82" t="s">
        <v>173</v>
      </c>
      <c r="H82" t="s">
        <v>68</v>
      </c>
      <c r="I82" t="s">
        <v>13</v>
      </c>
      <c r="J82" t="s">
        <v>352</v>
      </c>
      <c r="K82" t="s">
        <v>540</v>
      </c>
      <c r="M82" t="s">
        <v>549</v>
      </c>
    </row>
    <row r="83" spans="1:13">
      <c r="A83" s="4">
        <v>46151</v>
      </c>
      <c r="B83" t="s">
        <v>350</v>
      </c>
      <c r="C83" t="s">
        <v>550</v>
      </c>
      <c r="D83" s="4">
        <v>46151</v>
      </c>
      <c r="E83" t="s">
        <v>3</v>
      </c>
      <c r="F83" t="s">
        <v>52</v>
      </c>
      <c r="G83" t="s">
        <v>184</v>
      </c>
      <c r="H83" t="s">
        <v>68</v>
      </c>
      <c r="I83" t="s">
        <v>13</v>
      </c>
      <c r="J83" t="s">
        <v>352</v>
      </c>
      <c r="K83" t="s">
        <v>391</v>
      </c>
      <c r="M83" t="s">
        <v>551</v>
      </c>
    </row>
    <row r="84" spans="1:13">
      <c r="A84" s="4">
        <v>46151</v>
      </c>
      <c r="B84" t="s">
        <v>350</v>
      </c>
      <c r="C84" t="s">
        <v>552</v>
      </c>
      <c r="D84" s="4">
        <v>46151</v>
      </c>
      <c r="E84" t="s">
        <v>3</v>
      </c>
      <c r="F84" t="s">
        <v>52</v>
      </c>
      <c r="G84" t="s">
        <v>175</v>
      </c>
      <c r="H84" t="s">
        <v>68</v>
      </c>
      <c r="I84" t="s">
        <v>13</v>
      </c>
      <c r="J84" t="s">
        <v>352</v>
      </c>
      <c r="K84" t="s">
        <v>553</v>
      </c>
      <c r="M84" t="s">
        <v>554</v>
      </c>
    </row>
    <row r="85" spans="1:13">
      <c r="A85" s="4">
        <v>46151</v>
      </c>
      <c r="B85" t="s">
        <v>350</v>
      </c>
      <c r="C85" t="s">
        <v>555</v>
      </c>
      <c r="D85" s="4">
        <v>46151</v>
      </c>
      <c r="E85" t="s">
        <v>3</v>
      </c>
      <c r="F85" t="s">
        <v>52</v>
      </c>
      <c r="G85" t="s">
        <v>216</v>
      </c>
      <c r="H85" t="s">
        <v>68</v>
      </c>
      <c r="I85" t="s">
        <v>13</v>
      </c>
      <c r="J85" t="s">
        <v>352</v>
      </c>
      <c r="K85" t="s">
        <v>553</v>
      </c>
      <c r="M85" t="s">
        <v>556</v>
      </c>
    </row>
    <row r="86" spans="1:13">
      <c r="A86" s="4">
        <v>46151</v>
      </c>
      <c r="B86" t="s">
        <v>350</v>
      </c>
      <c r="C86" t="s">
        <v>557</v>
      </c>
      <c r="D86" s="4">
        <v>46151</v>
      </c>
      <c r="E86" t="s">
        <v>3</v>
      </c>
      <c r="F86" t="s">
        <v>52</v>
      </c>
      <c r="G86" t="s">
        <v>175</v>
      </c>
      <c r="H86" t="s">
        <v>68</v>
      </c>
      <c r="I86" t="s">
        <v>13</v>
      </c>
      <c r="J86" t="s">
        <v>352</v>
      </c>
      <c r="K86" t="s">
        <v>553</v>
      </c>
      <c r="M86" t="s">
        <v>558</v>
      </c>
    </row>
    <row r="87" spans="1:13">
      <c r="A87" s="4">
        <v>46151</v>
      </c>
      <c r="B87" t="s">
        <v>350</v>
      </c>
      <c r="C87" t="s">
        <v>559</v>
      </c>
      <c r="D87" s="4">
        <v>46151</v>
      </c>
      <c r="E87" t="s">
        <v>3</v>
      </c>
      <c r="F87" t="s">
        <v>52</v>
      </c>
      <c r="G87" t="s">
        <v>232</v>
      </c>
      <c r="H87" t="s">
        <v>68</v>
      </c>
      <c r="I87" t="s">
        <v>55</v>
      </c>
      <c r="J87" t="s">
        <v>352</v>
      </c>
      <c r="K87" t="s">
        <v>496</v>
      </c>
      <c r="M87" t="s">
        <v>560</v>
      </c>
    </row>
    <row r="88" spans="1:13">
      <c r="A88" s="4">
        <v>46151</v>
      </c>
      <c r="B88" t="s">
        <v>350</v>
      </c>
      <c r="C88" t="s">
        <v>561</v>
      </c>
      <c r="D88" s="4">
        <v>46151</v>
      </c>
      <c r="E88" t="s">
        <v>3</v>
      </c>
      <c r="F88" t="s">
        <v>52</v>
      </c>
      <c r="G88" t="s">
        <v>108</v>
      </c>
      <c r="H88" t="s">
        <v>68</v>
      </c>
      <c r="I88" t="s">
        <v>13</v>
      </c>
      <c r="J88" t="s">
        <v>352</v>
      </c>
      <c r="K88" t="s">
        <v>422</v>
      </c>
      <c r="M88" t="s">
        <v>562</v>
      </c>
    </row>
    <row r="89" spans="1:13">
      <c r="A89" s="4">
        <v>46151</v>
      </c>
      <c r="B89" t="s">
        <v>350</v>
      </c>
      <c r="C89" t="s">
        <v>563</v>
      </c>
      <c r="D89" s="4">
        <v>46151</v>
      </c>
      <c r="E89" t="s">
        <v>3</v>
      </c>
      <c r="F89" t="s">
        <v>52</v>
      </c>
      <c r="G89" t="s">
        <v>86</v>
      </c>
      <c r="H89" t="s">
        <v>68</v>
      </c>
      <c r="I89" t="s">
        <v>13</v>
      </c>
      <c r="J89" t="s">
        <v>352</v>
      </c>
      <c r="K89" t="s">
        <v>502</v>
      </c>
      <c r="M89" t="s">
        <v>564</v>
      </c>
    </row>
    <row r="90" spans="1:13">
      <c r="A90" s="4">
        <v>46151</v>
      </c>
      <c r="B90" t="s">
        <v>350</v>
      </c>
      <c r="C90" t="s">
        <v>565</v>
      </c>
      <c r="D90" s="4">
        <v>46151</v>
      </c>
      <c r="E90" t="s">
        <v>3</v>
      </c>
      <c r="F90" t="s">
        <v>52</v>
      </c>
      <c r="G90" t="s">
        <v>220</v>
      </c>
      <c r="H90" t="s">
        <v>68</v>
      </c>
      <c r="I90" t="s">
        <v>13</v>
      </c>
      <c r="J90" t="s">
        <v>352</v>
      </c>
      <c r="K90" t="s">
        <v>502</v>
      </c>
      <c r="M90" t="s">
        <v>566</v>
      </c>
    </row>
    <row r="91" spans="1:13">
      <c r="A91" s="4">
        <v>46151</v>
      </c>
      <c r="B91" t="s">
        <v>350</v>
      </c>
      <c r="C91" t="s">
        <v>567</v>
      </c>
      <c r="D91" s="4">
        <v>46148</v>
      </c>
      <c r="E91" t="s">
        <v>5</v>
      </c>
      <c r="F91" t="s">
        <v>52</v>
      </c>
      <c r="G91" t="s">
        <v>291</v>
      </c>
      <c r="H91" t="s">
        <v>68</v>
      </c>
      <c r="I91" t="s">
        <v>13</v>
      </c>
      <c r="J91" t="s">
        <v>352</v>
      </c>
      <c r="K91" t="s">
        <v>430</v>
      </c>
      <c r="M91" t="s">
        <v>568</v>
      </c>
    </row>
    <row r="92" spans="1:13">
      <c r="A92" s="4">
        <v>46151</v>
      </c>
      <c r="B92" t="s">
        <v>350</v>
      </c>
      <c r="C92" t="s">
        <v>569</v>
      </c>
      <c r="D92" s="4">
        <v>46151</v>
      </c>
      <c r="E92" t="s">
        <v>3</v>
      </c>
      <c r="F92" t="s">
        <v>52</v>
      </c>
      <c r="G92" t="s">
        <v>277</v>
      </c>
      <c r="H92" t="s">
        <v>68</v>
      </c>
      <c r="I92" t="s">
        <v>13</v>
      </c>
      <c r="J92" t="s">
        <v>352</v>
      </c>
      <c r="K92" t="s">
        <v>430</v>
      </c>
      <c r="M92" t="s">
        <v>570</v>
      </c>
    </row>
    <row r="93" spans="1:13">
      <c r="A93" s="4">
        <v>46151</v>
      </c>
      <c r="B93" t="s">
        <v>350</v>
      </c>
      <c r="C93" t="s">
        <v>571</v>
      </c>
      <c r="D93" s="4">
        <v>46151</v>
      </c>
      <c r="E93" t="s">
        <v>3</v>
      </c>
      <c r="F93" t="s">
        <v>52</v>
      </c>
      <c r="G93" t="s">
        <v>69</v>
      </c>
      <c r="H93" t="s">
        <v>68</v>
      </c>
      <c r="I93" t="s">
        <v>29</v>
      </c>
      <c r="J93" t="s">
        <v>352</v>
      </c>
      <c r="K93" t="s">
        <v>430</v>
      </c>
      <c r="M93" t="s">
        <v>572</v>
      </c>
    </row>
    <row r="94" spans="1:13">
      <c r="A94" s="4">
        <v>46151</v>
      </c>
      <c r="B94" t="s">
        <v>350</v>
      </c>
      <c r="C94" t="s">
        <v>573</v>
      </c>
      <c r="D94" s="4">
        <v>46151</v>
      </c>
      <c r="E94" t="s">
        <v>3</v>
      </c>
      <c r="F94" t="s">
        <v>52</v>
      </c>
      <c r="G94" t="s">
        <v>286</v>
      </c>
      <c r="H94" t="s">
        <v>68</v>
      </c>
      <c r="I94" t="s">
        <v>13</v>
      </c>
      <c r="J94" t="s">
        <v>352</v>
      </c>
      <c r="K94" t="s">
        <v>430</v>
      </c>
      <c r="M94" t="s">
        <v>574</v>
      </c>
    </row>
    <row r="95" spans="1:13">
      <c r="A95" s="4">
        <v>46151</v>
      </c>
      <c r="B95" t="s">
        <v>350</v>
      </c>
      <c r="C95" t="s">
        <v>575</v>
      </c>
      <c r="D95" s="4">
        <v>46151</v>
      </c>
      <c r="E95" t="s">
        <v>3</v>
      </c>
      <c r="F95" t="s">
        <v>52</v>
      </c>
      <c r="G95" t="s">
        <v>90</v>
      </c>
      <c r="H95" t="s">
        <v>68</v>
      </c>
      <c r="I95" t="s">
        <v>13</v>
      </c>
      <c r="J95" t="s">
        <v>352</v>
      </c>
      <c r="K95" t="s">
        <v>576</v>
      </c>
      <c r="M95" t="s">
        <v>577</v>
      </c>
    </row>
    <row r="96" spans="1:13">
      <c r="A96" s="4">
        <v>46151</v>
      </c>
      <c r="B96" t="s">
        <v>350</v>
      </c>
      <c r="C96" t="s">
        <v>578</v>
      </c>
      <c r="D96" s="4">
        <v>46151</v>
      </c>
      <c r="E96" t="s">
        <v>3</v>
      </c>
      <c r="F96" t="s">
        <v>52</v>
      </c>
      <c r="G96" t="s">
        <v>192</v>
      </c>
      <c r="H96" t="s">
        <v>68</v>
      </c>
      <c r="I96" t="s">
        <v>29</v>
      </c>
      <c r="J96" t="s">
        <v>352</v>
      </c>
      <c r="K96" t="s">
        <v>579</v>
      </c>
      <c r="M96" t="s">
        <v>580</v>
      </c>
    </row>
    <row r="97" spans="1:13">
      <c r="A97" s="4">
        <v>46151</v>
      </c>
      <c r="B97" t="s">
        <v>350</v>
      </c>
      <c r="C97" t="s">
        <v>581</v>
      </c>
      <c r="D97" s="4">
        <v>46151</v>
      </c>
      <c r="E97" t="s">
        <v>3</v>
      </c>
      <c r="F97" t="s">
        <v>52</v>
      </c>
      <c r="G97" t="s">
        <v>166</v>
      </c>
      <c r="H97" t="s">
        <v>68</v>
      </c>
      <c r="I97" t="s">
        <v>13</v>
      </c>
      <c r="J97" t="s">
        <v>352</v>
      </c>
      <c r="K97" t="s">
        <v>582</v>
      </c>
      <c r="M97" t="s">
        <v>583</v>
      </c>
    </row>
    <row r="98" spans="1:13">
      <c r="A98" s="4">
        <v>46151</v>
      </c>
      <c r="B98" t="s">
        <v>350</v>
      </c>
      <c r="C98" t="s">
        <v>584</v>
      </c>
      <c r="D98" s="4">
        <v>46151</v>
      </c>
      <c r="E98" t="s">
        <v>3</v>
      </c>
      <c r="F98" t="s">
        <v>52</v>
      </c>
      <c r="G98" t="s">
        <v>156</v>
      </c>
      <c r="H98" t="s">
        <v>54</v>
      </c>
      <c r="I98" t="s">
        <v>13</v>
      </c>
      <c r="J98" t="s">
        <v>352</v>
      </c>
      <c r="K98" t="s">
        <v>582</v>
      </c>
      <c r="M98" t="s">
        <v>585</v>
      </c>
    </row>
    <row r="99" spans="1:13">
      <c r="A99" s="4">
        <v>46151</v>
      </c>
      <c r="B99" t="s">
        <v>350</v>
      </c>
      <c r="C99" t="s">
        <v>586</v>
      </c>
      <c r="D99" s="4">
        <v>46151</v>
      </c>
      <c r="E99" t="s">
        <v>3</v>
      </c>
      <c r="F99" t="s">
        <v>52</v>
      </c>
      <c r="G99" t="s">
        <v>146</v>
      </c>
      <c r="H99" t="s">
        <v>54</v>
      </c>
      <c r="I99" t="s">
        <v>13</v>
      </c>
      <c r="J99" t="s">
        <v>352</v>
      </c>
      <c r="K99" t="s">
        <v>582</v>
      </c>
      <c r="M99" t="s">
        <v>587</v>
      </c>
    </row>
    <row r="100" spans="1:13">
      <c r="A100" s="4">
        <v>46151</v>
      </c>
      <c r="B100" t="s">
        <v>350</v>
      </c>
      <c r="C100" t="s">
        <v>588</v>
      </c>
      <c r="D100" s="4">
        <v>46151</v>
      </c>
      <c r="E100" t="s">
        <v>4</v>
      </c>
      <c r="F100" t="s">
        <v>10</v>
      </c>
      <c r="G100" t="s">
        <v>26</v>
      </c>
      <c r="H100" t="s">
        <v>20</v>
      </c>
      <c r="I100" t="s">
        <v>13</v>
      </c>
      <c r="J100" t="s">
        <v>352</v>
      </c>
      <c r="K100" t="s">
        <v>452</v>
      </c>
      <c r="M100" t="s">
        <v>589</v>
      </c>
    </row>
    <row r="101" spans="1:13">
      <c r="A101" s="4">
        <v>46152</v>
      </c>
      <c r="B101" t="s">
        <v>350</v>
      </c>
      <c r="C101" t="s">
        <v>590</v>
      </c>
      <c r="D101" s="4">
        <v>46152</v>
      </c>
      <c r="E101" t="s">
        <v>3</v>
      </c>
      <c r="F101" t="s">
        <v>52</v>
      </c>
      <c r="G101" t="s">
        <v>168</v>
      </c>
      <c r="H101" t="s">
        <v>68</v>
      </c>
      <c r="I101" t="s">
        <v>13</v>
      </c>
      <c r="J101" t="s">
        <v>352</v>
      </c>
      <c r="K101" t="s">
        <v>365</v>
      </c>
      <c r="M101" t="s">
        <v>591</v>
      </c>
    </row>
    <row r="102" spans="1:13">
      <c r="A102" s="4">
        <v>46152</v>
      </c>
      <c r="B102" t="s">
        <v>350</v>
      </c>
      <c r="C102" t="s">
        <v>592</v>
      </c>
      <c r="D102" s="4">
        <v>46152</v>
      </c>
      <c r="E102" t="s">
        <v>3</v>
      </c>
      <c r="F102" t="s">
        <v>52</v>
      </c>
      <c r="G102" t="s">
        <v>179</v>
      </c>
      <c r="H102" t="s">
        <v>68</v>
      </c>
      <c r="I102" t="s">
        <v>13</v>
      </c>
      <c r="J102" t="s">
        <v>352</v>
      </c>
      <c r="K102" t="s">
        <v>373</v>
      </c>
      <c r="M102" t="s">
        <v>593</v>
      </c>
    </row>
    <row r="103" spans="1:13">
      <c r="A103" s="4">
        <v>46152</v>
      </c>
      <c r="B103" t="s">
        <v>350</v>
      </c>
      <c r="C103" t="s">
        <v>592</v>
      </c>
      <c r="D103" s="4">
        <v>46152</v>
      </c>
      <c r="E103" t="s">
        <v>3</v>
      </c>
      <c r="F103" t="s">
        <v>52</v>
      </c>
      <c r="G103" t="s">
        <v>266</v>
      </c>
      <c r="H103" t="s">
        <v>68</v>
      </c>
      <c r="I103" t="s">
        <v>13</v>
      </c>
      <c r="J103" t="s">
        <v>352</v>
      </c>
      <c r="K103" t="s">
        <v>373</v>
      </c>
      <c r="M103" t="s">
        <v>593</v>
      </c>
    </row>
    <row r="104" spans="1:13">
      <c r="A104" s="4">
        <v>46152</v>
      </c>
      <c r="B104" t="s">
        <v>350</v>
      </c>
      <c r="C104" t="s">
        <v>594</v>
      </c>
      <c r="D104" s="4">
        <v>46152</v>
      </c>
      <c r="E104" t="s">
        <v>4</v>
      </c>
      <c r="F104" t="s">
        <v>52</v>
      </c>
      <c r="G104" t="s">
        <v>168</v>
      </c>
      <c r="H104" t="s">
        <v>68</v>
      </c>
      <c r="I104" t="s">
        <v>13</v>
      </c>
      <c r="J104" t="s">
        <v>352</v>
      </c>
      <c r="K104" t="s">
        <v>373</v>
      </c>
      <c r="M104" t="s">
        <v>595</v>
      </c>
    </row>
    <row r="105" spans="1:13">
      <c r="A105" s="4">
        <v>46152</v>
      </c>
      <c r="B105" t="s">
        <v>350</v>
      </c>
      <c r="C105" t="s">
        <v>596</v>
      </c>
      <c r="D105" s="4">
        <v>46152</v>
      </c>
      <c r="E105" t="s">
        <v>3</v>
      </c>
      <c r="F105" t="s">
        <v>52</v>
      </c>
      <c r="G105" t="s">
        <v>315</v>
      </c>
      <c r="H105" t="s">
        <v>68</v>
      </c>
      <c r="I105" t="s">
        <v>29</v>
      </c>
      <c r="J105" t="s">
        <v>352</v>
      </c>
      <c r="K105" t="s">
        <v>394</v>
      </c>
      <c r="M105" t="s">
        <v>597</v>
      </c>
    </row>
    <row r="106" spans="1:13">
      <c r="A106" s="4">
        <v>46152</v>
      </c>
      <c r="B106" t="s">
        <v>350</v>
      </c>
      <c r="C106" t="s">
        <v>598</v>
      </c>
      <c r="D106" s="4">
        <v>46152</v>
      </c>
      <c r="E106" t="s">
        <v>3</v>
      </c>
      <c r="F106" t="s">
        <v>52</v>
      </c>
      <c r="G106" t="s">
        <v>311</v>
      </c>
      <c r="H106" t="s">
        <v>68</v>
      </c>
      <c r="I106" t="s">
        <v>13</v>
      </c>
      <c r="J106" t="s">
        <v>352</v>
      </c>
      <c r="K106" t="s">
        <v>394</v>
      </c>
      <c r="M106" t="s">
        <v>599</v>
      </c>
    </row>
    <row r="107" spans="1:13">
      <c r="A107" s="4">
        <v>46152</v>
      </c>
      <c r="B107" t="s">
        <v>350</v>
      </c>
      <c r="C107" t="s">
        <v>600</v>
      </c>
      <c r="D107" s="4">
        <v>46152</v>
      </c>
      <c r="E107" t="s">
        <v>3</v>
      </c>
      <c r="F107" t="s">
        <v>52</v>
      </c>
      <c r="G107" t="s">
        <v>323</v>
      </c>
      <c r="H107" t="s">
        <v>68</v>
      </c>
      <c r="I107" t="s">
        <v>13</v>
      </c>
      <c r="J107" t="s">
        <v>352</v>
      </c>
      <c r="K107" t="s">
        <v>394</v>
      </c>
      <c r="M107" t="s">
        <v>601</v>
      </c>
    </row>
    <row r="108" spans="1:13">
      <c r="A108" s="4">
        <v>46152</v>
      </c>
      <c r="B108" t="s">
        <v>350</v>
      </c>
      <c r="C108" t="s">
        <v>602</v>
      </c>
      <c r="D108" s="4">
        <v>46152</v>
      </c>
      <c r="E108" t="s">
        <v>3</v>
      </c>
      <c r="F108" t="s">
        <v>52</v>
      </c>
      <c r="G108" t="s">
        <v>324</v>
      </c>
      <c r="H108" t="s">
        <v>68</v>
      </c>
      <c r="I108" t="s">
        <v>13</v>
      </c>
      <c r="J108" t="s">
        <v>352</v>
      </c>
      <c r="K108" t="s">
        <v>394</v>
      </c>
      <c r="M108" t="s">
        <v>603</v>
      </c>
    </row>
    <row r="109" spans="1:13">
      <c r="A109" s="4">
        <v>46152</v>
      </c>
      <c r="B109" t="s">
        <v>350</v>
      </c>
      <c r="C109" t="s">
        <v>604</v>
      </c>
      <c r="D109" s="4">
        <v>46152</v>
      </c>
      <c r="E109" t="s">
        <v>3</v>
      </c>
      <c r="F109" t="s">
        <v>52</v>
      </c>
      <c r="G109" t="s">
        <v>176</v>
      </c>
      <c r="H109" t="s">
        <v>68</v>
      </c>
      <c r="I109" t="s">
        <v>13</v>
      </c>
      <c r="J109" t="s">
        <v>352</v>
      </c>
      <c r="K109" t="s">
        <v>605</v>
      </c>
      <c r="M109" t="s">
        <v>606</v>
      </c>
    </row>
    <row r="110" spans="1:13">
      <c r="A110" s="4">
        <v>46152</v>
      </c>
      <c r="B110" t="s">
        <v>350</v>
      </c>
      <c r="C110" t="s">
        <v>607</v>
      </c>
      <c r="D110" s="4">
        <v>46152</v>
      </c>
      <c r="E110" t="s">
        <v>3</v>
      </c>
      <c r="F110" t="s">
        <v>52</v>
      </c>
      <c r="G110" t="s">
        <v>246</v>
      </c>
      <c r="H110" t="s">
        <v>68</v>
      </c>
      <c r="I110" t="s">
        <v>13</v>
      </c>
      <c r="J110" t="s">
        <v>352</v>
      </c>
      <c r="K110" t="s">
        <v>605</v>
      </c>
      <c r="M110" t="s">
        <v>608</v>
      </c>
    </row>
    <row r="111" spans="1:13">
      <c r="A111" s="4">
        <v>46152</v>
      </c>
      <c r="B111" t="s">
        <v>350</v>
      </c>
      <c r="C111" t="s">
        <v>609</v>
      </c>
      <c r="D111" s="4">
        <v>46152</v>
      </c>
      <c r="E111" t="s">
        <v>3</v>
      </c>
      <c r="F111" t="s">
        <v>52</v>
      </c>
      <c r="G111" t="s">
        <v>206</v>
      </c>
      <c r="H111" t="s">
        <v>68</v>
      </c>
      <c r="I111" t="s">
        <v>55</v>
      </c>
      <c r="J111" t="s">
        <v>352</v>
      </c>
      <c r="K111" t="s">
        <v>605</v>
      </c>
      <c r="M111" t="s">
        <v>610</v>
      </c>
    </row>
    <row r="112" spans="1:13">
      <c r="A112" s="4">
        <v>46152</v>
      </c>
      <c r="B112" t="s">
        <v>350</v>
      </c>
      <c r="C112" t="s">
        <v>611</v>
      </c>
      <c r="D112" s="4">
        <v>46152</v>
      </c>
      <c r="E112" t="s">
        <v>3</v>
      </c>
      <c r="F112" t="s">
        <v>52</v>
      </c>
      <c r="G112" t="s">
        <v>204</v>
      </c>
      <c r="H112" t="s">
        <v>68</v>
      </c>
      <c r="I112" t="s">
        <v>29</v>
      </c>
      <c r="J112" t="s">
        <v>352</v>
      </c>
      <c r="K112" t="s">
        <v>612</v>
      </c>
      <c r="M112" t="s">
        <v>613</v>
      </c>
    </row>
    <row r="113" spans="1:13">
      <c r="A113" s="4">
        <v>46152</v>
      </c>
      <c r="B113" t="s">
        <v>350</v>
      </c>
      <c r="C113" t="s">
        <v>614</v>
      </c>
      <c r="D113" s="4">
        <v>46152</v>
      </c>
      <c r="E113" t="s">
        <v>3</v>
      </c>
      <c r="F113" t="s">
        <v>52</v>
      </c>
      <c r="G113" t="s">
        <v>112</v>
      </c>
      <c r="H113" t="s">
        <v>68</v>
      </c>
      <c r="I113" t="s">
        <v>13</v>
      </c>
      <c r="J113" t="s">
        <v>352</v>
      </c>
      <c r="K113" t="s">
        <v>422</v>
      </c>
      <c r="M113" t="s">
        <v>615</v>
      </c>
    </row>
    <row r="114" spans="1:13">
      <c r="A114" s="4">
        <v>46152</v>
      </c>
      <c r="B114" t="s">
        <v>350</v>
      </c>
      <c r="C114" t="s">
        <v>616</v>
      </c>
      <c r="D114" s="4">
        <v>46152</v>
      </c>
      <c r="E114" t="s">
        <v>3</v>
      </c>
      <c r="F114" t="s">
        <v>52</v>
      </c>
      <c r="G114" t="s">
        <v>168</v>
      </c>
      <c r="H114" t="s">
        <v>68</v>
      </c>
      <c r="I114" t="s">
        <v>13</v>
      </c>
      <c r="J114" t="s">
        <v>352</v>
      </c>
      <c r="K114" t="s">
        <v>435</v>
      </c>
      <c r="M114" t="s">
        <v>617</v>
      </c>
    </row>
    <row r="115" spans="1:13">
      <c r="A115" s="4">
        <v>46152</v>
      </c>
      <c r="B115" t="s">
        <v>350</v>
      </c>
      <c r="C115" t="s">
        <v>618</v>
      </c>
      <c r="D115" s="4">
        <v>46152</v>
      </c>
      <c r="E115" t="s">
        <v>3</v>
      </c>
      <c r="F115" t="s">
        <v>52</v>
      </c>
      <c r="G115" t="s">
        <v>150</v>
      </c>
      <c r="H115" t="s">
        <v>68</v>
      </c>
      <c r="I115" t="s">
        <v>55</v>
      </c>
      <c r="J115" t="s">
        <v>352</v>
      </c>
      <c r="K115" t="s">
        <v>435</v>
      </c>
      <c r="M115" t="s">
        <v>619</v>
      </c>
    </row>
    <row r="116" spans="1:13">
      <c r="A116" s="4">
        <v>46152</v>
      </c>
      <c r="B116" t="s">
        <v>350</v>
      </c>
      <c r="C116" t="s">
        <v>620</v>
      </c>
      <c r="D116" s="4">
        <v>46152</v>
      </c>
      <c r="E116" t="s">
        <v>3</v>
      </c>
      <c r="F116" t="s">
        <v>52</v>
      </c>
      <c r="G116" t="s">
        <v>163</v>
      </c>
      <c r="H116" t="s">
        <v>68</v>
      </c>
      <c r="I116" t="s">
        <v>13</v>
      </c>
      <c r="J116" t="s">
        <v>352</v>
      </c>
      <c r="K116" t="s">
        <v>621</v>
      </c>
      <c r="M116" t="s">
        <v>622</v>
      </c>
    </row>
    <row r="117" spans="1:13">
      <c r="A117" s="4">
        <v>46152</v>
      </c>
      <c r="B117" t="s">
        <v>350</v>
      </c>
      <c r="C117" t="s">
        <v>623</v>
      </c>
      <c r="D117" s="4">
        <v>46152</v>
      </c>
      <c r="E117" t="s">
        <v>4</v>
      </c>
      <c r="F117" t="s">
        <v>52</v>
      </c>
      <c r="G117" t="s">
        <v>160</v>
      </c>
      <c r="H117" t="s">
        <v>54</v>
      </c>
      <c r="I117" t="s">
        <v>13</v>
      </c>
      <c r="J117" t="s">
        <v>352</v>
      </c>
      <c r="K117" t="s">
        <v>621</v>
      </c>
      <c r="M117" t="s">
        <v>624</v>
      </c>
    </row>
    <row r="118" spans="1:13">
      <c r="A118" s="4">
        <v>46152</v>
      </c>
      <c r="B118" t="s">
        <v>350</v>
      </c>
      <c r="C118" t="s">
        <v>625</v>
      </c>
      <c r="D118" s="4">
        <v>46152</v>
      </c>
      <c r="E118" t="s">
        <v>4</v>
      </c>
      <c r="F118" t="s">
        <v>52</v>
      </c>
      <c r="G118" t="s">
        <v>168</v>
      </c>
      <c r="H118" t="s">
        <v>68</v>
      </c>
      <c r="I118" t="s">
        <v>13</v>
      </c>
      <c r="J118" t="s">
        <v>352</v>
      </c>
      <c r="K118" t="s">
        <v>621</v>
      </c>
      <c r="M118" t="s">
        <v>626</v>
      </c>
    </row>
    <row r="119" spans="1:13">
      <c r="A119" s="4">
        <v>46152</v>
      </c>
      <c r="B119" t="s">
        <v>350</v>
      </c>
      <c r="C119" t="s">
        <v>627</v>
      </c>
      <c r="D119" s="4">
        <v>46152</v>
      </c>
      <c r="E119" t="s">
        <v>628</v>
      </c>
      <c r="F119" t="s">
        <v>52</v>
      </c>
      <c r="G119" t="s">
        <v>131</v>
      </c>
      <c r="H119" t="s">
        <v>68</v>
      </c>
      <c r="I119" t="s">
        <v>13</v>
      </c>
      <c r="J119" t="s">
        <v>352</v>
      </c>
      <c r="K119" t="s">
        <v>629</v>
      </c>
      <c r="M119" t="s">
        <v>630</v>
      </c>
    </row>
    <row r="120" spans="1:13">
      <c r="A120" s="4">
        <v>46152</v>
      </c>
      <c r="B120" t="s">
        <v>350</v>
      </c>
      <c r="C120" t="s">
        <v>631</v>
      </c>
      <c r="D120" s="4">
        <v>46152</v>
      </c>
      <c r="E120" t="s">
        <v>3</v>
      </c>
      <c r="F120" t="s">
        <v>52</v>
      </c>
      <c r="G120" t="s">
        <v>166</v>
      </c>
      <c r="H120" t="s">
        <v>68</v>
      </c>
      <c r="I120" t="s">
        <v>13</v>
      </c>
      <c r="J120" t="s">
        <v>352</v>
      </c>
      <c r="K120" t="s">
        <v>582</v>
      </c>
      <c r="M120" t="s">
        <v>632</v>
      </c>
    </row>
    <row r="121" spans="1:13">
      <c r="A121" s="4">
        <v>46153</v>
      </c>
      <c r="B121" t="s">
        <v>350</v>
      </c>
      <c r="C121" t="s">
        <v>633</v>
      </c>
      <c r="D121" s="4">
        <v>46149</v>
      </c>
      <c r="E121" t="s">
        <v>5</v>
      </c>
      <c r="F121" t="s">
        <v>10</v>
      </c>
      <c r="G121" t="s">
        <v>40</v>
      </c>
      <c r="H121" t="s">
        <v>12</v>
      </c>
      <c r="I121" t="s">
        <v>13</v>
      </c>
      <c r="J121" t="s">
        <v>352</v>
      </c>
      <c r="K121" t="s">
        <v>368</v>
      </c>
      <c r="M121" t="s">
        <v>634</v>
      </c>
    </row>
    <row r="122" spans="1:13">
      <c r="A122" s="4">
        <v>46153</v>
      </c>
      <c r="B122" t="s">
        <v>350</v>
      </c>
      <c r="C122" t="s">
        <v>635</v>
      </c>
      <c r="D122" s="4">
        <v>46148</v>
      </c>
      <c r="E122" t="s">
        <v>5</v>
      </c>
      <c r="F122" t="s">
        <v>10</v>
      </c>
      <c r="G122" t="s">
        <v>40</v>
      </c>
      <c r="H122" t="s">
        <v>15</v>
      </c>
      <c r="I122" t="s">
        <v>13</v>
      </c>
      <c r="J122" t="s">
        <v>352</v>
      </c>
      <c r="K122" t="s">
        <v>368</v>
      </c>
      <c r="M122" t="s">
        <v>636</v>
      </c>
    </row>
    <row r="123" spans="1:13">
      <c r="A123" s="4">
        <v>46153</v>
      </c>
      <c r="B123" t="s">
        <v>350</v>
      </c>
      <c r="C123" t="s">
        <v>637</v>
      </c>
      <c r="D123" s="4">
        <v>46148</v>
      </c>
      <c r="E123" t="s">
        <v>5</v>
      </c>
      <c r="F123" t="s">
        <v>10</v>
      </c>
      <c r="G123" t="s">
        <v>40</v>
      </c>
      <c r="H123" t="s">
        <v>12</v>
      </c>
      <c r="I123" t="s">
        <v>13</v>
      </c>
      <c r="J123" t="s">
        <v>352</v>
      </c>
      <c r="K123" t="s">
        <v>368</v>
      </c>
      <c r="M123" t="s">
        <v>638</v>
      </c>
    </row>
    <row r="124" spans="1:13">
      <c r="A124" s="4">
        <v>46153</v>
      </c>
      <c r="B124" t="s">
        <v>350</v>
      </c>
      <c r="C124" t="s">
        <v>639</v>
      </c>
      <c r="D124" s="4">
        <v>46153</v>
      </c>
      <c r="E124" t="s">
        <v>3</v>
      </c>
      <c r="F124" t="s">
        <v>52</v>
      </c>
      <c r="G124" t="s">
        <v>313</v>
      </c>
      <c r="H124" t="s">
        <v>68</v>
      </c>
      <c r="I124" t="s">
        <v>29</v>
      </c>
      <c r="J124" t="s">
        <v>352</v>
      </c>
      <c r="K124" t="s">
        <v>640</v>
      </c>
      <c r="M124" t="s">
        <v>641</v>
      </c>
    </row>
    <row r="125" spans="1:13">
      <c r="A125" s="4">
        <v>46153</v>
      </c>
      <c r="B125" t="s">
        <v>350</v>
      </c>
      <c r="C125" t="s">
        <v>642</v>
      </c>
      <c r="D125" s="4">
        <v>46153</v>
      </c>
      <c r="E125" t="s">
        <v>3</v>
      </c>
      <c r="F125" t="s">
        <v>52</v>
      </c>
      <c r="G125" t="s">
        <v>293</v>
      </c>
      <c r="H125" t="s">
        <v>68</v>
      </c>
      <c r="I125" t="s">
        <v>13</v>
      </c>
      <c r="J125" t="s">
        <v>352</v>
      </c>
      <c r="K125" t="s">
        <v>470</v>
      </c>
      <c r="M125" t="s">
        <v>643</v>
      </c>
    </row>
    <row r="126" spans="1:13">
      <c r="A126" s="4">
        <v>46153</v>
      </c>
      <c r="B126" t="s">
        <v>350</v>
      </c>
      <c r="C126" t="s">
        <v>644</v>
      </c>
      <c r="D126" s="4">
        <v>46130</v>
      </c>
      <c r="E126" t="s">
        <v>6</v>
      </c>
      <c r="F126" t="s">
        <v>10</v>
      </c>
      <c r="G126" t="s">
        <v>35</v>
      </c>
      <c r="H126" t="s">
        <v>15</v>
      </c>
      <c r="I126" t="s">
        <v>13</v>
      </c>
      <c r="J126" t="s">
        <v>352</v>
      </c>
      <c r="K126" t="s">
        <v>382</v>
      </c>
      <c r="M126" t="s">
        <v>645</v>
      </c>
    </row>
    <row r="127" spans="1:13">
      <c r="A127" s="4">
        <v>46153</v>
      </c>
      <c r="B127" t="s">
        <v>350</v>
      </c>
      <c r="C127" t="s">
        <v>646</v>
      </c>
      <c r="D127" s="4">
        <v>46153</v>
      </c>
      <c r="E127" t="s">
        <v>3</v>
      </c>
      <c r="F127" t="s">
        <v>52</v>
      </c>
      <c r="G127" t="s">
        <v>177</v>
      </c>
      <c r="H127" t="s">
        <v>68</v>
      </c>
      <c r="I127" t="s">
        <v>13</v>
      </c>
      <c r="J127" t="s">
        <v>352</v>
      </c>
      <c r="K127" t="s">
        <v>388</v>
      </c>
      <c r="M127" t="s">
        <v>647</v>
      </c>
    </row>
    <row r="128" spans="1:13">
      <c r="A128" s="4">
        <v>46153</v>
      </c>
      <c r="B128" t="s">
        <v>350</v>
      </c>
      <c r="C128" t="s">
        <v>648</v>
      </c>
      <c r="D128" s="4">
        <v>46153</v>
      </c>
      <c r="E128" t="s">
        <v>3</v>
      </c>
      <c r="F128" t="s">
        <v>52</v>
      </c>
      <c r="G128" t="s">
        <v>184</v>
      </c>
      <c r="H128" t="s">
        <v>68</v>
      </c>
      <c r="I128" t="s">
        <v>13</v>
      </c>
      <c r="J128" t="s">
        <v>352</v>
      </c>
      <c r="K128" t="s">
        <v>391</v>
      </c>
      <c r="M128" t="s">
        <v>649</v>
      </c>
    </row>
    <row r="129" spans="1:13">
      <c r="A129" s="4">
        <v>46153</v>
      </c>
      <c r="B129" t="s">
        <v>350</v>
      </c>
      <c r="C129" t="s">
        <v>650</v>
      </c>
      <c r="D129" s="4">
        <v>46153</v>
      </c>
      <c r="E129" t="s">
        <v>3</v>
      </c>
      <c r="F129" t="s">
        <v>52</v>
      </c>
      <c r="G129" t="s">
        <v>184</v>
      </c>
      <c r="H129" t="s">
        <v>68</v>
      </c>
      <c r="I129" t="s">
        <v>13</v>
      </c>
      <c r="J129" t="s">
        <v>352</v>
      </c>
      <c r="K129" t="s">
        <v>391</v>
      </c>
      <c r="M129" t="s">
        <v>651</v>
      </c>
    </row>
    <row r="130" spans="1:13">
      <c r="A130" s="4">
        <v>46153</v>
      </c>
      <c r="B130" t="s">
        <v>350</v>
      </c>
      <c r="C130" t="s">
        <v>652</v>
      </c>
      <c r="D130" s="4">
        <v>46153</v>
      </c>
      <c r="E130" t="s">
        <v>3</v>
      </c>
      <c r="F130" t="s">
        <v>52</v>
      </c>
      <c r="G130" t="s">
        <v>147</v>
      </c>
      <c r="H130" t="s">
        <v>54</v>
      </c>
      <c r="I130" t="s">
        <v>29</v>
      </c>
      <c r="J130" t="s">
        <v>352</v>
      </c>
      <c r="K130" t="s">
        <v>391</v>
      </c>
      <c r="M130" t="s">
        <v>653</v>
      </c>
    </row>
    <row r="131" spans="1:13">
      <c r="A131" s="4">
        <v>46153</v>
      </c>
      <c r="B131" t="s">
        <v>350</v>
      </c>
      <c r="C131" t="s">
        <v>654</v>
      </c>
      <c r="D131" s="4">
        <v>46153</v>
      </c>
      <c r="E131" t="s">
        <v>3</v>
      </c>
      <c r="F131" t="s">
        <v>52</v>
      </c>
      <c r="G131" t="s">
        <v>316</v>
      </c>
      <c r="H131" t="s">
        <v>68</v>
      </c>
      <c r="I131" t="s">
        <v>29</v>
      </c>
      <c r="J131" t="s">
        <v>352</v>
      </c>
      <c r="K131" t="s">
        <v>394</v>
      </c>
      <c r="M131" t="s">
        <v>655</v>
      </c>
    </row>
    <row r="132" spans="1:13">
      <c r="A132" s="4">
        <v>46153</v>
      </c>
      <c r="B132" t="s">
        <v>350</v>
      </c>
      <c r="C132" t="s">
        <v>656</v>
      </c>
      <c r="D132" s="4">
        <v>46153</v>
      </c>
      <c r="E132" t="s">
        <v>3</v>
      </c>
      <c r="F132" t="s">
        <v>52</v>
      </c>
      <c r="G132" t="s">
        <v>311</v>
      </c>
      <c r="H132" t="s">
        <v>68</v>
      </c>
      <c r="I132" t="s">
        <v>13</v>
      </c>
      <c r="J132" t="s">
        <v>352</v>
      </c>
      <c r="K132" t="s">
        <v>394</v>
      </c>
      <c r="M132" t="s">
        <v>657</v>
      </c>
    </row>
    <row r="133" spans="1:13">
      <c r="A133" s="4">
        <v>46153</v>
      </c>
      <c r="B133" t="s">
        <v>350</v>
      </c>
      <c r="C133" t="s">
        <v>658</v>
      </c>
      <c r="D133" s="4">
        <v>46092</v>
      </c>
      <c r="E133" t="s">
        <v>6</v>
      </c>
      <c r="F133" t="s">
        <v>10</v>
      </c>
      <c r="G133" t="s">
        <v>49</v>
      </c>
      <c r="H133" t="s">
        <v>12</v>
      </c>
      <c r="I133" t="s">
        <v>13</v>
      </c>
      <c r="J133" t="s">
        <v>352</v>
      </c>
      <c r="K133" t="s">
        <v>491</v>
      </c>
      <c r="M133" t="s">
        <v>659</v>
      </c>
    </row>
    <row r="134" spans="1:13">
      <c r="A134" s="4">
        <v>46153</v>
      </c>
      <c r="B134" t="s">
        <v>350</v>
      </c>
      <c r="C134" t="s">
        <v>660</v>
      </c>
      <c r="D134" s="4">
        <v>46092</v>
      </c>
      <c r="E134" t="s">
        <v>6</v>
      </c>
      <c r="F134" t="s">
        <v>10</v>
      </c>
      <c r="G134" t="s">
        <v>49</v>
      </c>
      <c r="H134" t="s">
        <v>15</v>
      </c>
      <c r="I134" t="s">
        <v>13</v>
      </c>
      <c r="J134" t="s">
        <v>352</v>
      </c>
      <c r="K134" t="s">
        <v>491</v>
      </c>
      <c r="M134" t="s">
        <v>661</v>
      </c>
    </row>
    <row r="135" spans="1:13">
      <c r="A135" s="4">
        <v>46153</v>
      </c>
      <c r="B135" t="s">
        <v>350</v>
      </c>
      <c r="C135" t="s">
        <v>662</v>
      </c>
      <c r="D135" s="4">
        <v>46135</v>
      </c>
      <c r="E135" t="s">
        <v>6</v>
      </c>
      <c r="F135" t="s">
        <v>10</v>
      </c>
      <c r="G135" t="s">
        <v>49</v>
      </c>
      <c r="H135" t="s">
        <v>15</v>
      </c>
      <c r="I135" t="s">
        <v>13</v>
      </c>
      <c r="J135" t="s">
        <v>352</v>
      </c>
      <c r="K135" t="s">
        <v>491</v>
      </c>
      <c r="M135" t="s">
        <v>663</v>
      </c>
    </row>
    <row r="136" spans="1:13">
      <c r="A136" s="4">
        <v>46153</v>
      </c>
      <c r="B136" t="s">
        <v>350</v>
      </c>
      <c r="C136" t="s">
        <v>664</v>
      </c>
      <c r="D136" s="4">
        <v>46106</v>
      </c>
      <c r="E136" t="s">
        <v>6</v>
      </c>
      <c r="F136" t="s">
        <v>10</v>
      </c>
      <c r="G136" t="s">
        <v>49</v>
      </c>
      <c r="H136" t="s">
        <v>12</v>
      </c>
      <c r="I136" t="s">
        <v>13</v>
      </c>
      <c r="J136" t="s">
        <v>352</v>
      </c>
      <c r="K136" t="s">
        <v>491</v>
      </c>
      <c r="M136" t="s">
        <v>665</v>
      </c>
    </row>
    <row r="137" spans="1:13">
      <c r="A137" s="4">
        <v>46153</v>
      </c>
      <c r="B137" t="s">
        <v>350</v>
      </c>
      <c r="C137" t="s">
        <v>666</v>
      </c>
      <c r="D137" s="4">
        <v>46153</v>
      </c>
      <c r="E137" t="s">
        <v>3</v>
      </c>
      <c r="F137" t="s">
        <v>52</v>
      </c>
      <c r="G137" t="s">
        <v>307</v>
      </c>
      <c r="H137" t="s">
        <v>68</v>
      </c>
      <c r="I137" t="s">
        <v>13</v>
      </c>
      <c r="J137" t="s">
        <v>352</v>
      </c>
      <c r="K137" t="s">
        <v>405</v>
      </c>
      <c r="M137" t="s">
        <v>667</v>
      </c>
    </row>
    <row r="138" spans="1:13">
      <c r="A138" s="4">
        <v>46153</v>
      </c>
      <c r="B138" t="s">
        <v>350</v>
      </c>
      <c r="C138" t="s">
        <v>668</v>
      </c>
      <c r="D138" s="4">
        <v>46153</v>
      </c>
      <c r="E138" t="s">
        <v>3</v>
      </c>
      <c r="F138" t="s">
        <v>52</v>
      </c>
      <c r="G138" t="s">
        <v>136</v>
      </c>
      <c r="H138" t="s">
        <v>68</v>
      </c>
      <c r="I138" t="s">
        <v>13</v>
      </c>
      <c r="J138" t="s">
        <v>352</v>
      </c>
      <c r="K138" t="s">
        <v>405</v>
      </c>
      <c r="M138" t="s">
        <v>669</v>
      </c>
    </row>
    <row r="139" spans="1:13">
      <c r="A139" s="4">
        <v>46153</v>
      </c>
      <c r="B139" t="s">
        <v>350</v>
      </c>
      <c r="C139" t="s">
        <v>670</v>
      </c>
      <c r="D139" s="4">
        <v>46153</v>
      </c>
      <c r="E139" t="s">
        <v>3</v>
      </c>
      <c r="F139" t="s">
        <v>52</v>
      </c>
      <c r="G139" t="s">
        <v>297</v>
      </c>
      <c r="H139" t="s">
        <v>68</v>
      </c>
      <c r="I139" t="s">
        <v>13</v>
      </c>
      <c r="J139" t="s">
        <v>352</v>
      </c>
      <c r="K139" t="s">
        <v>405</v>
      </c>
      <c r="M139" t="s">
        <v>671</v>
      </c>
    </row>
    <row r="140" spans="1:13">
      <c r="A140" s="4">
        <v>46153</v>
      </c>
      <c r="B140" t="s">
        <v>350</v>
      </c>
      <c r="C140" t="s">
        <v>672</v>
      </c>
      <c r="D140" s="4">
        <v>46153</v>
      </c>
      <c r="E140" t="s">
        <v>3</v>
      </c>
      <c r="F140" t="s">
        <v>52</v>
      </c>
      <c r="G140" t="s">
        <v>300</v>
      </c>
      <c r="H140" t="s">
        <v>68</v>
      </c>
      <c r="I140" t="s">
        <v>29</v>
      </c>
      <c r="J140" t="s">
        <v>352</v>
      </c>
      <c r="K140" t="s">
        <v>405</v>
      </c>
      <c r="M140" t="s">
        <v>673</v>
      </c>
    </row>
    <row r="141" spans="1:13">
      <c r="A141" s="4">
        <v>46153</v>
      </c>
      <c r="B141" t="s">
        <v>350</v>
      </c>
      <c r="C141" t="s">
        <v>674</v>
      </c>
      <c r="D141" s="4">
        <v>46090</v>
      </c>
      <c r="E141" t="s">
        <v>6</v>
      </c>
      <c r="F141" t="s">
        <v>10</v>
      </c>
      <c r="G141" t="s">
        <v>35</v>
      </c>
      <c r="H141" t="s">
        <v>15</v>
      </c>
      <c r="I141" t="s">
        <v>13</v>
      </c>
      <c r="J141" t="s">
        <v>352</v>
      </c>
      <c r="K141" t="s">
        <v>675</v>
      </c>
      <c r="M141" t="s">
        <v>676</v>
      </c>
    </row>
    <row r="142" spans="1:13">
      <c r="A142" s="4">
        <v>46153</v>
      </c>
      <c r="B142" t="s">
        <v>350</v>
      </c>
      <c r="C142" t="s">
        <v>677</v>
      </c>
      <c r="D142" s="4">
        <v>46128</v>
      </c>
      <c r="E142" t="s">
        <v>6</v>
      </c>
      <c r="F142" t="s">
        <v>10</v>
      </c>
      <c r="G142" t="s">
        <v>38</v>
      </c>
      <c r="H142" t="s">
        <v>15</v>
      </c>
      <c r="I142" t="s">
        <v>29</v>
      </c>
      <c r="J142" t="s">
        <v>352</v>
      </c>
      <c r="K142" t="s">
        <v>422</v>
      </c>
      <c r="M142" t="s">
        <v>678</v>
      </c>
    </row>
    <row r="143" spans="1:13">
      <c r="A143" s="4">
        <v>46153</v>
      </c>
      <c r="B143" t="s">
        <v>350</v>
      </c>
      <c r="C143" t="s">
        <v>679</v>
      </c>
      <c r="D143" s="4">
        <v>46133</v>
      </c>
      <c r="E143" t="s">
        <v>6</v>
      </c>
      <c r="F143" t="s">
        <v>10</v>
      </c>
      <c r="G143" t="s">
        <v>38</v>
      </c>
      <c r="H143" t="s">
        <v>12</v>
      </c>
      <c r="I143" t="s">
        <v>13</v>
      </c>
      <c r="J143" t="s">
        <v>352</v>
      </c>
      <c r="K143" t="s">
        <v>422</v>
      </c>
      <c r="M143" t="s">
        <v>680</v>
      </c>
    </row>
    <row r="144" spans="1:13">
      <c r="A144" s="4">
        <v>46153</v>
      </c>
      <c r="B144" t="s">
        <v>350</v>
      </c>
      <c r="C144" t="s">
        <v>681</v>
      </c>
      <c r="D144" s="4">
        <v>46148</v>
      </c>
      <c r="E144" t="s">
        <v>6</v>
      </c>
      <c r="F144" t="s">
        <v>10</v>
      </c>
      <c r="G144" t="s">
        <v>38</v>
      </c>
      <c r="H144" t="s">
        <v>15</v>
      </c>
      <c r="I144" t="s">
        <v>13</v>
      </c>
      <c r="J144" t="s">
        <v>352</v>
      </c>
      <c r="K144" t="s">
        <v>422</v>
      </c>
      <c r="M144" t="s">
        <v>682</v>
      </c>
    </row>
    <row r="145" spans="1:13">
      <c r="A145" s="4">
        <v>46153</v>
      </c>
      <c r="B145" t="s">
        <v>350</v>
      </c>
      <c r="C145" t="s">
        <v>683</v>
      </c>
      <c r="D145" s="4">
        <v>46135</v>
      </c>
      <c r="E145" t="s">
        <v>6</v>
      </c>
      <c r="F145" t="s">
        <v>10</v>
      </c>
      <c r="G145" t="s">
        <v>14</v>
      </c>
      <c r="H145" t="s">
        <v>15</v>
      </c>
      <c r="I145" t="s">
        <v>13</v>
      </c>
      <c r="J145" t="s">
        <v>352</v>
      </c>
      <c r="K145" t="s">
        <v>422</v>
      </c>
      <c r="M145" t="s">
        <v>684</v>
      </c>
    </row>
    <row r="146" spans="1:13">
      <c r="A146" s="4">
        <v>46153</v>
      </c>
      <c r="B146" t="s">
        <v>350</v>
      </c>
      <c r="C146" t="s">
        <v>685</v>
      </c>
      <c r="D146" s="4">
        <v>46153</v>
      </c>
      <c r="E146" t="s">
        <v>3</v>
      </c>
      <c r="F146" t="s">
        <v>52</v>
      </c>
      <c r="G146" t="s">
        <v>113</v>
      </c>
      <c r="H146" t="s">
        <v>68</v>
      </c>
      <c r="I146" t="s">
        <v>29</v>
      </c>
      <c r="J146" t="s">
        <v>352</v>
      </c>
      <c r="K146" t="s">
        <v>422</v>
      </c>
      <c r="M146" t="s">
        <v>686</v>
      </c>
    </row>
    <row r="147" spans="1:13">
      <c r="A147" s="4">
        <v>46153</v>
      </c>
      <c r="B147" t="s">
        <v>350</v>
      </c>
      <c r="C147" t="s">
        <v>687</v>
      </c>
      <c r="D147" s="4">
        <v>46153</v>
      </c>
      <c r="E147" t="s">
        <v>3</v>
      </c>
      <c r="F147" t="s">
        <v>52</v>
      </c>
      <c r="G147" t="s">
        <v>112</v>
      </c>
      <c r="H147" t="s">
        <v>68</v>
      </c>
      <c r="I147" t="s">
        <v>13</v>
      </c>
      <c r="J147" t="s">
        <v>352</v>
      </c>
      <c r="K147" t="s">
        <v>688</v>
      </c>
      <c r="M147" t="s">
        <v>689</v>
      </c>
    </row>
    <row r="148" spans="1:13">
      <c r="A148" s="4">
        <v>46153</v>
      </c>
      <c r="B148" t="s">
        <v>350</v>
      </c>
      <c r="C148" t="s">
        <v>690</v>
      </c>
      <c r="D148" s="4">
        <v>46142</v>
      </c>
      <c r="E148" t="s">
        <v>6</v>
      </c>
      <c r="F148" t="s">
        <v>52</v>
      </c>
      <c r="G148" t="s">
        <v>227</v>
      </c>
      <c r="H148" t="s">
        <v>70</v>
      </c>
      <c r="I148" t="s">
        <v>13</v>
      </c>
      <c r="J148" t="s">
        <v>352</v>
      </c>
      <c r="K148" t="s">
        <v>691</v>
      </c>
      <c r="M148" t="s">
        <v>692</v>
      </c>
    </row>
    <row r="149" spans="1:13">
      <c r="A149" s="4">
        <v>46153</v>
      </c>
      <c r="B149" t="s">
        <v>350</v>
      </c>
      <c r="C149" t="s">
        <v>693</v>
      </c>
      <c r="D149" s="4">
        <v>46150</v>
      </c>
      <c r="E149" t="s">
        <v>5</v>
      </c>
      <c r="F149" t="s">
        <v>52</v>
      </c>
      <c r="G149" t="s">
        <v>157</v>
      </c>
      <c r="H149" t="s">
        <v>54</v>
      </c>
      <c r="I149" t="s">
        <v>29</v>
      </c>
      <c r="J149" t="s">
        <v>352</v>
      </c>
      <c r="K149" t="s">
        <v>691</v>
      </c>
      <c r="M149" t="s">
        <v>694</v>
      </c>
    </row>
    <row r="150" spans="1:13">
      <c r="A150" s="4">
        <v>46153</v>
      </c>
      <c r="B150" t="s">
        <v>350</v>
      </c>
      <c r="C150" t="s">
        <v>695</v>
      </c>
      <c r="D150" s="4">
        <v>46153</v>
      </c>
      <c r="E150" t="s">
        <v>3</v>
      </c>
      <c r="F150" t="s">
        <v>52</v>
      </c>
      <c r="G150" t="s">
        <v>168</v>
      </c>
      <c r="H150" t="s">
        <v>68</v>
      </c>
      <c r="I150" t="s">
        <v>13</v>
      </c>
      <c r="J150" t="s">
        <v>352</v>
      </c>
      <c r="K150" t="s">
        <v>499</v>
      </c>
      <c r="M150" t="s">
        <v>696</v>
      </c>
    </row>
    <row r="151" spans="1:13">
      <c r="A151" s="4">
        <v>46153</v>
      </c>
      <c r="B151" t="s">
        <v>350</v>
      </c>
      <c r="C151" t="s">
        <v>697</v>
      </c>
      <c r="D151" s="4">
        <v>46151</v>
      </c>
      <c r="E151" t="s">
        <v>5</v>
      </c>
      <c r="F151" t="s">
        <v>52</v>
      </c>
      <c r="G151" t="s">
        <v>284</v>
      </c>
      <c r="H151" t="s">
        <v>70</v>
      </c>
      <c r="I151" t="s">
        <v>29</v>
      </c>
      <c r="J151" t="s">
        <v>352</v>
      </c>
      <c r="K151" t="s">
        <v>430</v>
      </c>
      <c r="M151" t="s">
        <v>698</v>
      </c>
    </row>
    <row r="152" spans="1:13">
      <c r="A152" s="4">
        <v>46153</v>
      </c>
      <c r="B152" t="s">
        <v>350</v>
      </c>
      <c r="C152" t="s">
        <v>699</v>
      </c>
      <c r="D152" s="4">
        <v>46151</v>
      </c>
      <c r="E152" t="s">
        <v>5</v>
      </c>
      <c r="F152" t="s">
        <v>52</v>
      </c>
      <c r="G152" t="s">
        <v>287</v>
      </c>
      <c r="H152" t="s">
        <v>70</v>
      </c>
      <c r="I152" t="s">
        <v>13</v>
      </c>
      <c r="J152" t="s">
        <v>352</v>
      </c>
      <c r="K152" t="s">
        <v>430</v>
      </c>
      <c r="M152" t="s">
        <v>700</v>
      </c>
    </row>
    <row r="153" spans="1:13">
      <c r="A153" s="4">
        <v>46153</v>
      </c>
      <c r="B153" t="s">
        <v>350</v>
      </c>
      <c r="C153" t="s">
        <v>701</v>
      </c>
      <c r="D153" s="4">
        <v>46153</v>
      </c>
      <c r="E153" t="s">
        <v>5</v>
      </c>
      <c r="F153" t="s">
        <v>52</v>
      </c>
      <c r="G153" t="s">
        <v>277</v>
      </c>
      <c r="H153" t="s">
        <v>70</v>
      </c>
      <c r="I153" t="s">
        <v>13</v>
      </c>
      <c r="J153" t="s">
        <v>352</v>
      </c>
      <c r="K153" t="s">
        <v>430</v>
      </c>
      <c r="M153" t="s">
        <v>702</v>
      </c>
    </row>
    <row r="154" spans="1:13">
      <c r="A154" s="4">
        <v>46153</v>
      </c>
      <c r="B154" t="s">
        <v>350</v>
      </c>
      <c r="C154" t="s">
        <v>703</v>
      </c>
      <c r="D154" s="4">
        <v>46153</v>
      </c>
      <c r="E154" t="s">
        <v>3</v>
      </c>
      <c r="F154" t="s">
        <v>52</v>
      </c>
      <c r="G154" t="s">
        <v>332</v>
      </c>
      <c r="H154" t="s">
        <v>68</v>
      </c>
      <c r="I154" t="s">
        <v>55</v>
      </c>
      <c r="J154" t="s">
        <v>352</v>
      </c>
      <c r="K154" t="s">
        <v>435</v>
      </c>
      <c r="M154" t="s">
        <v>704</v>
      </c>
    </row>
    <row r="155" spans="1:13">
      <c r="A155" s="4">
        <v>46153</v>
      </c>
      <c r="B155" t="s">
        <v>350</v>
      </c>
      <c r="C155" t="s">
        <v>705</v>
      </c>
      <c r="D155" s="4">
        <v>46150</v>
      </c>
      <c r="E155" t="s">
        <v>3</v>
      </c>
      <c r="F155" t="s">
        <v>10</v>
      </c>
      <c r="G155" t="s">
        <v>32</v>
      </c>
      <c r="H155" t="s">
        <v>12</v>
      </c>
      <c r="I155" t="s">
        <v>13</v>
      </c>
      <c r="J155" t="s">
        <v>352</v>
      </c>
      <c r="K155" t="s">
        <v>452</v>
      </c>
      <c r="M155" t="s">
        <v>706</v>
      </c>
    </row>
    <row r="156" spans="1:13">
      <c r="A156" s="4">
        <v>46154</v>
      </c>
      <c r="B156" t="s">
        <v>350</v>
      </c>
      <c r="C156" t="s">
        <v>707</v>
      </c>
      <c r="D156" s="4">
        <v>46154</v>
      </c>
      <c r="E156" t="s">
        <v>3</v>
      </c>
      <c r="F156" t="s">
        <v>52</v>
      </c>
      <c r="G156" t="s">
        <v>168</v>
      </c>
      <c r="H156" t="s">
        <v>68</v>
      </c>
      <c r="I156" t="s">
        <v>13</v>
      </c>
      <c r="J156" t="s">
        <v>352</v>
      </c>
      <c r="K156" t="s">
        <v>365</v>
      </c>
      <c r="M156" t="s">
        <v>708</v>
      </c>
    </row>
    <row r="157" spans="1:13">
      <c r="A157" s="4">
        <v>46154</v>
      </c>
      <c r="B157" t="s">
        <v>350</v>
      </c>
      <c r="C157" t="s">
        <v>707</v>
      </c>
      <c r="D157" s="4">
        <v>46154</v>
      </c>
      <c r="E157" t="s">
        <v>3</v>
      </c>
      <c r="F157" t="s">
        <v>52</v>
      </c>
      <c r="G157" t="s">
        <v>255</v>
      </c>
      <c r="H157" t="s">
        <v>68</v>
      </c>
      <c r="I157" t="s">
        <v>13</v>
      </c>
      <c r="J157" t="s">
        <v>352</v>
      </c>
      <c r="K157" t="s">
        <v>365</v>
      </c>
      <c r="M157" t="s">
        <v>708</v>
      </c>
    </row>
    <row r="158" spans="1:13">
      <c r="A158" s="4">
        <v>46154</v>
      </c>
      <c r="B158" t="s">
        <v>350</v>
      </c>
      <c r="C158" t="s">
        <v>709</v>
      </c>
      <c r="D158" s="4">
        <v>46154</v>
      </c>
      <c r="E158" t="s">
        <v>3</v>
      </c>
      <c r="F158" t="s">
        <v>52</v>
      </c>
      <c r="G158" t="s">
        <v>310</v>
      </c>
      <c r="H158" t="s">
        <v>68</v>
      </c>
      <c r="I158" t="s">
        <v>13</v>
      </c>
      <c r="J158" t="s">
        <v>352</v>
      </c>
      <c r="K158" t="s">
        <v>640</v>
      </c>
      <c r="M158" t="s">
        <v>710</v>
      </c>
    </row>
    <row r="159" spans="1:13">
      <c r="A159" s="4">
        <v>46154</v>
      </c>
      <c r="B159" t="s">
        <v>350</v>
      </c>
      <c r="C159" t="s">
        <v>711</v>
      </c>
      <c r="D159" s="4">
        <v>46154</v>
      </c>
      <c r="E159" t="s">
        <v>5</v>
      </c>
      <c r="F159" t="s">
        <v>52</v>
      </c>
      <c r="G159" t="s">
        <v>314</v>
      </c>
      <c r="H159" t="s">
        <v>68</v>
      </c>
      <c r="I159" t="s">
        <v>29</v>
      </c>
      <c r="J159" t="s">
        <v>352</v>
      </c>
      <c r="K159" t="s">
        <v>640</v>
      </c>
      <c r="M159" t="s">
        <v>712</v>
      </c>
    </row>
    <row r="160" spans="1:13">
      <c r="A160" s="4">
        <v>46154</v>
      </c>
      <c r="B160" t="s">
        <v>350</v>
      </c>
      <c r="C160" t="s">
        <v>713</v>
      </c>
      <c r="D160" s="4">
        <v>46150</v>
      </c>
      <c r="E160" t="s">
        <v>6</v>
      </c>
      <c r="F160" t="s">
        <v>52</v>
      </c>
      <c r="G160" t="s">
        <v>319</v>
      </c>
      <c r="H160" t="s">
        <v>68</v>
      </c>
      <c r="I160" t="s">
        <v>55</v>
      </c>
      <c r="J160" t="s">
        <v>352</v>
      </c>
      <c r="K160" t="s">
        <v>394</v>
      </c>
      <c r="M160" t="s">
        <v>714</v>
      </c>
    </row>
    <row r="161" spans="1:13">
      <c r="A161" s="4">
        <v>46154</v>
      </c>
      <c r="B161" t="s">
        <v>350</v>
      </c>
      <c r="C161" t="s">
        <v>715</v>
      </c>
      <c r="D161" s="4">
        <v>46154</v>
      </c>
      <c r="E161" t="s">
        <v>3</v>
      </c>
      <c r="F161" t="s">
        <v>52</v>
      </c>
      <c r="G161" t="s">
        <v>311</v>
      </c>
      <c r="H161" t="s">
        <v>68</v>
      </c>
      <c r="I161" t="s">
        <v>13</v>
      </c>
      <c r="J161" t="s">
        <v>352</v>
      </c>
      <c r="K161" t="s">
        <v>394</v>
      </c>
      <c r="M161" t="s">
        <v>716</v>
      </c>
    </row>
    <row r="162" spans="1:13">
      <c r="A162" s="4">
        <v>46154</v>
      </c>
      <c r="B162" t="s">
        <v>350</v>
      </c>
      <c r="C162" t="s">
        <v>717</v>
      </c>
      <c r="D162" s="4">
        <v>46154</v>
      </c>
      <c r="E162" t="s">
        <v>3</v>
      </c>
      <c r="F162" t="s">
        <v>52</v>
      </c>
      <c r="G162" t="s">
        <v>176</v>
      </c>
      <c r="H162" t="s">
        <v>68</v>
      </c>
      <c r="I162" t="s">
        <v>13</v>
      </c>
      <c r="J162" t="s">
        <v>352</v>
      </c>
      <c r="K162" t="s">
        <v>605</v>
      </c>
      <c r="M162" t="s">
        <v>718</v>
      </c>
    </row>
    <row r="163" spans="1:13">
      <c r="A163" s="4">
        <v>46154</v>
      </c>
      <c r="B163" t="s">
        <v>350</v>
      </c>
      <c r="C163" t="s">
        <v>719</v>
      </c>
      <c r="D163" s="4">
        <v>46154</v>
      </c>
      <c r="E163" t="s">
        <v>3</v>
      </c>
      <c r="F163" t="s">
        <v>52</v>
      </c>
      <c r="G163" t="s">
        <v>223</v>
      </c>
      <c r="H163" t="s">
        <v>68</v>
      </c>
      <c r="I163" t="s">
        <v>13</v>
      </c>
      <c r="J163" t="s">
        <v>352</v>
      </c>
      <c r="K163" t="s">
        <v>605</v>
      </c>
      <c r="M163" t="s">
        <v>720</v>
      </c>
    </row>
    <row r="164" spans="1:13">
      <c r="A164" s="4">
        <v>46154</v>
      </c>
      <c r="B164" t="s">
        <v>350</v>
      </c>
      <c r="C164" t="s">
        <v>721</v>
      </c>
      <c r="D164" s="4">
        <v>46154</v>
      </c>
      <c r="E164" t="s">
        <v>3</v>
      </c>
      <c r="F164" t="s">
        <v>52</v>
      </c>
      <c r="G164" t="s">
        <v>261</v>
      </c>
      <c r="H164" t="s">
        <v>68</v>
      </c>
      <c r="I164" t="s">
        <v>29</v>
      </c>
      <c r="J164" t="s">
        <v>352</v>
      </c>
      <c r="K164" t="s">
        <v>605</v>
      </c>
      <c r="M164" t="s">
        <v>722</v>
      </c>
    </row>
    <row r="165" spans="1:13">
      <c r="A165" s="4">
        <v>46154</v>
      </c>
      <c r="B165" t="s">
        <v>350</v>
      </c>
      <c r="C165" t="s">
        <v>723</v>
      </c>
      <c r="D165" s="4">
        <v>46154</v>
      </c>
      <c r="E165" t="s">
        <v>3</v>
      </c>
      <c r="F165" t="s">
        <v>52</v>
      </c>
      <c r="G165" t="s">
        <v>203</v>
      </c>
      <c r="H165" t="s">
        <v>68</v>
      </c>
      <c r="I165" t="s">
        <v>55</v>
      </c>
      <c r="J165" t="s">
        <v>352</v>
      </c>
      <c r="K165" t="s">
        <v>605</v>
      </c>
      <c r="M165" t="s">
        <v>724</v>
      </c>
    </row>
    <row r="166" spans="1:13">
      <c r="A166" s="4">
        <v>46154</v>
      </c>
      <c r="B166" t="s">
        <v>350</v>
      </c>
      <c r="C166" t="s">
        <v>725</v>
      </c>
      <c r="D166" s="4">
        <v>46154</v>
      </c>
      <c r="E166" t="s">
        <v>3</v>
      </c>
      <c r="F166" t="s">
        <v>52</v>
      </c>
      <c r="G166" t="s">
        <v>297</v>
      </c>
      <c r="H166" t="s">
        <v>68</v>
      </c>
      <c r="I166" t="s">
        <v>13</v>
      </c>
      <c r="J166" t="s">
        <v>352</v>
      </c>
      <c r="K166" t="s">
        <v>405</v>
      </c>
      <c r="M166" t="s">
        <v>726</v>
      </c>
    </row>
    <row r="167" spans="1:13">
      <c r="A167" s="4">
        <v>46154</v>
      </c>
      <c r="B167" t="s">
        <v>350</v>
      </c>
      <c r="C167" t="s">
        <v>727</v>
      </c>
      <c r="D167" s="4">
        <v>46154</v>
      </c>
      <c r="E167" t="s">
        <v>3</v>
      </c>
      <c r="F167" t="s">
        <v>52</v>
      </c>
      <c r="G167" t="s">
        <v>297</v>
      </c>
      <c r="H167" t="s">
        <v>68</v>
      </c>
      <c r="I167" t="s">
        <v>13</v>
      </c>
      <c r="J167" t="s">
        <v>352</v>
      </c>
      <c r="K167" t="s">
        <v>405</v>
      </c>
      <c r="M167" t="s">
        <v>728</v>
      </c>
    </row>
    <row r="168" spans="1:13">
      <c r="A168" s="4">
        <v>46154</v>
      </c>
      <c r="B168" t="s">
        <v>350</v>
      </c>
      <c r="C168" t="s">
        <v>729</v>
      </c>
      <c r="D168" s="4">
        <v>46154</v>
      </c>
      <c r="E168" t="s">
        <v>3</v>
      </c>
      <c r="F168" t="s">
        <v>52</v>
      </c>
      <c r="G168" t="s">
        <v>297</v>
      </c>
      <c r="H168" t="s">
        <v>68</v>
      </c>
      <c r="I168" t="s">
        <v>13</v>
      </c>
      <c r="J168" t="s">
        <v>352</v>
      </c>
      <c r="K168" t="s">
        <v>405</v>
      </c>
      <c r="M168" t="s">
        <v>730</v>
      </c>
    </row>
    <row r="169" spans="1:13">
      <c r="A169" s="4">
        <v>46154</v>
      </c>
      <c r="B169" t="s">
        <v>350</v>
      </c>
      <c r="C169" t="s">
        <v>731</v>
      </c>
      <c r="D169" s="4">
        <v>46154</v>
      </c>
      <c r="E169" t="s">
        <v>3</v>
      </c>
      <c r="F169" t="s">
        <v>52</v>
      </c>
      <c r="G169" t="s">
        <v>296</v>
      </c>
      <c r="H169" t="s">
        <v>68</v>
      </c>
      <c r="I169" t="s">
        <v>13</v>
      </c>
      <c r="J169" t="s">
        <v>352</v>
      </c>
      <c r="K169" t="s">
        <v>405</v>
      </c>
      <c r="M169" t="s">
        <v>732</v>
      </c>
    </row>
    <row r="170" spans="1:13">
      <c r="A170" s="4">
        <v>46154</v>
      </c>
      <c r="B170" t="s">
        <v>350</v>
      </c>
      <c r="C170" t="s">
        <v>733</v>
      </c>
      <c r="D170" s="4">
        <v>46136</v>
      </c>
      <c r="E170" t="s">
        <v>6</v>
      </c>
      <c r="F170" t="s">
        <v>52</v>
      </c>
      <c r="G170" t="s">
        <v>254</v>
      </c>
      <c r="H170" t="s">
        <v>68</v>
      </c>
      <c r="I170" t="s">
        <v>13</v>
      </c>
      <c r="J170" t="s">
        <v>352</v>
      </c>
      <c r="K170" t="s">
        <v>417</v>
      </c>
      <c r="M170" t="s">
        <v>734</v>
      </c>
    </row>
    <row r="171" spans="1:13">
      <c r="A171" s="4">
        <v>46154</v>
      </c>
      <c r="B171" t="s">
        <v>350</v>
      </c>
      <c r="C171" t="s">
        <v>735</v>
      </c>
      <c r="D171" s="4">
        <v>46086</v>
      </c>
      <c r="E171" t="s">
        <v>6</v>
      </c>
      <c r="F171" t="s">
        <v>10</v>
      </c>
      <c r="G171" t="s">
        <v>35</v>
      </c>
      <c r="H171" t="s">
        <v>15</v>
      </c>
      <c r="I171" t="s">
        <v>13</v>
      </c>
      <c r="J171" t="s">
        <v>352</v>
      </c>
      <c r="K171" t="s">
        <v>675</v>
      </c>
      <c r="M171" t="s">
        <v>736</v>
      </c>
    </row>
    <row r="172" spans="1:13">
      <c r="A172" s="4">
        <v>46154</v>
      </c>
      <c r="B172" t="s">
        <v>350</v>
      </c>
      <c r="C172" t="s">
        <v>737</v>
      </c>
      <c r="D172" s="4">
        <v>46115</v>
      </c>
      <c r="E172" t="s">
        <v>6</v>
      </c>
      <c r="F172" t="s">
        <v>10</v>
      </c>
      <c r="G172" t="s">
        <v>35</v>
      </c>
      <c r="H172" t="s">
        <v>15</v>
      </c>
      <c r="I172" t="s">
        <v>13</v>
      </c>
      <c r="J172" t="s">
        <v>352</v>
      </c>
      <c r="K172" t="s">
        <v>675</v>
      </c>
      <c r="M172" t="s">
        <v>738</v>
      </c>
    </row>
    <row r="173" spans="1:13">
      <c r="A173" s="4">
        <v>46154</v>
      </c>
      <c r="B173" t="s">
        <v>350</v>
      </c>
      <c r="C173" t="s">
        <v>739</v>
      </c>
      <c r="D173" s="4">
        <v>46121</v>
      </c>
      <c r="E173" t="s">
        <v>6</v>
      </c>
      <c r="F173" t="s">
        <v>10</v>
      </c>
      <c r="G173" t="s">
        <v>35</v>
      </c>
      <c r="H173" t="s">
        <v>12</v>
      </c>
      <c r="I173" t="s">
        <v>13</v>
      </c>
      <c r="J173" t="s">
        <v>352</v>
      </c>
      <c r="K173" t="s">
        <v>675</v>
      </c>
      <c r="M173" t="s">
        <v>740</v>
      </c>
    </row>
    <row r="174" spans="1:13">
      <c r="A174" s="4">
        <v>46154</v>
      </c>
      <c r="B174" t="s">
        <v>350</v>
      </c>
      <c r="C174" t="s">
        <v>741</v>
      </c>
      <c r="D174" s="4">
        <v>46133</v>
      </c>
      <c r="E174" t="s">
        <v>6</v>
      </c>
      <c r="F174" t="s">
        <v>10</v>
      </c>
      <c r="G174" t="s">
        <v>35</v>
      </c>
      <c r="H174" t="s">
        <v>15</v>
      </c>
      <c r="I174" t="s">
        <v>13</v>
      </c>
      <c r="J174" t="s">
        <v>352</v>
      </c>
      <c r="K174" t="s">
        <v>675</v>
      </c>
      <c r="M174" t="s">
        <v>742</v>
      </c>
    </row>
    <row r="175" spans="1:13">
      <c r="A175" s="4">
        <v>46154</v>
      </c>
      <c r="B175" t="s">
        <v>350</v>
      </c>
      <c r="C175" t="s">
        <v>743</v>
      </c>
      <c r="D175" s="4">
        <v>46128</v>
      </c>
      <c r="E175" t="s">
        <v>6</v>
      </c>
      <c r="F175" t="s">
        <v>10</v>
      </c>
      <c r="G175" t="s">
        <v>35</v>
      </c>
      <c r="H175" t="s">
        <v>15</v>
      </c>
      <c r="I175" t="s">
        <v>13</v>
      </c>
      <c r="J175" t="s">
        <v>352</v>
      </c>
      <c r="K175" t="s">
        <v>675</v>
      </c>
      <c r="M175" t="s">
        <v>744</v>
      </c>
    </row>
    <row r="176" spans="1:13">
      <c r="A176" s="4">
        <v>46154</v>
      </c>
      <c r="B176" t="s">
        <v>350</v>
      </c>
      <c r="C176" t="s">
        <v>745</v>
      </c>
      <c r="D176" s="4">
        <v>46154</v>
      </c>
      <c r="E176" t="s">
        <v>3</v>
      </c>
      <c r="F176" t="s">
        <v>52</v>
      </c>
      <c r="G176" t="s">
        <v>105</v>
      </c>
      <c r="H176" t="s">
        <v>68</v>
      </c>
      <c r="I176" t="s">
        <v>13</v>
      </c>
      <c r="J176" t="s">
        <v>352</v>
      </c>
      <c r="K176" t="s">
        <v>746</v>
      </c>
      <c r="M176" t="s">
        <v>747</v>
      </c>
    </row>
    <row r="177" spans="1:13">
      <c r="A177" s="4">
        <v>46154</v>
      </c>
      <c r="B177" t="s">
        <v>350</v>
      </c>
      <c r="C177" t="s">
        <v>748</v>
      </c>
      <c r="D177" s="4">
        <v>46154</v>
      </c>
      <c r="E177" t="s">
        <v>5</v>
      </c>
      <c r="F177" t="s">
        <v>52</v>
      </c>
      <c r="G177" t="s">
        <v>225</v>
      </c>
      <c r="H177" t="s">
        <v>70</v>
      </c>
      <c r="I177" t="s">
        <v>55</v>
      </c>
      <c r="J177" t="s">
        <v>352</v>
      </c>
      <c r="K177" t="s">
        <v>402</v>
      </c>
      <c r="M177" t="s">
        <v>749</v>
      </c>
    </row>
    <row r="178" spans="1:13">
      <c r="A178" s="4">
        <v>46154</v>
      </c>
      <c r="B178" t="s">
        <v>350</v>
      </c>
      <c r="C178" t="s">
        <v>750</v>
      </c>
      <c r="D178" s="4">
        <v>46153</v>
      </c>
      <c r="E178" t="s">
        <v>5</v>
      </c>
      <c r="F178" t="s">
        <v>52</v>
      </c>
      <c r="G178" t="s">
        <v>71</v>
      </c>
      <c r="H178" t="s">
        <v>54</v>
      </c>
      <c r="I178" t="s">
        <v>13</v>
      </c>
      <c r="J178" t="s">
        <v>352</v>
      </c>
      <c r="K178" t="s">
        <v>430</v>
      </c>
      <c r="M178" t="s">
        <v>751</v>
      </c>
    </row>
    <row r="179" spans="1:13">
      <c r="A179" s="4">
        <v>46154</v>
      </c>
      <c r="B179" t="s">
        <v>350</v>
      </c>
      <c r="C179" t="s">
        <v>752</v>
      </c>
      <c r="D179" s="4">
        <v>46151</v>
      </c>
      <c r="E179" t="s">
        <v>5</v>
      </c>
      <c r="F179" t="s">
        <v>52</v>
      </c>
      <c r="G179" t="s">
        <v>287</v>
      </c>
      <c r="H179" t="s">
        <v>70</v>
      </c>
      <c r="I179" t="s">
        <v>13</v>
      </c>
      <c r="J179" t="s">
        <v>352</v>
      </c>
      <c r="K179" t="s">
        <v>430</v>
      </c>
      <c r="M179" t="s">
        <v>753</v>
      </c>
    </row>
    <row r="180" spans="1:13">
      <c r="A180" s="4">
        <v>46154</v>
      </c>
      <c r="B180" t="s">
        <v>350</v>
      </c>
      <c r="C180" t="s">
        <v>754</v>
      </c>
      <c r="D180" s="4">
        <v>46151</v>
      </c>
      <c r="E180" t="s">
        <v>5</v>
      </c>
      <c r="F180" t="s">
        <v>52</v>
      </c>
      <c r="G180" t="s">
        <v>259</v>
      </c>
      <c r="H180" t="s">
        <v>70</v>
      </c>
      <c r="I180" t="s">
        <v>29</v>
      </c>
      <c r="J180" t="s">
        <v>352</v>
      </c>
      <c r="K180" t="s">
        <v>430</v>
      </c>
      <c r="M180" t="s">
        <v>755</v>
      </c>
    </row>
    <row r="181" spans="1:13">
      <c r="A181" s="4">
        <v>46154</v>
      </c>
      <c r="B181" t="s">
        <v>350</v>
      </c>
      <c r="C181" t="s">
        <v>756</v>
      </c>
      <c r="D181" s="4">
        <v>46150</v>
      </c>
      <c r="E181" t="s">
        <v>5</v>
      </c>
      <c r="F181" t="s">
        <v>52</v>
      </c>
      <c r="G181" t="s">
        <v>188</v>
      </c>
      <c r="H181" t="s">
        <v>70</v>
      </c>
      <c r="I181" t="s">
        <v>189</v>
      </c>
      <c r="J181" t="s">
        <v>352</v>
      </c>
      <c r="K181" t="s">
        <v>447</v>
      </c>
      <c r="M181" t="s">
        <v>757</v>
      </c>
    </row>
    <row r="182" spans="1:13">
      <c r="A182" s="4">
        <v>46154</v>
      </c>
      <c r="B182" t="s">
        <v>350</v>
      </c>
      <c r="C182" t="s">
        <v>758</v>
      </c>
      <c r="D182" s="4">
        <v>46153</v>
      </c>
      <c r="E182" t="s">
        <v>5</v>
      </c>
      <c r="F182" t="s">
        <v>52</v>
      </c>
      <c r="G182" t="s">
        <v>270</v>
      </c>
      <c r="H182" t="s">
        <v>70</v>
      </c>
      <c r="I182" t="s">
        <v>55</v>
      </c>
      <c r="J182" t="s">
        <v>352</v>
      </c>
      <c r="K182" t="s">
        <v>447</v>
      </c>
      <c r="M182" t="s">
        <v>759</v>
      </c>
    </row>
    <row r="183" spans="1:13">
      <c r="A183" s="4">
        <v>46154</v>
      </c>
      <c r="B183" t="s">
        <v>350</v>
      </c>
      <c r="C183" t="s">
        <v>760</v>
      </c>
      <c r="D183" s="4">
        <v>46153</v>
      </c>
      <c r="E183" t="s">
        <v>5</v>
      </c>
      <c r="F183" t="s">
        <v>52</v>
      </c>
      <c r="G183" t="s">
        <v>217</v>
      </c>
      <c r="H183" t="s">
        <v>70</v>
      </c>
      <c r="I183" t="s">
        <v>55</v>
      </c>
      <c r="J183" t="s">
        <v>352</v>
      </c>
      <c r="K183" t="s">
        <v>447</v>
      </c>
      <c r="M183" t="s">
        <v>761</v>
      </c>
    </row>
    <row r="184" spans="1:13">
      <c r="A184" s="4">
        <v>46154</v>
      </c>
      <c r="B184" t="s">
        <v>350</v>
      </c>
      <c r="C184" t="s">
        <v>762</v>
      </c>
      <c r="D184" s="4">
        <v>46154</v>
      </c>
      <c r="E184" t="s">
        <v>4</v>
      </c>
      <c r="F184" t="s">
        <v>10</v>
      </c>
      <c r="G184" t="s">
        <v>26</v>
      </c>
      <c r="H184" t="s">
        <v>20</v>
      </c>
      <c r="I184" t="s">
        <v>13</v>
      </c>
      <c r="J184" t="s">
        <v>352</v>
      </c>
      <c r="K184" t="s">
        <v>452</v>
      </c>
      <c r="M184" t="s">
        <v>763</v>
      </c>
    </row>
    <row r="185" spans="1:13">
      <c r="A185" s="4">
        <v>46154</v>
      </c>
      <c r="B185" t="s">
        <v>350</v>
      </c>
      <c r="C185" t="s">
        <v>764</v>
      </c>
      <c r="D185" s="4">
        <v>46154</v>
      </c>
      <c r="E185" t="s">
        <v>3</v>
      </c>
      <c r="F185" t="s">
        <v>10</v>
      </c>
      <c r="G185" t="s">
        <v>33</v>
      </c>
      <c r="H185" t="s">
        <v>20</v>
      </c>
      <c r="I185" t="s">
        <v>13</v>
      </c>
      <c r="J185" t="s">
        <v>352</v>
      </c>
      <c r="K185" t="s">
        <v>452</v>
      </c>
      <c r="M185" t="s">
        <v>765</v>
      </c>
    </row>
    <row r="186" spans="1:13">
      <c r="A186" s="4">
        <v>46154</v>
      </c>
      <c r="B186" t="s">
        <v>350</v>
      </c>
      <c r="C186" t="s">
        <v>766</v>
      </c>
      <c r="D186" s="4">
        <v>46154</v>
      </c>
      <c r="E186" t="s">
        <v>4</v>
      </c>
      <c r="F186" t="s">
        <v>10</v>
      </c>
      <c r="G186" t="s">
        <v>26</v>
      </c>
      <c r="H186" t="s">
        <v>20</v>
      </c>
      <c r="I186" t="s">
        <v>13</v>
      </c>
      <c r="J186" t="s">
        <v>352</v>
      </c>
      <c r="K186" t="s">
        <v>452</v>
      </c>
      <c r="M186" t="s">
        <v>767</v>
      </c>
    </row>
    <row r="187" spans="1:13">
      <c r="A187" s="4">
        <v>46155</v>
      </c>
      <c r="B187" t="s">
        <v>350</v>
      </c>
      <c r="C187" t="s">
        <v>768</v>
      </c>
      <c r="D187" s="4">
        <v>46155</v>
      </c>
      <c r="E187" t="s">
        <v>3</v>
      </c>
      <c r="F187" t="s">
        <v>52</v>
      </c>
      <c r="G187" t="s">
        <v>276</v>
      </c>
      <c r="H187" t="s">
        <v>68</v>
      </c>
      <c r="I187" t="s">
        <v>13</v>
      </c>
      <c r="J187" t="s">
        <v>352</v>
      </c>
      <c r="K187" t="s">
        <v>362</v>
      </c>
      <c r="M187" t="s">
        <v>769</v>
      </c>
    </row>
    <row r="188" spans="1:13">
      <c r="A188" s="4">
        <v>46155</v>
      </c>
      <c r="B188" t="s">
        <v>350</v>
      </c>
      <c r="C188" t="s">
        <v>770</v>
      </c>
      <c r="D188" s="4">
        <v>46155</v>
      </c>
      <c r="E188" t="s">
        <v>3</v>
      </c>
      <c r="F188" t="s">
        <v>52</v>
      </c>
      <c r="G188" t="s">
        <v>192</v>
      </c>
      <c r="H188" t="s">
        <v>68</v>
      </c>
      <c r="I188" t="s">
        <v>29</v>
      </c>
      <c r="J188" t="s">
        <v>352</v>
      </c>
      <c r="K188" t="s">
        <v>365</v>
      </c>
      <c r="M188" t="s">
        <v>771</v>
      </c>
    </row>
    <row r="189" spans="1:13">
      <c r="A189" s="4">
        <v>46155</v>
      </c>
      <c r="B189" t="s">
        <v>350</v>
      </c>
      <c r="C189" t="s">
        <v>772</v>
      </c>
      <c r="D189" s="4">
        <v>46155</v>
      </c>
      <c r="E189" t="s">
        <v>3</v>
      </c>
      <c r="F189" t="s">
        <v>52</v>
      </c>
      <c r="G189" t="s">
        <v>321</v>
      </c>
      <c r="H189" t="s">
        <v>68</v>
      </c>
      <c r="I189" t="s">
        <v>55</v>
      </c>
      <c r="J189" t="s">
        <v>352</v>
      </c>
      <c r="K189" t="s">
        <v>640</v>
      </c>
      <c r="M189" t="s">
        <v>773</v>
      </c>
    </row>
    <row r="190" spans="1:13">
      <c r="A190" s="4">
        <v>46155</v>
      </c>
      <c r="B190" t="s">
        <v>350</v>
      </c>
      <c r="C190" t="s">
        <v>774</v>
      </c>
      <c r="D190" s="4">
        <v>46155</v>
      </c>
      <c r="E190" t="s">
        <v>3</v>
      </c>
      <c r="F190" t="s">
        <v>52</v>
      </c>
      <c r="G190" t="s">
        <v>179</v>
      </c>
      <c r="H190" t="s">
        <v>68</v>
      </c>
      <c r="I190" t="s">
        <v>13</v>
      </c>
      <c r="J190" t="s">
        <v>352</v>
      </c>
      <c r="K190" t="s">
        <v>373</v>
      </c>
      <c r="M190" t="s">
        <v>775</v>
      </c>
    </row>
    <row r="191" spans="1:13">
      <c r="A191" s="4">
        <v>46155</v>
      </c>
      <c r="B191" t="s">
        <v>350</v>
      </c>
      <c r="C191" t="s">
        <v>776</v>
      </c>
      <c r="D191" s="4">
        <v>46155</v>
      </c>
      <c r="E191" t="s">
        <v>3</v>
      </c>
      <c r="F191" t="s">
        <v>52</v>
      </c>
      <c r="G191" t="s">
        <v>179</v>
      </c>
      <c r="H191" t="s">
        <v>68</v>
      </c>
      <c r="I191" t="s">
        <v>13</v>
      </c>
      <c r="J191" t="s">
        <v>352</v>
      </c>
      <c r="K191" t="s">
        <v>373</v>
      </c>
      <c r="M191" t="s">
        <v>777</v>
      </c>
    </row>
    <row r="192" spans="1:13">
      <c r="A192" s="4">
        <v>46155</v>
      </c>
      <c r="B192" t="s">
        <v>350</v>
      </c>
      <c r="C192" t="s">
        <v>778</v>
      </c>
      <c r="D192" s="4">
        <v>46155</v>
      </c>
      <c r="E192" t="s">
        <v>3</v>
      </c>
      <c r="F192" t="s">
        <v>52</v>
      </c>
      <c r="G192" t="s">
        <v>168</v>
      </c>
      <c r="H192" t="s">
        <v>68</v>
      </c>
      <c r="I192" t="s">
        <v>13</v>
      </c>
      <c r="J192" t="s">
        <v>352</v>
      </c>
      <c r="K192" t="s">
        <v>373</v>
      </c>
      <c r="M192" t="s">
        <v>779</v>
      </c>
    </row>
    <row r="193" spans="1:13">
      <c r="A193" s="4">
        <v>46155</v>
      </c>
      <c r="B193" t="s">
        <v>350</v>
      </c>
      <c r="C193" t="s">
        <v>780</v>
      </c>
      <c r="D193" s="4">
        <v>46155</v>
      </c>
      <c r="E193" t="s">
        <v>3</v>
      </c>
      <c r="F193" t="s">
        <v>52</v>
      </c>
      <c r="G193" t="s">
        <v>179</v>
      </c>
      <c r="H193" t="s">
        <v>68</v>
      </c>
      <c r="I193" t="s">
        <v>13</v>
      </c>
      <c r="J193" t="s">
        <v>352</v>
      </c>
      <c r="K193" t="s">
        <v>373</v>
      </c>
      <c r="M193" t="s">
        <v>781</v>
      </c>
    </row>
    <row r="194" spans="1:13">
      <c r="A194" s="4">
        <v>46155</v>
      </c>
      <c r="B194" t="s">
        <v>350</v>
      </c>
      <c r="C194" t="s">
        <v>782</v>
      </c>
      <c r="D194" s="4">
        <v>46155</v>
      </c>
      <c r="E194" t="s">
        <v>3</v>
      </c>
      <c r="F194" t="s">
        <v>52</v>
      </c>
      <c r="G194" t="s">
        <v>173</v>
      </c>
      <c r="H194" t="s">
        <v>68</v>
      </c>
      <c r="I194" t="s">
        <v>13</v>
      </c>
      <c r="J194" t="s">
        <v>352</v>
      </c>
      <c r="K194" t="s">
        <v>783</v>
      </c>
      <c r="M194" t="s">
        <v>784</v>
      </c>
    </row>
    <row r="195" spans="1:13">
      <c r="A195" s="4">
        <v>46155</v>
      </c>
      <c r="B195" t="s">
        <v>350</v>
      </c>
      <c r="C195" t="s">
        <v>785</v>
      </c>
      <c r="D195" s="4">
        <v>46155</v>
      </c>
      <c r="E195" t="s">
        <v>3</v>
      </c>
      <c r="F195" t="s">
        <v>52</v>
      </c>
      <c r="G195" t="s">
        <v>184</v>
      </c>
      <c r="H195" t="s">
        <v>68</v>
      </c>
      <c r="I195" t="s">
        <v>13</v>
      </c>
      <c r="J195" t="s">
        <v>352</v>
      </c>
      <c r="K195" t="s">
        <v>391</v>
      </c>
      <c r="M195" t="s">
        <v>786</v>
      </c>
    </row>
    <row r="196" spans="1:13">
      <c r="A196" s="4">
        <v>46155</v>
      </c>
      <c r="B196" t="s">
        <v>350</v>
      </c>
      <c r="C196" t="s">
        <v>787</v>
      </c>
      <c r="D196" s="4">
        <v>46155</v>
      </c>
      <c r="E196" t="s">
        <v>3</v>
      </c>
      <c r="F196" t="s">
        <v>52</v>
      </c>
      <c r="G196" t="s">
        <v>147</v>
      </c>
      <c r="H196" t="s">
        <v>54</v>
      </c>
      <c r="I196" t="s">
        <v>29</v>
      </c>
      <c r="J196" t="s">
        <v>352</v>
      </c>
      <c r="K196" t="s">
        <v>391</v>
      </c>
      <c r="M196" t="s">
        <v>788</v>
      </c>
    </row>
    <row r="197" spans="1:13">
      <c r="A197" s="4">
        <v>46155</v>
      </c>
      <c r="B197" t="s">
        <v>350</v>
      </c>
      <c r="C197" t="s">
        <v>789</v>
      </c>
      <c r="D197" s="4">
        <v>46133</v>
      </c>
      <c r="E197" t="s">
        <v>3</v>
      </c>
      <c r="F197" t="s">
        <v>10</v>
      </c>
      <c r="G197" t="s">
        <v>44</v>
      </c>
      <c r="H197" t="s">
        <v>12</v>
      </c>
      <c r="I197" t="s">
        <v>13</v>
      </c>
      <c r="J197" t="s">
        <v>352</v>
      </c>
      <c r="K197" t="s">
        <v>394</v>
      </c>
      <c r="M197" t="s">
        <v>790</v>
      </c>
    </row>
    <row r="198" spans="1:13">
      <c r="A198" s="4">
        <v>46155</v>
      </c>
      <c r="B198" t="s">
        <v>350</v>
      </c>
      <c r="C198" t="s">
        <v>791</v>
      </c>
      <c r="D198" s="4">
        <v>46155</v>
      </c>
      <c r="E198" t="s">
        <v>3</v>
      </c>
      <c r="F198" t="s">
        <v>52</v>
      </c>
      <c r="G198" t="s">
        <v>319</v>
      </c>
      <c r="H198" t="s">
        <v>68</v>
      </c>
      <c r="I198" t="s">
        <v>55</v>
      </c>
      <c r="J198" t="s">
        <v>352</v>
      </c>
      <c r="K198" t="s">
        <v>394</v>
      </c>
      <c r="M198" t="s">
        <v>792</v>
      </c>
    </row>
    <row r="199" spans="1:13">
      <c r="A199" s="4">
        <v>46155</v>
      </c>
      <c r="B199" t="s">
        <v>350</v>
      </c>
      <c r="C199" t="s">
        <v>793</v>
      </c>
      <c r="D199" s="4">
        <v>46155</v>
      </c>
      <c r="E199" t="s">
        <v>3</v>
      </c>
      <c r="F199" t="s">
        <v>52</v>
      </c>
      <c r="G199" t="s">
        <v>223</v>
      </c>
      <c r="H199" t="s">
        <v>68</v>
      </c>
      <c r="I199" t="s">
        <v>13</v>
      </c>
      <c r="J199" t="s">
        <v>352</v>
      </c>
      <c r="K199" t="s">
        <v>605</v>
      </c>
      <c r="M199" t="s">
        <v>794</v>
      </c>
    </row>
    <row r="200" spans="1:13">
      <c r="A200" s="4">
        <v>46155</v>
      </c>
      <c r="B200" t="s">
        <v>350</v>
      </c>
      <c r="C200" t="s">
        <v>795</v>
      </c>
      <c r="D200" s="4">
        <v>46155</v>
      </c>
      <c r="E200" t="s">
        <v>3</v>
      </c>
      <c r="F200" t="s">
        <v>52</v>
      </c>
      <c r="G200" t="s">
        <v>167</v>
      </c>
      <c r="H200" t="s">
        <v>68</v>
      </c>
      <c r="I200" t="s">
        <v>13</v>
      </c>
      <c r="J200" t="s">
        <v>352</v>
      </c>
      <c r="K200" t="s">
        <v>796</v>
      </c>
      <c r="M200" t="s">
        <v>797</v>
      </c>
    </row>
    <row r="201" spans="1:13">
      <c r="A201" s="4">
        <v>46155</v>
      </c>
      <c r="B201" t="s">
        <v>350</v>
      </c>
      <c r="C201" t="s">
        <v>798</v>
      </c>
      <c r="D201" s="4">
        <v>46155</v>
      </c>
      <c r="E201" t="s">
        <v>3</v>
      </c>
      <c r="F201" t="s">
        <v>52</v>
      </c>
      <c r="G201" t="s">
        <v>296</v>
      </c>
      <c r="H201" t="s">
        <v>68</v>
      </c>
      <c r="I201" t="s">
        <v>13</v>
      </c>
      <c r="J201" t="s">
        <v>352</v>
      </c>
      <c r="K201" t="s">
        <v>405</v>
      </c>
      <c r="M201" t="s">
        <v>799</v>
      </c>
    </row>
    <row r="202" spans="1:13">
      <c r="A202" s="4">
        <v>46155</v>
      </c>
      <c r="B202" t="s">
        <v>350</v>
      </c>
      <c r="C202" t="s">
        <v>800</v>
      </c>
      <c r="D202" s="4">
        <v>46155</v>
      </c>
      <c r="E202" t="s">
        <v>3</v>
      </c>
      <c r="F202" t="s">
        <v>52</v>
      </c>
      <c r="G202" t="s">
        <v>305</v>
      </c>
      <c r="H202" t="s">
        <v>68</v>
      </c>
      <c r="I202" t="s">
        <v>13</v>
      </c>
      <c r="J202" t="s">
        <v>352</v>
      </c>
      <c r="K202" t="s">
        <v>405</v>
      </c>
      <c r="M202" t="s">
        <v>801</v>
      </c>
    </row>
    <row r="203" spans="1:13">
      <c r="A203" s="4">
        <v>46155</v>
      </c>
      <c r="B203" t="s">
        <v>350</v>
      </c>
      <c r="C203" t="s">
        <v>802</v>
      </c>
      <c r="D203" s="4">
        <v>46155</v>
      </c>
      <c r="E203" t="s">
        <v>3</v>
      </c>
      <c r="F203" t="s">
        <v>52</v>
      </c>
      <c r="G203" t="s">
        <v>296</v>
      </c>
      <c r="H203" t="s">
        <v>68</v>
      </c>
      <c r="I203" t="s">
        <v>13</v>
      </c>
      <c r="J203" t="s">
        <v>352</v>
      </c>
      <c r="K203" t="s">
        <v>405</v>
      </c>
      <c r="M203" t="s">
        <v>803</v>
      </c>
    </row>
    <row r="204" spans="1:13">
      <c r="A204" s="4">
        <v>46155</v>
      </c>
      <c r="B204" t="s">
        <v>350</v>
      </c>
      <c r="C204" t="s">
        <v>804</v>
      </c>
      <c r="D204" s="4">
        <v>46140</v>
      </c>
      <c r="E204" t="s">
        <v>6</v>
      </c>
      <c r="F204" t="s">
        <v>10</v>
      </c>
      <c r="G204" t="s">
        <v>24</v>
      </c>
      <c r="H204" t="s">
        <v>15</v>
      </c>
      <c r="I204" t="s">
        <v>13</v>
      </c>
      <c r="J204" t="s">
        <v>352</v>
      </c>
      <c r="K204" t="s">
        <v>417</v>
      </c>
      <c r="M204" t="s">
        <v>805</v>
      </c>
    </row>
    <row r="205" spans="1:13">
      <c r="A205" s="4">
        <v>46155</v>
      </c>
      <c r="B205" t="s">
        <v>350</v>
      </c>
      <c r="C205" t="s">
        <v>806</v>
      </c>
      <c r="D205" s="4">
        <v>46155</v>
      </c>
      <c r="E205" t="s">
        <v>3</v>
      </c>
      <c r="F205" t="s">
        <v>52</v>
      </c>
      <c r="G205" t="s">
        <v>226</v>
      </c>
      <c r="H205" t="s">
        <v>68</v>
      </c>
      <c r="I205" t="s">
        <v>13</v>
      </c>
      <c r="J205" t="s">
        <v>352</v>
      </c>
      <c r="K205" t="s">
        <v>675</v>
      </c>
      <c r="M205" t="s">
        <v>807</v>
      </c>
    </row>
    <row r="206" spans="1:13">
      <c r="A206" s="4">
        <v>46155</v>
      </c>
      <c r="B206" t="s">
        <v>350</v>
      </c>
      <c r="C206" t="s">
        <v>808</v>
      </c>
      <c r="D206" s="4">
        <v>46155</v>
      </c>
      <c r="E206" t="s">
        <v>3</v>
      </c>
      <c r="F206" t="s">
        <v>52</v>
      </c>
      <c r="G206" t="s">
        <v>123</v>
      </c>
      <c r="H206" t="s">
        <v>68</v>
      </c>
      <c r="I206" t="s">
        <v>55</v>
      </c>
      <c r="J206" t="s">
        <v>352</v>
      </c>
      <c r="K206" t="s">
        <v>746</v>
      </c>
      <c r="M206" t="s">
        <v>809</v>
      </c>
    </row>
    <row r="207" spans="1:13">
      <c r="A207" s="4">
        <v>46155</v>
      </c>
      <c r="B207" t="s">
        <v>350</v>
      </c>
      <c r="C207" t="s">
        <v>810</v>
      </c>
      <c r="D207" s="4">
        <v>46155</v>
      </c>
      <c r="E207" t="s">
        <v>3</v>
      </c>
      <c r="F207" t="s">
        <v>52</v>
      </c>
      <c r="G207" t="s">
        <v>57</v>
      </c>
      <c r="H207" t="s">
        <v>54</v>
      </c>
      <c r="I207" t="s">
        <v>13</v>
      </c>
      <c r="J207" t="s">
        <v>352</v>
      </c>
      <c r="K207" t="s">
        <v>402</v>
      </c>
      <c r="M207" t="s">
        <v>811</v>
      </c>
    </row>
    <row r="208" spans="1:13">
      <c r="A208" s="4">
        <v>46155</v>
      </c>
      <c r="B208" t="s">
        <v>350</v>
      </c>
      <c r="C208" t="s">
        <v>812</v>
      </c>
      <c r="D208" s="4">
        <v>46155</v>
      </c>
      <c r="E208" t="s">
        <v>3</v>
      </c>
      <c r="F208" t="s">
        <v>52</v>
      </c>
      <c r="G208" t="s">
        <v>57</v>
      </c>
      <c r="H208" t="s">
        <v>54</v>
      </c>
      <c r="I208" t="s">
        <v>13</v>
      </c>
      <c r="J208" t="s">
        <v>352</v>
      </c>
      <c r="K208" t="s">
        <v>402</v>
      </c>
      <c r="M208" t="s">
        <v>813</v>
      </c>
    </row>
    <row r="209" spans="1:13">
      <c r="A209" s="4">
        <v>46155</v>
      </c>
      <c r="B209" t="s">
        <v>350</v>
      </c>
      <c r="C209" t="s">
        <v>814</v>
      </c>
      <c r="D209" s="4">
        <v>46155</v>
      </c>
      <c r="E209" t="s">
        <v>3</v>
      </c>
      <c r="F209" t="s">
        <v>52</v>
      </c>
      <c r="G209" t="s">
        <v>69</v>
      </c>
      <c r="H209" t="s">
        <v>70</v>
      </c>
      <c r="I209" t="s">
        <v>29</v>
      </c>
      <c r="J209" t="s">
        <v>352</v>
      </c>
      <c r="K209" t="s">
        <v>430</v>
      </c>
      <c r="M209" t="s">
        <v>815</v>
      </c>
    </row>
    <row r="210" spans="1:13">
      <c r="A210" s="4">
        <v>46155</v>
      </c>
      <c r="B210" t="s">
        <v>350</v>
      </c>
      <c r="C210" t="s">
        <v>816</v>
      </c>
      <c r="D210" s="4">
        <v>46155</v>
      </c>
      <c r="E210" t="s">
        <v>3</v>
      </c>
      <c r="F210" t="s">
        <v>52</v>
      </c>
      <c r="G210" t="s">
        <v>69</v>
      </c>
      <c r="H210" t="s">
        <v>68</v>
      </c>
      <c r="I210" t="s">
        <v>29</v>
      </c>
      <c r="J210" t="s">
        <v>352</v>
      </c>
      <c r="K210" t="s">
        <v>430</v>
      </c>
      <c r="M210" t="s">
        <v>817</v>
      </c>
    </row>
    <row r="211" spans="1:13">
      <c r="A211" s="4">
        <v>46155</v>
      </c>
      <c r="B211" t="s">
        <v>350</v>
      </c>
      <c r="C211" t="s">
        <v>818</v>
      </c>
      <c r="D211" s="4">
        <v>46155</v>
      </c>
      <c r="E211" t="s">
        <v>3</v>
      </c>
      <c r="F211" t="s">
        <v>52</v>
      </c>
      <c r="G211" t="s">
        <v>294</v>
      </c>
      <c r="H211" t="s">
        <v>68</v>
      </c>
      <c r="I211" t="s">
        <v>189</v>
      </c>
      <c r="J211" t="s">
        <v>352</v>
      </c>
      <c r="K211" t="s">
        <v>435</v>
      </c>
      <c r="M211" t="s">
        <v>819</v>
      </c>
    </row>
    <row r="212" spans="1:13">
      <c r="A212" s="4">
        <v>46155</v>
      </c>
      <c r="B212" t="s">
        <v>350</v>
      </c>
      <c r="C212" t="s">
        <v>820</v>
      </c>
      <c r="D212" s="4">
        <v>46155</v>
      </c>
      <c r="E212" t="s">
        <v>3</v>
      </c>
      <c r="F212" t="s">
        <v>52</v>
      </c>
      <c r="G212" t="s">
        <v>332</v>
      </c>
      <c r="H212" t="s">
        <v>70</v>
      </c>
      <c r="I212" t="s">
        <v>55</v>
      </c>
      <c r="J212" t="s">
        <v>352</v>
      </c>
      <c r="K212" t="s">
        <v>435</v>
      </c>
      <c r="M212" t="s">
        <v>821</v>
      </c>
    </row>
    <row r="213" spans="1:13">
      <c r="A213" s="4">
        <v>46155</v>
      </c>
      <c r="B213" t="s">
        <v>350</v>
      </c>
      <c r="C213" t="s">
        <v>822</v>
      </c>
      <c r="D213" s="4">
        <v>46155</v>
      </c>
      <c r="E213" t="s">
        <v>3</v>
      </c>
      <c r="F213" t="s">
        <v>52</v>
      </c>
      <c r="G213" t="s">
        <v>168</v>
      </c>
      <c r="H213" t="s">
        <v>68</v>
      </c>
      <c r="I213" t="s">
        <v>13</v>
      </c>
      <c r="J213" t="s">
        <v>352</v>
      </c>
      <c r="K213" t="s">
        <v>435</v>
      </c>
      <c r="M213" t="s">
        <v>823</v>
      </c>
    </row>
    <row r="214" spans="1:13">
      <c r="A214" s="4">
        <v>46155</v>
      </c>
      <c r="B214" t="s">
        <v>350</v>
      </c>
      <c r="C214" t="s">
        <v>824</v>
      </c>
      <c r="D214" s="4">
        <v>46155</v>
      </c>
      <c r="E214" t="s">
        <v>3</v>
      </c>
      <c r="F214" t="s">
        <v>52</v>
      </c>
      <c r="G214" t="s">
        <v>168</v>
      </c>
      <c r="H214" t="s">
        <v>68</v>
      </c>
      <c r="I214" t="s">
        <v>13</v>
      </c>
      <c r="J214" t="s">
        <v>352</v>
      </c>
      <c r="K214" t="s">
        <v>435</v>
      </c>
      <c r="M214" t="s">
        <v>825</v>
      </c>
    </row>
    <row r="215" spans="1:13">
      <c r="A215" s="4">
        <v>46155</v>
      </c>
      <c r="B215" t="s">
        <v>350</v>
      </c>
      <c r="C215" t="s">
        <v>826</v>
      </c>
      <c r="D215" s="4">
        <v>46155</v>
      </c>
      <c r="E215" t="s">
        <v>3</v>
      </c>
      <c r="F215" t="s">
        <v>52</v>
      </c>
      <c r="G215" t="s">
        <v>168</v>
      </c>
      <c r="H215" t="s">
        <v>68</v>
      </c>
      <c r="I215" t="s">
        <v>13</v>
      </c>
      <c r="J215" t="s">
        <v>352</v>
      </c>
      <c r="K215" t="s">
        <v>435</v>
      </c>
      <c r="M215" t="s">
        <v>827</v>
      </c>
    </row>
    <row r="216" spans="1:13">
      <c r="A216" s="4">
        <v>46155</v>
      </c>
      <c r="B216" t="s">
        <v>350</v>
      </c>
      <c r="C216" t="s">
        <v>828</v>
      </c>
      <c r="D216" s="4">
        <v>46155</v>
      </c>
      <c r="E216" t="s">
        <v>3</v>
      </c>
      <c r="F216" t="s">
        <v>52</v>
      </c>
      <c r="G216" t="s">
        <v>118</v>
      </c>
      <c r="H216" t="s">
        <v>68</v>
      </c>
      <c r="I216" t="s">
        <v>119</v>
      </c>
      <c r="J216" t="s">
        <v>352</v>
      </c>
      <c r="K216" t="s">
        <v>435</v>
      </c>
      <c r="M216" t="s">
        <v>829</v>
      </c>
    </row>
    <row r="217" spans="1:13">
      <c r="A217" s="4">
        <v>46155</v>
      </c>
      <c r="B217" t="s">
        <v>350</v>
      </c>
      <c r="C217" t="s">
        <v>830</v>
      </c>
      <c r="D217" s="4">
        <v>46155</v>
      </c>
      <c r="E217" t="s">
        <v>3</v>
      </c>
      <c r="F217" t="s">
        <v>52</v>
      </c>
      <c r="G217" t="s">
        <v>192</v>
      </c>
      <c r="H217" t="s">
        <v>68</v>
      </c>
      <c r="I217" t="s">
        <v>29</v>
      </c>
      <c r="J217" t="s">
        <v>352</v>
      </c>
      <c r="K217" t="s">
        <v>435</v>
      </c>
      <c r="M217" t="s">
        <v>831</v>
      </c>
    </row>
    <row r="218" spans="1:13">
      <c r="A218" s="4">
        <v>46155</v>
      </c>
      <c r="B218" t="s">
        <v>350</v>
      </c>
      <c r="C218" t="s">
        <v>578</v>
      </c>
      <c r="D218" s="4">
        <v>46155</v>
      </c>
      <c r="E218" t="s">
        <v>3</v>
      </c>
      <c r="F218" t="s">
        <v>52</v>
      </c>
      <c r="G218" t="s">
        <v>192</v>
      </c>
      <c r="H218" t="s">
        <v>68</v>
      </c>
      <c r="I218" t="s">
        <v>29</v>
      </c>
      <c r="J218" t="s">
        <v>352</v>
      </c>
      <c r="K218" t="s">
        <v>579</v>
      </c>
      <c r="M218" t="s">
        <v>832</v>
      </c>
    </row>
    <row r="219" spans="1:13">
      <c r="A219" s="4">
        <v>46155</v>
      </c>
      <c r="B219" t="s">
        <v>350</v>
      </c>
      <c r="C219" t="s">
        <v>833</v>
      </c>
      <c r="D219" s="4">
        <v>46129</v>
      </c>
      <c r="E219" t="s">
        <v>6</v>
      </c>
      <c r="F219" t="s">
        <v>52</v>
      </c>
      <c r="G219" t="s">
        <v>210</v>
      </c>
      <c r="H219" t="s">
        <v>70</v>
      </c>
      <c r="I219" t="s">
        <v>55</v>
      </c>
      <c r="J219" t="s">
        <v>352</v>
      </c>
      <c r="K219" t="s">
        <v>582</v>
      </c>
      <c r="M219" t="s">
        <v>834</v>
      </c>
    </row>
    <row r="220" spans="1:13">
      <c r="A220" s="4">
        <v>46156</v>
      </c>
      <c r="B220" t="s">
        <v>350</v>
      </c>
      <c r="C220" t="s">
        <v>835</v>
      </c>
      <c r="D220" s="4">
        <v>46156</v>
      </c>
      <c r="E220" t="s">
        <v>3</v>
      </c>
      <c r="F220" t="s">
        <v>52</v>
      </c>
      <c r="G220" t="s">
        <v>194</v>
      </c>
      <c r="H220" t="s">
        <v>68</v>
      </c>
      <c r="I220" t="s">
        <v>29</v>
      </c>
      <c r="J220" t="s">
        <v>352</v>
      </c>
      <c r="K220" t="s">
        <v>353</v>
      </c>
      <c r="M220" t="s">
        <v>836</v>
      </c>
    </row>
    <row r="221" spans="1:13">
      <c r="A221" s="4">
        <v>46156</v>
      </c>
      <c r="B221" t="s">
        <v>350</v>
      </c>
      <c r="C221" t="s">
        <v>837</v>
      </c>
      <c r="D221" s="4">
        <v>46156</v>
      </c>
      <c r="E221" t="s">
        <v>3</v>
      </c>
      <c r="F221" t="s">
        <v>52</v>
      </c>
      <c r="G221" t="s">
        <v>213</v>
      </c>
      <c r="H221" t="s">
        <v>68</v>
      </c>
      <c r="I221" t="s">
        <v>13</v>
      </c>
      <c r="J221" t="s">
        <v>352</v>
      </c>
      <c r="K221" t="s">
        <v>353</v>
      </c>
      <c r="M221" t="s">
        <v>838</v>
      </c>
    </row>
    <row r="222" spans="1:13">
      <c r="A222" s="4">
        <v>46156</v>
      </c>
      <c r="B222" t="s">
        <v>350</v>
      </c>
      <c r="C222" t="s">
        <v>839</v>
      </c>
      <c r="D222" s="4">
        <v>46156</v>
      </c>
      <c r="E222" t="s">
        <v>3</v>
      </c>
      <c r="F222" t="s">
        <v>52</v>
      </c>
      <c r="G222" t="s">
        <v>194</v>
      </c>
      <c r="H222" t="s">
        <v>68</v>
      </c>
      <c r="I222" t="s">
        <v>29</v>
      </c>
      <c r="J222" t="s">
        <v>352</v>
      </c>
      <c r="K222" t="s">
        <v>353</v>
      </c>
      <c r="M222" t="s">
        <v>840</v>
      </c>
    </row>
    <row r="223" spans="1:13">
      <c r="A223" s="4">
        <v>46156</v>
      </c>
      <c r="B223" t="s">
        <v>350</v>
      </c>
      <c r="C223" t="s">
        <v>841</v>
      </c>
      <c r="D223" s="4">
        <v>46156</v>
      </c>
      <c r="E223" t="s">
        <v>3</v>
      </c>
      <c r="F223" t="s">
        <v>52</v>
      </c>
      <c r="G223" t="s">
        <v>177</v>
      </c>
      <c r="H223" t="s">
        <v>68</v>
      </c>
      <c r="I223" t="s">
        <v>13</v>
      </c>
      <c r="J223" t="s">
        <v>352</v>
      </c>
      <c r="K223" t="s">
        <v>353</v>
      </c>
      <c r="M223" t="s">
        <v>842</v>
      </c>
    </row>
    <row r="224" spans="1:13">
      <c r="A224" s="4">
        <v>46156</v>
      </c>
      <c r="B224" t="s">
        <v>350</v>
      </c>
      <c r="C224" t="s">
        <v>843</v>
      </c>
      <c r="D224" s="4">
        <v>46156</v>
      </c>
      <c r="E224" t="s">
        <v>3</v>
      </c>
      <c r="F224" t="s">
        <v>52</v>
      </c>
      <c r="G224" t="s">
        <v>168</v>
      </c>
      <c r="H224" t="s">
        <v>68</v>
      </c>
      <c r="I224" t="s">
        <v>29</v>
      </c>
      <c r="J224" t="s">
        <v>844</v>
      </c>
      <c r="K224" t="s">
        <v>525</v>
      </c>
      <c r="M224" t="s">
        <v>845</v>
      </c>
    </row>
    <row r="225" spans="1:13">
      <c r="A225" s="4">
        <v>46156</v>
      </c>
      <c r="B225" t="s">
        <v>350</v>
      </c>
      <c r="C225" t="s">
        <v>846</v>
      </c>
      <c r="D225" s="4">
        <v>46156</v>
      </c>
      <c r="E225" t="s">
        <v>3</v>
      </c>
      <c r="F225" t="s">
        <v>52</v>
      </c>
      <c r="G225" t="s">
        <v>281</v>
      </c>
      <c r="H225" t="s">
        <v>68</v>
      </c>
      <c r="I225" t="s">
        <v>29</v>
      </c>
      <c r="J225" t="s">
        <v>352</v>
      </c>
      <c r="K225" t="s">
        <v>362</v>
      </c>
      <c r="M225" t="s">
        <v>847</v>
      </c>
    </row>
    <row r="226" spans="1:13">
      <c r="A226" s="4">
        <v>46156</v>
      </c>
      <c r="B226" t="s">
        <v>350</v>
      </c>
      <c r="C226" t="s">
        <v>848</v>
      </c>
      <c r="D226" s="4">
        <v>46148</v>
      </c>
      <c r="E226" t="s">
        <v>5</v>
      </c>
      <c r="F226" t="s">
        <v>52</v>
      </c>
      <c r="G226" t="s">
        <v>285</v>
      </c>
      <c r="H226" t="s">
        <v>70</v>
      </c>
      <c r="I226" t="s">
        <v>55</v>
      </c>
      <c r="J226" t="s">
        <v>352</v>
      </c>
      <c r="K226" t="s">
        <v>368</v>
      </c>
      <c r="M226" t="s">
        <v>849</v>
      </c>
    </row>
    <row r="227" spans="1:13">
      <c r="A227" s="4">
        <v>46156</v>
      </c>
      <c r="B227" t="s">
        <v>350</v>
      </c>
      <c r="C227" t="s">
        <v>850</v>
      </c>
      <c r="D227" s="4">
        <v>46156</v>
      </c>
      <c r="E227" t="s">
        <v>3</v>
      </c>
      <c r="F227" t="s">
        <v>52</v>
      </c>
      <c r="G227" t="s">
        <v>290</v>
      </c>
      <c r="H227" t="s">
        <v>68</v>
      </c>
      <c r="I227" t="s">
        <v>29</v>
      </c>
      <c r="J227" t="s">
        <v>352</v>
      </c>
      <c r="K227" t="s">
        <v>368</v>
      </c>
      <c r="M227" t="s">
        <v>851</v>
      </c>
    </row>
    <row r="228" spans="1:13">
      <c r="A228" s="4">
        <v>46156</v>
      </c>
      <c r="B228" t="s">
        <v>350</v>
      </c>
      <c r="C228" t="s">
        <v>852</v>
      </c>
      <c r="D228" s="4">
        <v>46156</v>
      </c>
      <c r="E228" t="s">
        <v>3</v>
      </c>
      <c r="F228" t="s">
        <v>52</v>
      </c>
      <c r="G228" t="s">
        <v>310</v>
      </c>
      <c r="H228" t="s">
        <v>68</v>
      </c>
      <c r="I228" t="s">
        <v>13</v>
      </c>
      <c r="J228" t="s">
        <v>352</v>
      </c>
      <c r="K228" t="s">
        <v>640</v>
      </c>
      <c r="M228" t="s">
        <v>853</v>
      </c>
    </row>
    <row r="229" spans="1:13">
      <c r="A229" s="4">
        <v>46156</v>
      </c>
      <c r="B229" t="s">
        <v>350</v>
      </c>
      <c r="C229" t="s">
        <v>854</v>
      </c>
      <c r="D229" s="4">
        <v>46156</v>
      </c>
      <c r="E229" t="s">
        <v>3</v>
      </c>
      <c r="F229" t="s">
        <v>52</v>
      </c>
      <c r="G229" t="s">
        <v>310</v>
      </c>
      <c r="H229" t="s">
        <v>68</v>
      </c>
      <c r="I229" t="s">
        <v>13</v>
      </c>
      <c r="J229" t="s">
        <v>352</v>
      </c>
      <c r="K229" t="s">
        <v>640</v>
      </c>
      <c r="M229" t="s">
        <v>855</v>
      </c>
    </row>
    <row r="230" spans="1:13">
      <c r="A230" s="4">
        <v>46156</v>
      </c>
      <c r="B230" t="s">
        <v>350</v>
      </c>
      <c r="C230" t="s">
        <v>856</v>
      </c>
      <c r="D230" s="4">
        <v>46078</v>
      </c>
      <c r="E230" t="s">
        <v>6</v>
      </c>
      <c r="F230" t="s">
        <v>52</v>
      </c>
      <c r="G230" t="s">
        <v>95</v>
      </c>
      <c r="H230" t="s">
        <v>70</v>
      </c>
      <c r="I230" t="s">
        <v>55</v>
      </c>
      <c r="J230" t="s">
        <v>352</v>
      </c>
      <c r="K230" t="s">
        <v>576</v>
      </c>
      <c r="M230" t="s">
        <v>857</v>
      </c>
    </row>
    <row r="231" spans="1:13">
      <c r="A231" s="4">
        <v>46156</v>
      </c>
      <c r="B231" t="s">
        <v>350</v>
      </c>
      <c r="C231" t="s">
        <v>858</v>
      </c>
      <c r="D231" s="4">
        <v>46156</v>
      </c>
      <c r="E231" t="s">
        <v>3</v>
      </c>
      <c r="F231" t="s">
        <v>52</v>
      </c>
      <c r="G231" t="s">
        <v>184</v>
      </c>
      <c r="H231" t="s">
        <v>68</v>
      </c>
      <c r="I231" t="s">
        <v>13</v>
      </c>
      <c r="J231" t="s">
        <v>352</v>
      </c>
      <c r="K231" t="s">
        <v>391</v>
      </c>
      <c r="M231" t="s">
        <v>859</v>
      </c>
    </row>
    <row r="232" spans="1:13">
      <c r="A232" s="4">
        <v>46156</v>
      </c>
      <c r="B232" t="s">
        <v>350</v>
      </c>
      <c r="C232" t="s">
        <v>860</v>
      </c>
      <c r="D232" s="4">
        <v>46156</v>
      </c>
      <c r="E232" t="s">
        <v>3</v>
      </c>
      <c r="F232" t="s">
        <v>52</v>
      </c>
      <c r="G232" t="s">
        <v>184</v>
      </c>
      <c r="H232" t="s">
        <v>68</v>
      </c>
      <c r="I232" t="s">
        <v>13</v>
      </c>
      <c r="J232" t="s">
        <v>352</v>
      </c>
      <c r="K232" t="s">
        <v>391</v>
      </c>
      <c r="M232" t="s">
        <v>861</v>
      </c>
    </row>
    <row r="233" spans="1:13">
      <c r="A233" s="4">
        <v>46156</v>
      </c>
      <c r="B233" t="s">
        <v>350</v>
      </c>
      <c r="C233" t="s">
        <v>862</v>
      </c>
      <c r="D233" s="4">
        <v>46156</v>
      </c>
      <c r="E233" t="s">
        <v>3</v>
      </c>
      <c r="F233" t="s">
        <v>52</v>
      </c>
      <c r="G233" t="s">
        <v>186</v>
      </c>
      <c r="H233" t="s">
        <v>68</v>
      </c>
      <c r="I233" t="s">
        <v>13</v>
      </c>
      <c r="J233" t="s">
        <v>352</v>
      </c>
      <c r="K233" t="s">
        <v>391</v>
      </c>
      <c r="M233" t="s">
        <v>863</v>
      </c>
    </row>
    <row r="234" spans="1:13">
      <c r="A234" s="4">
        <v>46156</v>
      </c>
      <c r="B234" t="s">
        <v>350</v>
      </c>
      <c r="C234" t="s">
        <v>864</v>
      </c>
      <c r="D234" s="4">
        <v>46156</v>
      </c>
      <c r="E234" t="s">
        <v>3</v>
      </c>
      <c r="F234" t="s">
        <v>10</v>
      </c>
      <c r="G234" t="s">
        <v>45</v>
      </c>
      <c r="H234" t="s">
        <v>12</v>
      </c>
      <c r="I234" t="s">
        <v>13</v>
      </c>
      <c r="J234" t="s">
        <v>352</v>
      </c>
      <c r="K234" t="s">
        <v>394</v>
      </c>
      <c r="M234" t="s">
        <v>865</v>
      </c>
    </row>
    <row r="235" spans="1:13">
      <c r="A235" s="4">
        <v>46156</v>
      </c>
      <c r="B235" t="s">
        <v>350</v>
      </c>
      <c r="C235" t="s">
        <v>866</v>
      </c>
      <c r="D235" s="4">
        <v>46155</v>
      </c>
      <c r="E235" t="s">
        <v>5</v>
      </c>
      <c r="F235" t="s">
        <v>52</v>
      </c>
      <c r="G235" t="s">
        <v>224</v>
      </c>
      <c r="H235" t="s">
        <v>68</v>
      </c>
      <c r="I235" t="s">
        <v>55</v>
      </c>
      <c r="J235" t="s">
        <v>352</v>
      </c>
      <c r="K235" t="s">
        <v>397</v>
      </c>
      <c r="M235" t="s">
        <v>867</v>
      </c>
    </row>
    <row r="236" spans="1:13">
      <c r="A236" s="4">
        <v>46156</v>
      </c>
      <c r="B236" t="s">
        <v>350</v>
      </c>
      <c r="C236" t="s">
        <v>868</v>
      </c>
      <c r="D236" s="4">
        <v>46155</v>
      </c>
      <c r="E236" t="s">
        <v>5</v>
      </c>
      <c r="F236" t="s">
        <v>52</v>
      </c>
      <c r="G236" t="s">
        <v>226</v>
      </c>
      <c r="H236" t="s">
        <v>70</v>
      </c>
      <c r="I236" t="s">
        <v>13</v>
      </c>
      <c r="J236" t="s">
        <v>352</v>
      </c>
      <c r="K236" t="s">
        <v>397</v>
      </c>
      <c r="M236" t="s">
        <v>869</v>
      </c>
    </row>
    <row r="237" spans="1:13">
      <c r="A237" s="4">
        <v>46156</v>
      </c>
      <c r="B237" t="s">
        <v>350</v>
      </c>
      <c r="C237" t="s">
        <v>870</v>
      </c>
      <c r="D237" s="4">
        <v>46156</v>
      </c>
      <c r="E237" t="s">
        <v>3</v>
      </c>
      <c r="F237" t="s">
        <v>52</v>
      </c>
      <c r="G237" t="s">
        <v>164</v>
      </c>
      <c r="H237" t="s">
        <v>68</v>
      </c>
      <c r="I237" t="s">
        <v>29</v>
      </c>
      <c r="J237" t="s">
        <v>352</v>
      </c>
      <c r="K237" t="s">
        <v>553</v>
      </c>
      <c r="M237" t="s">
        <v>871</v>
      </c>
    </row>
    <row r="238" spans="1:13">
      <c r="A238" s="4">
        <v>46156</v>
      </c>
      <c r="B238" t="s">
        <v>350</v>
      </c>
      <c r="C238" t="s">
        <v>872</v>
      </c>
      <c r="D238" s="4">
        <v>46156</v>
      </c>
      <c r="E238" t="s">
        <v>3</v>
      </c>
      <c r="F238" t="s">
        <v>52</v>
      </c>
      <c r="G238" t="s">
        <v>216</v>
      </c>
      <c r="H238" t="s">
        <v>68</v>
      </c>
      <c r="I238" t="s">
        <v>13</v>
      </c>
      <c r="J238" t="s">
        <v>352</v>
      </c>
      <c r="K238" t="s">
        <v>553</v>
      </c>
      <c r="M238" t="s">
        <v>873</v>
      </c>
    </row>
    <row r="239" spans="1:13">
      <c r="A239" s="4">
        <v>46156</v>
      </c>
      <c r="B239" t="s">
        <v>350</v>
      </c>
      <c r="C239" t="s">
        <v>874</v>
      </c>
      <c r="D239" s="4">
        <v>46104</v>
      </c>
      <c r="E239" t="s">
        <v>6</v>
      </c>
      <c r="F239" t="s">
        <v>10</v>
      </c>
      <c r="G239" t="s">
        <v>35</v>
      </c>
      <c r="H239" t="s">
        <v>15</v>
      </c>
      <c r="I239" t="s">
        <v>13</v>
      </c>
      <c r="J239" t="s">
        <v>352</v>
      </c>
      <c r="K239" t="s">
        <v>675</v>
      </c>
      <c r="M239" t="s">
        <v>875</v>
      </c>
    </row>
    <row r="240" spans="1:13">
      <c r="A240" s="4">
        <v>46156</v>
      </c>
      <c r="B240" t="s">
        <v>350</v>
      </c>
      <c r="C240" t="s">
        <v>876</v>
      </c>
      <c r="D240" s="4">
        <v>46125</v>
      </c>
      <c r="E240" t="s">
        <v>6</v>
      </c>
      <c r="F240" t="s">
        <v>10</v>
      </c>
      <c r="G240" t="s">
        <v>35</v>
      </c>
      <c r="H240" t="s">
        <v>15</v>
      </c>
      <c r="I240" t="s">
        <v>13</v>
      </c>
      <c r="J240" t="s">
        <v>352</v>
      </c>
      <c r="K240" t="s">
        <v>675</v>
      </c>
      <c r="M240" t="s">
        <v>877</v>
      </c>
    </row>
    <row r="241" spans="1:13">
      <c r="A241" s="4">
        <v>46156</v>
      </c>
      <c r="B241" t="s">
        <v>350</v>
      </c>
      <c r="C241" t="s">
        <v>878</v>
      </c>
      <c r="D241" s="4">
        <v>46126</v>
      </c>
      <c r="E241" t="s">
        <v>6</v>
      </c>
      <c r="F241" t="s">
        <v>10</v>
      </c>
      <c r="G241" t="s">
        <v>35</v>
      </c>
      <c r="H241" t="s">
        <v>15</v>
      </c>
      <c r="I241" t="s">
        <v>13</v>
      </c>
      <c r="J241" t="s">
        <v>352</v>
      </c>
      <c r="K241" t="s">
        <v>675</v>
      </c>
      <c r="M241" t="s">
        <v>879</v>
      </c>
    </row>
    <row r="242" spans="1:13">
      <c r="A242" s="4">
        <v>46156</v>
      </c>
      <c r="B242" t="s">
        <v>350</v>
      </c>
      <c r="C242" t="s">
        <v>880</v>
      </c>
      <c r="D242" s="4">
        <v>46150</v>
      </c>
      <c r="E242" t="s">
        <v>5</v>
      </c>
      <c r="F242" t="s">
        <v>52</v>
      </c>
      <c r="G242" t="s">
        <v>110</v>
      </c>
      <c r="H242" t="s">
        <v>68</v>
      </c>
      <c r="I242" t="s">
        <v>13</v>
      </c>
      <c r="J242" t="s">
        <v>352</v>
      </c>
      <c r="K242" t="s">
        <v>422</v>
      </c>
      <c r="M242" t="s">
        <v>881</v>
      </c>
    </row>
    <row r="243" spans="1:13">
      <c r="A243" s="4">
        <v>46156</v>
      </c>
      <c r="B243" t="s">
        <v>350</v>
      </c>
      <c r="C243" t="s">
        <v>882</v>
      </c>
      <c r="D243" s="4">
        <v>46156</v>
      </c>
      <c r="E243" t="s">
        <v>3</v>
      </c>
      <c r="F243" t="s">
        <v>52</v>
      </c>
      <c r="G243" t="s">
        <v>154</v>
      </c>
      <c r="H243" t="s">
        <v>54</v>
      </c>
      <c r="I243" t="s">
        <v>13</v>
      </c>
      <c r="J243" t="s">
        <v>352</v>
      </c>
      <c r="K243" t="s">
        <v>691</v>
      </c>
      <c r="M243" t="s">
        <v>883</v>
      </c>
    </row>
    <row r="244" spans="1:13">
      <c r="A244" s="4">
        <v>46156</v>
      </c>
      <c r="B244" t="s">
        <v>350</v>
      </c>
      <c r="C244" t="s">
        <v>884</v>
      </c>
      <c r="D244" s="4">
        <v>46156</v>
      </c>
      <c r="E244" t="s">
        <v>3</v>
      </c>
      <c r="F244" t="s">
        <v>52</v>
      </c>
      <c r="G244" t="s">
        <v>168</v>
      </c>
      <c r="H244" t="s">
        <v>68</v>
      </c>
      <c r="I244" t="s">
        <v>13</v>
      </c>
      <c r="J244" t="s">
        <v>352</v>
      </c>
      <c r="K244" t="s">
        <v>427</v>
      </c>
      <c r="M244" t="s">
        <v>885</v>
      </c>
    </row>
    <row r="245" spans="1:13">
      <c r="A245" s="4">
        <v>46156</v>
      </c>
      <c r="B245" t="s">
        <v>350</v>
      </c>
      <c r="C245" t="s">
        <v>886</v>
      </c>
      <c r="D245" s="4">
        <v>46156</v>
      </c>
      <c r="E245" t="s">
        <v>3</v>
      </c>
      <c r="F245" t="s">
        <v>52</v>
      </c>
      <c r="G245" t="s">
        <v>168</v>
      </c>
      <c r="H245" t="s">
        <v>68</v>
      </c>
      <c r="I245" t="s">
        <v>13</v>
      </c>
      <c r="J245" t="s">
        <v>352</v>
      </c>
      <c r="K245" t="s">
        <v>427</v>
      </c>
      <c r="M245" t="s">
        <v>887</v>
      </c>
    </row>
    <row r="246" spans="1:13">
      <c r="A246" s="4">
        <v>46156</v>
      </c>
      <c r="B246" t="s">
        <v>350</v>
      </c>
      <c r="C246" t="s">
        <v>888</v>
      </c>
      <c r="D246" s="4">
        <v>46155</v>
      </c>
      <c r="E246" t="s">
        <v>5</v>
      </c>
      <c r="F246" t="s">
        <v>52</v>
      </c>
      <c r="G246" t="s">
        <v>67</v>
      </c>
      <c r="H246" t="s">
        <v>68</v>
      </c>
      <c r="I246" t="s">
        <v>29</v>
      </c>
      <c r="J246" t="s">
        <v>352</v>
      </c>
      <c r="K246" t="s">
        <v>430</v>
      </c>
      <c r="M246" t="s">
        <v>889</v>
      </c>
    </row>
    <row r="247" spans="1:13">
      <c r="A247" s="4">
        <v>46156</v>
      </c>
      <c r="B247" t="s">
        <v>350</v>
      </c>
      <c r="C247" t="s">
        <v>890</v>
      </c>
      <c r="D247" s="4">
        <v>46155</v>
      </c>
      <c r="E247" t="s">
        <v>5</v>
      </c>
      <c r="F247" t="s">
        <v>52</v>
      </c>
      <c r="G247" t="s">
        <v>141</v>
      </c>
      <c r="H247" t="s">
        <v>70</v>
      </c>
      <c r="I247" t="s">
        <v>55</v>
      </c>
      <c r="J247" t="s">
        <v>352</v>
      </c>
      <c r="K247" t="s">
        <v>430</v>
      </c>
      <c r="M247" t="s">
        <v>891</v>
      </c>
    </row>
    <row r="248" spans="1:13">
      <c r="A248" s="4">
        <v>46156</v>
      </c>
      <c r="B248" t="s">
        <v>350</v>
      </c>
      <c r="C248" t="s">
        <v>443</v>
      </c>
      <c r="D248" s="4">
        <v>46156</v>
      </c>
      <c r="E248" t="s">
        <v>3</v>
      </c>
      <c r="F248" t="s">
        <v>52</v>
      </c>
      <c r="G248" t="s">
        <v>192</v>
      </c>
      <c r="H248" t="s">
        <v>68</v>
      </c>
      <c r="I248" t="s">
        <v>29</v>
      </c>
      <c r="J248" t="s">
        <v>352</v>
      </c>
      <c r="K248" t="s">
        <v>444</v>
      </c>
      <c r="M248" t="s">
        <v>892</v>
      </c>
    </row>
    <row r="249" spans="1:13">
      <c r="A249" s="4">
        <v>46156</v>
      </c>
      <c r="B249" t="s">
        <v>350</v>
      </c>
      <c r="C249" t="s">
        <v>893</v>
      </c>
      <c r="D249" s="4">
        <v>46156</v>
      </c>
      <c r="E249" t="s">
        <v>3</v>
      </c>
      <c r="F249" t="s">
        <v>52</v>
      </c>
      <c r="G249" t="s">
        <v>200</v>
      </c>
      <c r="H249" t="s">
        <v>68</v>
      </c>
      <c r="I249" t="s">
        <v>29</v>
      </c>
      <c r="J249" t="s">
        <v>352</v>
      </c>
      <c r="K249" t="s">
        <v>894</v>
      </c>
      <c r="M249" t="s">
        <v>895</v>
      </c>
    </row>
    <row r="250" spans="1:13">
      <c r="A250" s="4">
        <v>46156</v>
      </c>
      <c r="B250" t="s">
        <v>350</v>
      </c>
      <c r="C250" t="s">
        <v>896</v>
      </c>
      <c r="D250" s="4">
        <v>46156</v>
      </c>
      <c r="E250" t="s">
        <v>4</v>
      </c>
      <c r="F250" t="s">
        <v>52</v>
      </c>
      <c r="G250" t="s">
        <v>161</v>
      </c>
      <c r="H250" t="s">
        <v>54</v>
      </c>
      <c r="I250" t="s">
        <v>29</v>
      </c>
      <c r="J250" t="s">
        <v>352</v>
      </c>
      <c r="K250" t="s">
        <v>894</v>
      </c>
      <c r="M250" t="s">
        <v>897</v>
      </c>
    </row>
    <row r="251" spans="1:13">
      <c r="A251" s="4">
        <v>46156</v>
      </c>
      <c r="B251" t="s">
        <v>350</v>
      </c>
      <c r="C251" t="s">
        <v>898</v>
      </c>
      <c r="D251" s="4">
        <v>46156</v>
      </c>
      <c r="E251" t="s">
        <v>4</v>
      </c>
      <c r="F251" t="s">
        <v>52</v>
      </c>
      <c r="G251" t="s">
        <v>169</v>
      </c>
      <c r="H251" t="s">
        <v>68</v>
      </c>
      <c r="I251" t="s">
        <v>13</v>
      </c>
      <c r="J251" t="s">
        <v>352</v>
      </c>
      <c r="K251" t="s">
        <v>894</v>
      </c>
      <c r="M251" t="s">
        <v>899</v>
      </c>
    </row>
    <row r="252" spans="1:13">
      <c r="A252" s="4">
        <v>46156</v>
      </c>
      <c r="B252" t="s">
        <v>350</v>
      </c>
      <c r="C252" t="s">
        <v>900</v>
      </c>
      <c r="D252" s="4">
        <v>46156</v>
      </c>
      <c r="E252" t="s">
        <v>3</v>
      </c>
      <c r="F252" t="s">
        <v>52</v>
      </c>
      <c r="G252" t="s">
        <v>126</v>
      </c>
      <c r="H252" t="s">
        <v>68</v>
      </c>
      <c r="I252" t="s">
        <v>29</v>
      </c>
      <c r="J252" t="s">
        <v>352</v>
      </c>
      <c r="K252" t="s">
        <v>511</v>
      </c>
      <c r="M252" t="s">
        <v>901</v>
      </c>
    </row>
    <row r="253" spans="1:13">
      <c r="A253" s="4">
        <v>46156</v>
      </c>
      <c r="B253" t="s">
        <v>350</v>
      </c>
      <c r="C253" t="s">
        <v>902</v>
      </c>
      <c r="D253" s="4">
        <v>46156</v>
      </c>
      <c r="E253" t="s">
        <v>5</v>
      </c>
      <c r="F253" t="s">
        <v>52</v>
      </c>
      <c r="G253" t="s">
        <v>120</v>
      </c>
      <c r="H253" t="s">
        <v>54</v>
      </c>
      <c r="I253" t="s">
        <v>29</v>
      </c>
      <c r="J253" t="s">
        <v>844</v>
      </c>
      <c r="K253" t="s">
        <v>511</v>
      </c>
      <c r="M253" t="s">
        <v>903</v>
      </c>
    </row>
    <row r="254" spans="1:13">
      <c r="A254" s="4">
        <v>46156</v>
      </c>
      <c r="B254" t="s">
        <v>350</v>
      </c>
      <c r="C254" t="s">
        <v>904</v>
      </c>
      <c r="D254" s="4">
        <v>46153</v>
      </c>
      <c r="E254" t="s">
        <v>5</v>
      </c>
      <c r="F254" t="s">
        <v>52</v>
      </c>
      <c r="G254" t="s">
        <v>193</v>
      </c>
      <c r="H254" t="s">
        <v>70</v>
      </c>
      <c r="I254" t="s">
        <v>29</v>
      </c>
      <c r="J254" t="s">
        <v>352</v>
      </c>
      <c r="K254" t="s">
        <v>447</v>
      </c>
      <c r="M254" t="s">
        <v>905</v>
      </c>
    </row>
    <row r="255" spans="1:13">
      <c r="A255" s="4">
        <v>46157</v>
      </c>
      <c r="B255" t="s">
        <v>350</v>
      </c>
      <c r="C255" t="s">
        <v>906</v>
      </c>
      <c r="D255" s="4">
        <v>46154</v>
      </c>
      <c r="E255" t="s">
        <v>5</v>
      </c>
      <c r="F255" t="s">
        <v>52</v>
      </c>
      <c r="G255" t="s">
        <v>274</v>
      </c>
      <c r="H255" t="s">
        <v>54</v>
      </c>
      <c r="I255" t="s">
        <v>13</v>
      </c>
      <c r="J255" t="s">
        <v>352</v>
      </c>
      <c r="K255" t="s">
        <v>368</v>
      </c>
      <c r="M255" t="s">
        <v>907</v>
      </c>
    </row>
    <row r="256" spans="1:13">
      <c r="A256" s="4">
        <v>46157</v>
      </c>
      <c r="B256" t="s">
        <v>350</v>
      </c>
      <c r="C256" t="s">
        <v>908</v>
      </c>
      <c r="D256" s="4">
        <v>46157</v>
      </c>
      <c r="E256" t="s">
        <v>3</v>
      </c>
      <c r="F256" t="s">
        <v>52</v>
      </c>
      <c r="G256" t="s">
        <v>314</v>
      </c>
      <c r="H256" t="s">
        <v>68</v>
      </c>
      <c r="I256" t="s">
        <v>29</v>
      </c>
      <c r="J256" t="s">
        <v>352</v>
      </c>
      <c r="K256" t="s">
        <v>640</v>
      </c>
      <c r="M256" t="s">
        <v>909</v>
      </c>
    </row>
    <row r="257" spans="1:13">
      <c r="A257" s="4">
        <v>46157</v>
      </c>
      <c r="B257" t="s">
        <v>350</v>
      </c>
      <c r="C257" t="s">
        <v>910</v>
      </c>
      <c r="D257" s="4">
        <v>46157</v>
      </c>
      <c r="E257" t="s">
        <v>5</v>
      </c>
      <c r="F257" t="s">
        <v>52</v>
      </c>
      <c r="G257" t="s">
        <v>220</v>
      </c>
      <c r="H257" t="s">
        <v>70</v>
      </c>
      <c r="I257" t="s">
        <v>13</v>
      </c>
      <c r="J257" t="s">
        <v>352</v>
      </c>
      <c r="K257" t="s">
        <v>391</v>
      </c>
      <c r="M257" t="s">
        <v>911</v>
      </c>
    </row>
    <row r="258" spans="1:13">
      <c r="A258" s="4">
        <v>46157</v>
      </c>
      <c r="B258" t="s">
        <v>350</v>
      </c>
      <c r="C258" t="s">
        <v>912</v>
      </c>
      <c r="D258" s="4">
        <v>46156</v>
      </c>
      <c r="E258" t="s">
        <v>5</v>
      </c>
      <c r="F258" t="s">
        <v>52</v>
      </c>
      <c r="G258" t="s">
        <v>222</v>
      </c>
      <c r="H258" t="s">
        <v>68</v>
      </c>
      <c r="I258" t="s">
        <v>13</v>
      </c>
      <c r="J258" t="s">
        <v>352</v>
      </c>
      <c r="K258" t="s">
        <v>540</v>
      </c>
      <c r="M258" t="s">
        <v>913</v>
      </c>
    </row>
    <row r="259" spans="1:13">
      <c r="A259" s="4">
        <v>46157</v>
      </c>
      <c r="B259" t="s">
        <v>350</v>
      </c>
      <c r="C259" t="s">
        <v>914</v>
      </c>
      <c r="D259" s="4">
        <v>46154</v>
      </c>
      <c r="E259" t="s">
        <v>6</v>
      </c>
      <c r="F259" t="s">
        <v>52</v>
      </c>
      <c r="G259" t="s">
        <v>318</v>
      </c>
      <c r="H259" t="s">
        <v>70</v>
      </c>
      <c r="I259" t="s">
        <v>13</v>
      </c>
      <c r="J259" t="s">
        <v>352</v>
      </c>
      <c r="K259" t="s">
        <v>394</v>
      </c>
      <c r="M259" t="s">
        <v>915</v>
      </c>
    </row>
    <row r="260" spans="1:13">
      <c r="A260" s="4">
        <v>46157</v>
      </c>
      <c r="B260" t="s">
        <v>350</v>
      </c>
      <c r="C260" t="s">
        <v>916</v>
      </c>
      <c r="D260" s="4">
        <v>46154</v>
      </c>
      <c r="E260" t="s">
        <v>6</v>
      </c>
      <c r="F260" t="s">
        <v>52</v>
      </c>
      <c r="G260" t="s">
        <v>319</v>
      </c>
      <c r="H260" t="s">
        <v>70</v>
      </c>
      <c r="I260" t="s">
        <v>55</v>
      </c>
      <c r="J260" t="s">
        <v>352</v>
      </c>
      <c r="K260" t="s">
        <v>394</v>
      </c>
      <c r="M260" t="s">
        <v>917</v>
      </c>
    </row>
    <row r="261" spans="1:13">
      <c r="A261" s="4">
        <v>46157</v>
      </c>
      <c r="B261" t="s">
        <v>350</v>
      </c>
      <c r="C261" t="s">
        <v>918</v>
      </c>
      <c r="D261" s="4">
        <v>46154</v>
      </c>
      <c r="E261" t="s">
        <v>6</v>
      </c>
      <c r="F261" t="s">
        <v>52</v>
      </c>
      <c r="G261" t="s">
        <v>329</v>
      </c>
      <c r="H261" t="s">
        <v>70</v>
      </c>
      <c r="I261" t="s">
        <v>13</v>
      </c>
      <c r="J261" t="s">
        <v>352</v>
      </c>
      <c r="K261" t="s">
        <v>394</v>
      </c>
      <c r="M261" t="s">
        <v>919</v>
      </c>
    </row>
    <row r="262" spans="1:13">
      <c r="A262" s="4">
        <v>46157</v>
      </c>
      <c r="B262" t="s">
        <v>350</v>
      </c>
      <c r="C262" t="s">
        <v>920</v>
      </c>
      <c r="D262" s="4">
        <v>46157</v>
      </c>
      <c r="E262" t="s">
        <v>3</v>
      </c>
      <c r="F262" t="s">
        <v>10</v>
      </c>
      <c r="G262" t="s">
        <v>45</v>
      </c>
      <c r="H262" t="s">
        <v>12</v>
      </c>
      <c r="I262" t="s">
        <v>13</v>
      </c>
      <c r="J262" t="s">
        <v>352</v>
      </c>
      <c r="K262" t="s">
        <v>394</v>
      </c>
      <c r="M262" t="s">
        <v>921</v>
      </c>
    </row>
    <row r="263" spans="1:13">
      <c r="A263" s="4">
        <v>46157</v>
      </c>
      <c r="B263" t="s">
        <v>350</v>
      </c>
      <c r="C263" t="s">
        <v>922</v>
      </c>
      <c r="D263" s="4">
        <v>46156</v>
      </c>
      <c r="E263" t="s">
        <v>3</v>
      </c>
      <c r="F263" t="s">
        <v>52</v>
      </c>
      <c r="G263" t="s">
        <v>316</v>
      </c>
      <c r="H263" t="s">
        <v>68</v>
      </c>
      <c r="I263" t="s">
        <v>29</v>
      </c>
      <c r="J263" t="s">
        <v>352</v>
      </c>
      <c r="K263" t="s">
        <v>394</v>
      </c>
      <c r="M263" t="s">
        <v>923</v>
      </c>
    </row>
    <row r="264" spans="1:13">
      <c r="A264" s="4">
        <v>46157</v>
      </c>
      <c r="B264" t="s">
        <v>350</v>
      </c>
      <c r="C264" t="s">
        <v>924</v>
      </c>
      <c r="D264" s="4">
        <v>46157</v>
      </c>
      <c r="E264" t="s">
        <v>3</v>
      </c>
      <c r="F264" t="s">
        <v>52</v>
      </c>
      <c r="G264" t="s">
        <v>311</v>
      </c>
      <c r="H264" t="s">
        <v>68</v>
      </c>
      <c r="I264" t="s">
        <v>13</v>
      </c>
      <c r="J264" t="s">
        <v>352</v>
      </c>
      <c r="K264" t="s">
        <v>394</v>
      </c>
      <c r="M264" t="s">
        <v>925</v>
      </c>
    </row>
    <row r="265" spans="1:13">
      <c r="A265" s="4">
        <v>46157</v>
      </c>
      <c r="B265" t="s">
        <v>350</v>
      </c>
      <c r="C265" t="s">
        <v>926</v>
      </c>
      <c r="D265" s="4">
        <v>46157</v>
      </c>
      <c r="E265" t="s">
        <v>3</v>
      </c>
      <c r="F265" t="s">
        <v>52</v>
      </c>
      <c r="G265" t="s">
        <v>311</v>
      </c>
      <c r="H265" t="s">
        <v>68</v>
      </c>
      <c r="I265" t="s">
        <v>13</v>
      </c>
      <c r="J265" t="s">
        <v>352</v>
      </c>
      <c r="K265" t="s">
        <v>394</v>
      </c>
      <c r="M265" t="s">
        <v>927</v>
      </c>
    </row>
    <row r="266" spans="1:13">
      <c r="A266" s="4">
        <v>46157</v>
      </c>
      <c r="B266" t="s">
        <v>350</v>
      </c>
      <c r="C266" t="s">
        <v>928</v>
      </c>
      <c r="D266" s="4">
        <v>46157</v>
      </c>
      <c r="E266" t="s">
        <v>3</v>
      </c>
      <c r="F266" t="s">
        <v>10</v>
      </c>
      <c r="G266" t="s">
        <v>41</v>
      </c>
      <c r="H266" t="s">
        <v>20</v>
      </c>
      <c r="I266" t="s">
        <v>13</v>
      </c>
      <c r="J266" t="s">
        <v>352</v>
      </c>
      <c r="K266" t="s">
        <v>394</v>
      </c>
      <c r="M266" t="s">
        <v>929</v>
      </c>
    </row>
    <row r="267" spans="1:13">
      <c r="A267" s="4">
        <v>46157</v>
      </c>
      <c r="B267" t="s">
        <v>350</v>
      </c>
      <c r="C267" t="s">
        <v>930</v>
      </c>
      <c r="D267" s="4">
        <v>46157</v>
      </c>
      <c r="E267" t="s">
        <v>3</v>
      </c>
      <c r="F267" t="s">
        <v>52</v>
      </c>
      <c r="G267" t="s">
        <v>331</v>
      </c>
      <c r="H267" t="s">
        <v>54</v>
      </c>
      <c r="I267" t="s">
        <v>13</v>
      </c>
      <c r="J267" t="s">
        <v>352</v>
      </c>
      <c r="K267" t="s">
        <v>394</v>
      </c>
      <c r="M267" t="s">
        <v>931</v>
      </c>
    </row>
    <row r="268" spans="1:13">
      <c r="A268" s="4">
        <v>46157</v>
      </c>
      <c r="B268" t="s">
        <v>350</v>
      </c>
      <c r="C268" t="s">
        <v>932</v>
      </c>
      <c r="D268" s="4">
        <v>46157</v>
      </c>
      <c r="E268" t="s">
        <v>3</v>
      </c>
      <c r="F268" t="s">
        <v>52</v>
      </c>
      <c r="G268" t="s">
        <v>315</v>
      </c>
      <c r="H268" t="s">
        <v>68</v>
      </c>
      <c r="I268" t="s">
        <v>29</v>
      </c>
      <c r="J268" t="s">
        <v>352</v>
      </c>
      <c r="K268" t="s">
        <v>394</v>
      </c>
      <c r="M268" t="s">
        <v>933</v>
      </c>
    </row>
    <row r="269" spans="1:13">
      <c r="A269" s="4">
        <v>46157</v>
      </c>
      <c r="B269" t="s">
        <v>350</v>
      </c>
      <c r="C269" t="s">
        <v>934</v>
      </c>
      <c r="D269" s="4">
        <v>46157</v>
      </c>
      <c r="E269" t="s">
        <v>3</v>
      </c>
      <c r="F269" t="s">
        <v>52</v>
      </c>
      <c r="G269" t="s">
        <v>315</v>
      </c>
      <c r="H269" t="s">
        <v>68</v>
      </c>
      <c r="I269" t="s">
        <v>29</v>
      </c>
      <c r="J269" t="s">
        <v>352</v>
      </c>
      <c r="K269" t="s">
        <v>394</v>
      </c>
      <c r="M269" t="s">
        <v>935</v>
      </c>
    </row>
    <row r="270" spans="1:13">
      <c r="A270" s="4">
        <v>46157</v>
      </c>
      <c r="B270" t="s">
        <v>350</v>
      </c>
      <c r="C270" t="s">
        <v>936</v>
      </c>
      <c r="D270" s="4">
        <v>46157</v>
      </c>
      <c r="E270" t="s">
        <v>3</v>
      </c>
      <c r="F270" t="s">
        <v>52</v>
      </c>
      <c r="G270" t="s">
        <v>316</v>
      </c>
      <c r="H270" t="s">
        <v>68</v>
      </c>
      <c r="I270" t="s">
        <v>29</v>
      </c>
      <c r="J270" t="s">
        <v>352</v>
      </c>
      <c r="K270" t="s">
        <v>394</v>
      </c>
      <c r="M270" t="s">
        <v>937</v>
      </c>
    </row>
    <row r="271" spans="1:13">
      <c r="A271" s="4">
        <v>46157</v>
      </c>
      <c r="B271" t="s">
        <v>350</v>
      </c>
      <c r="C271" t="s">
        <v>938</v>
      </c>
      <c r="D271" s="4">
        <v>46157</v>
      </c>
      <c r="E271" t="s">
        <v>3</v>
      </c>
      <c r="F271" t="s">
        <v>52</v>
      </c>
      <c r="G271" t="s">
        <v>311</v>
      </c>
      <c r="H271" t="s">
        <v>68</v>
      </c>
      <c r="I271" t="s">
        <v>13</v>
      </c>
      <c r="J271" t="s">
        <v>352</v>
      </c>
      <c r="K271" t="s">
        <v>394</v>
      </c>
      <c r="M271" t="s">
        <v>939</v>
      </c>
    </row>
    <row r="272" spans="1:13">
      <c r="A272" s="4">
        <v>46157</v>
      </c>
      <c r="B272" t="s">
        <v>350</v>
      </c>
      <c r="C272" t="s">
        <v>940</v>
      </c>
      <c r="D272" s="4">
        <v>46157</v>
      </c>
      <c r="E272" t="s">
        <v>3</v>
      </c>
      <c r="F272" t="s">
        <v>52</v>
      </c>
      <c r="G272" t="s">
        <v>318</v>
      </c>
      <c r="H272" t="s">
        <v>68</v>
      </c>
      <c r="I272" t="s">
        <v>13</v>
      </c>
      <c r="J272" t="s">
        <v>352</v>
      </c>
      <c r="K272" t="s">
        <v>394</v>
      </c>
      <c r="M272" t="s">
        <v>941</v>
      </c>
    </row>
    <row r="273" spans="1:13">
      <c r="A273" s="4">
        <v>46157</v>
      </c>
      <c r="B273" t="s">
        <v>350</v>
      </c>
      <c r="C273" t="s">
        <v>942</v>
      </c>
      <c r="D273" s="4">
        <v>46157</v>
      </c>
      <c r="E273" t="s">
        <v>3</v>
      </c>
      <c r="F273" t="s">
        <v>52</v>
      </c>
      <c r="G273" t="s">
        <v>104</v>
      </c>
      <c r="H273" t="s">
        <v>54</v>
      </c>
      <c r="I273" t="s">
        <v>29</v>
      </c>
      <c r="J273" t="s">
        <v>352</v>
      </c>
      <c r="K273" t="s">
        <v>394</v>
      </c>
      <c r="M273" t="s">
        <v>943</v>
      </c>
    </row>
    <row r="274" spans="1:13">
      <c r="A274" s="4">
        <v>46157</v>
      </c>
      <c r="B274" t="s">
        <v>350</v>
      </c>
      <c r="C274" t="s">
        <v>944</v>
      </c>
      <c r="D274" s="4">
        <v>46157</v>
      </c>
      <c r="E274" t="s">
        <v>3</v>
      </c>
      <c r="F274" t="s">
        <v>52</v>
      </c>
      <c r="G274" t="s">
        <v>311</v>
      </c>
      <c r="H274" t="s">
        <v>68</v>
      </c>
      <c r="I274" t="s">
        <v>13</v>
      </c>
      <c r="J274" t="s">
        <v>352</v>
      </c>
      <c r="K274" t="s">
        <v>394</v>
      </c>
      <c r="M274" t="s">
        <v>945</v>
      </c>
    </row>
    <row r="275" spans="1:13">
      <c r="A275" s="4">
        <v>46157</v>
      </c>
      <c r="B275" t="s">
        <v>350</v>
      </c>
      <c r="C275" t="s">
        <v>946</v>
      </c>
      <c r="D275" s="4">
        <v>46157</v>
      </c>
      <c r="E275" t="s">
        <v>3</v>
      </c>
      <c r="F275" t="s">
        <v>52</v>
      </c>
      <c r="G275" t="s">
        <v>311</v>
      </c>
      <c r="H275" t="s">
        <v>68</v>
      </c>
      <c r="I275" t="s">
        <v>13</v>
      </c>
      <c r="J275" t="s">
        <v>352</v>
      </c>
      <c r="K275" t="s">
        <v>394</v>
      </c>
      <c r="M275" t="s">
        <v>947</v>
      </c>
    </row>
    <row r="276" spans="1:13">
      <c r="A276" s="4">
        <v>46157</v>
      </c>
      <c r="B276" t="s">
        <v>350</v>
      </c>
      <c r="C276" t="s">
        <v>948</v>
      </c>
      <c r="D276" s="4">
        <v>46157</v>
      </c>
      <c r="E276" t="s">
        <v>3</v>
      </c>
      <c r="F276" t="s">
        <v>52</v>
      </c>
      <c r="G276" t="s">
        <v>306</v>
      </c>
      <c r="H276" t="s">
        <v>68</v>
      </c>
      <c r="I276" t="s">
        <v>13</v>
      </c>
      <c r="J276" t="s">
        <v>352</v>
      </c>
      <c r="K276" t="s">
        <v>405</v>
      </c>
      <c r="M276" t="s">
        <v>949</v>
      </c>
    </row>
    <row r="277" spans="1:13">
      <c r="A277" s="4">
        <v>46157</v>
      </c>
      <c r="B277" t="s">
        <v>350</v>
      </c>
      <c r="C277" t="s">
        <v>950</v>
      </c>
      <c r="D277" s="4">
        <v>46157</v>
      </c>
      <c r="E277" t="s">
        <v>3</v>
      </c>
      <c r="F277" t="s">
        <v>52</v>
      </c>
      <c r="G277" t="s">
        <v>139</v>
      </c>
      <c r="H277" t="s">
        <v>68</v>
      </c>
      <c r="I277" t="s">
        <v>13</v>
      </c>
      <c r="J277" t="s">
        <v>352</v>
      </c>
      <c r="K277" t="s">
        <v>405</v>
      </c>
      <c r="M277" t="s">
        <v>951</v>
      </c>
    </row>
    <row r="278" spans="1:13">
      <c r="A278" s="4">
        <v>46157</v>
      </c>
      <c r="B278" t="s">
        <v>350</v>
      </c>
      <c r="C278" t="s">
        <v>952</v>
      </c>
      <c r="D278" s="4">
        <v>46157</v>
      </c>
      <c r="E278" t="s">
        <v>3</v>
      </c>
      <c r="F278" t="s">
        <v>52</v>
      </c>
      <c r="G278" t="s">
        <v>136</v>
      </c>
      <c r="H278" t="s">
        <v>68</v>
      </c>
      <c r="I278" t="s">
        <v>13</v>
      </c>
      <c r="J278" t="s">
        <v>352</v>
      </c>
      <c r="K278" t="s">
        <v>405</v>
      </c>
      <c r="M278" t="s">
        <v>953</v>
      </c>
    </row>
    <row r="279" spans="1:13">
      <c r="A279" s="4">
        <v>46157</v>
      </c>
      <c r="B279" t="s">
        <v>350</v>
      </c>
      <c r="C279" t="s">
        <v>954</v>
      </c>
      <c r="D279" s="4">
        <v>46100</v>
      </c>
      <c r="E279" t="s">
        <v>6</v>
      </c>
      <c r="F279" t="s">
        <v>10</v>
      </c>
      <c r="G279" t="s">
        <v>23</v>
      </c>
      <c r="H279" t="s">
        <v>15</v>
      </c>
      <c r="I279" t="s">
        <v>13</v>
      </c>
      <c r="J279" t="s">
        <v>352</v>
      </c>
      <c r="K279" t="s">
        <v>675</v>
      </c>
      <c r="M279" t="s">
        <v>955</v>
      </c>
    </row>
    <row r="280" spans="1:13">
      <c r="A280" s="4">
        <v>46157</v>
      </c>
      <c r="B280" t="s">
        <v>350</v>
      </c>
      <c r="C280" t="s">
        <v>956</v>
      </c>
      <c r="D280" s="4">
        <v>46125</v>
      </c>
      <c r="E280" t="s">
        <v>6</v>
      </c>
      <c r="F280" t="s">
        <v>10</v>
      </c>
      <c r="G280" t="s">
        <v>23</v>
      </c>
      <c r="H280" t="s">
        <v>12</v>
      </c>
      <c r="I280" t="s">
        <v>13</v>
      </c>
      <c r="J280" t="s">
        <v>352</v>
      </c>
      <c r="K280" t="s">
        <v>675</v>
      </c>
      <c r="M280" t="s">
        <v>957</v>
      </c>
    </row>
    <row r="281" spans="1:13">
      <c r="A281" s="4">
        <v>46157</v>
      </c>
      <c r="B281" t="s">
        <v>350</v>
      </c>
      <c r="C281" t="s">
        <v>958</v>
      </c>
      <c r="D281" s="4">
        <v>46154</v>
      </c>
      <c r="E281" t="s">
        <v>5</v>
      </c>
      <c r="F281" t="s">
        <v>52</v>
      </c>
      <c r="G281" t="s">
        <v>221</v>
      </c>
      <c r="H281" t="s">
        <v>68</v>
      </c>
      <c r="I281" t="s">
        <v>13</v>
      </c>
      <c r="J281" t="s">
        <v>352</v>
      </c>
      <c r="K281" t="s">
        <v>746</v>
      </c>
      <c r="M281" t="s">
        <v>959</v>
      </c>
    </row>
    <row r="282" spans="1:13">
      <c r="A282" s="4">
        <v>46157</v>
      </c>
      <c r="B282" t="s">
        <v>350</v>
      </c>
      <c r="C282" t="s">
        <v>960</v>
      </c>
      <c r="D282" s="4">
        <v>46156</v>
      </c>
      <c r="E282" t="s">
        <v>5</v>
      </c>
      <c r="F282" t="s">
        <v>52</v>
      </c>
      <c r="G282" t="s">
        <v>220</v>
      </c>
      <c r="H282" t="s">
        <v>68</v>
      </c>
      <c r="I282" t="s">
        <v>13</v>
      </c>
      <c r="J282" t="s">
        <v>352</v>
      </c>
      <c r="K282" t="s">
        <v>746</v>
      </c>
      <c r="M282" t="s">
        <v>961</v>
      </c>
    </row>
    <row r="283" spans="1:13">
      <c r="A283" s="4">
        <v>46157</v>
      </c>
      <c r="B283" t="s">
        <v>350</v>
      </c>
      <c r="C283" t="s">
        <v>962</v>
      </c>
      <c r="D283" s="4">
        <v>46139</v>
      </c>
      <c r="E283" t="s">
        <v>6</v>
      </c>
      <c r="F283" t="s">
        <v>10</v>
      </c>
      <c r="G283" t="s">
        <v>14</v>
      </c>
      <c r="H283" t="s">
        <v>15</v>
      </c>
      <c r="I283" t="s">
        <v>13</v>
      </c>
      <c r="J283" t="s">
        <v>352</v>
      </c>
      <c r="K283" t="s">
        <v>422</v>
      </c>
      <c r="M283" t="s">
        <v>963</v>
      </c>
    </row>
    <row r="284" spans="1:13">
      <c r="A284" s="4">
        <v>46157</v>
      </c>
      <c r="B284" t="s">
        <v>350</v>
      </c>
      <c r="C284" t="s">
        <v>964</v>
      </c>
      <c r="D284" s="4">
        <v>46157</v>
      </c>
      <c r="E284" t="s">
        <v>3</v>
      </c>
      <c r="F284" t="s">
        <v>52</v>
      </c>
      <c r="G284" t="s">
        <v>109</v>
      </c>
      <c r="H284" t="s">
        <v>68</v>
      </c>
      <c r="I284" t="s">
        <v>29</v>
      </c>
      <c r="J284" t="s">
        <v>352</v>
      </c>
      <c r="K284" t="s">
        <v>422</v>
      </c>
      <c r="M284" t="s">
        <v>965</v>
      </c>
    </row>
    <row r="285" spans="1:13">
      <c r="A285" s="4">
        <v>46157</v>
      </c>
      <c r="B285" t="s">
        <v>350</v>
      </c>
      <c r="C285" t="s">
        <v>966</v>
      </c>
      <c r="D285" s="4">
        <v>46157</v>
      </c>
      <c r="E285" t="s">
        <v>3</v>
      </c>
      <c r="F285" t="s">
        <v>52</v>
      </c>
      <c r="G285" t="s">
        <v>178</v>
      </c>
      <c r="H285" t="s">
        <v>68</v>
      </c>
      <c r="I285" t="s">
        <v>13</v>
      </c>
      <c r="J285" t="s">
        <v>352</v>
      </c>
      <c r="K285" t="s">
        <v>402</v>
      </c>
      <c r="M285" t="s">
        <v>967</v>
      </c>
    </row>
    <row r="286" spans="1:13">
      <c r="A286" s="4">
        <v>46157</v>
      </c>
      <c r="B286" t="s">
        <v>350</v>
      </c>
      <c r="C286" t="s">
        <v>968</v>
      </c>
      <c r="D286" s="4">
        <v>46157</v>
      </c>
      <c r="E286" t="s">
        <v>3</v>
      </c>
      <c r="F286" t="s">
        <v>52</v>
      </c>
      <c r="G286" t="s">
        <v>168</v>
      </c>
      <c r="H286" t="s">
        <v>68</v>
      </c>
      <c r="I286" t="s">
        <v>13</v>
      </c>
      <c r="J286" t="s">
        <v>352</v>
      </c>
      <c r="K286" t="s">
        <v>435</v>
      </c>
      <c r="M286" t="s">
        <v>969</v>
      </c>
    </row>
    <row r="287" spans="1:13">
      <c r="A287" s="4">
        <v>46157</v>
      </c>
      <c r="B287" t="s">
        <v>350</v>
      </c>
      <c r="C287" t="s">
        <v>970</v>
      </c>
      <c r="D287" s="4">
        <v>46157</v>
      </c>
      <c r="E287" t="s">
        <v>3</v>
      </c>
      <c r="F287" t="s">
        <v>52</v>
      </c>
      <c r="G287" t="s">
        <v>153</v>
      </c>
      <c r="H287" t="s">
        <v>54</v>
      </c>
      <c r="I287" t="s">
        <v>13</v>
      </c>
      <c r="J287" t="s">
        <v>352</v>
      </c>
      <c r="K287" t="s">
        <v>435</v>
      </c>
      <c r="M287" t="s">
        <v>971</v>
      </c>
    </row>
    <row r="288" spans="1:13">
      <c r="A288" s="4">
        <v>46157</v>
      </c>
      <c r="B288" t="s">
        <v>350</v>
      </c>
      <c r="C288" t="s">
        <v>972</v>
      </c>
      <c r="D288" s="4">
        <v>46157</v>
      </c>
      <c r="E288" t="s">
        <v>3</v>
      </c>
      <c r="F288" t="s">
        <v>52</v>
      </c>
      <c r="G288" t="s">
        <v>124</v>
      </c>
      <c r="H288" t="s">
        <v>68</v>
      </c>
      <c r="I288" t="s">
        <v>13</v>
      </c>
      <c r="J288" t="s">
        <v>352</v>
      </c>
      <c r="K288" t="s">
        <v>973</v>
      </c>
      <c r="M288" t="s">
        <v>974</v>
      </c>
    </row>
    <row r="289" spans="1:13">
      <c r="A289" s="4">
        <v>46157</v>
      </c>
      <c r="B289" t="s">
        <v>350</v>
      </c>
      <c r="C289" t="s">
        <v>975</v>
      </c>
      <c r="D289" s="4">
        <v>46156</v>
      </c>
      <c r="E289" t="s">
        <v>5</v>
      </c>
      <c r="F289" t="s">
        <v>52</v>
      </c>
      <c r="G289" t="s">
        <v>131</v>
      </c>
      <c r="H289" t="s">
        <v>70</v>
      </c>
      <c r="I289" t="s">
        <v>13</v>
      </c>
      <c r="J289" t="s">
        <v>352</v>
      </c>
      <c r="K289" t="s">
        <v>976</v>
      </c>
      <c r="M289" t="s">
        <v>977</v>
      </c>
    </row>
    <row r="290" spans="1:13">
      <c r="A290" s="4">
        <v>46157</v>
      </c>
      <c r="B290" t="s">
        <v>350</v>
      </c>
      <c r="C290" t="s">
        <v>978</v>
      </c>
      <c r="D290" s="4">
        <v>46156</v>
      </c>
      <c r="E290" t="s">
        <v>5</v>
      </c>
      <c r="F290" t="s">
        <v>52</v>
      </c>
      <c r="G290" t="s">
        <v>132</v>
      </c>
      <c r="H290" t="s">
        <v>70</v>
      </c>
      <c r="I290" t="s">
        <v>13</v>
      </c>
      <c r="J290" t="s">
        <v>352</v>
      </c>
      <c r="K290" t="s">
        <v>511</v>
      </c>
      <c r="M290" t="s">
        <v>979</v>
      </c>
    </row>
    <row r="291" spans="1:13">
      <c r="A291" s="4">
        <v>46157</v>
      </c>
      <c r="B291" t="s">
        <v>350</v>
      </c>
      <c r="C291" t="s">
        <v>980</v>
      </c>
      <c r="D291" s="4">
        <v>46141</v>
      </c>
      <c r="E291" t="s">
        <v>6</v>
      </c>
      <c r="F291" t="s">
        <v>10</v>
      </c>
      <c r="G291" t="s">
        <v>32</v>
      </c>
      <c r="H291" t="s">
        <v>12</v>
      </c>
      <c r="I291" t="s">
        <v>13</v>
      </c>
      <c r="J291" t="s">
        <v>352</v>
      </c>
      <c r="K291" t="s">
        <v>452</v>
      </c>
      <c r="M291" t="s">
        <v>981</v>
      </c>
    </row>
    <row r="292" spans="1:13">
      <c r="A292" s="4">
        <v>46157</v>
      </c>
      <c r="B292" t="s">
        <v>350</v>
      </c>
      <c r="C292" t="s">
        <v>982</v>
      </c>
      <c r="D292" s="4">
        <v>46146</v>
      </c>
      <c r="E292" t="s">
        <v>6</v>
      </c>
      <c r="F292" t="s">
        <v>10</v>
      </c>
      <c r="G292" t="s">
        <v>34</v>
      </c>
      <c r="H292" t="s">
        <v>12</v>
      </c>
      <c r="I292" t="s">
        <v>13</v>
      </c>
      <c r="J292" t="s">
        <v>352</v>
      </c>
      <c r="K292" t="s">
        <v>452</v>
      </c>
      <c r="M292" t="s">
        <v>983</v>
      </c>
    </row>
    <row r="293" spans="1:13">
      <c r="A293" s="4">
        <v>46157</v>
      </c>
      <c r="B293" t="s">
        <v>350</v>
      </c>
      <c r="C293" t="s">
        <v>984</v>
      </c>
      <c r="D293" s="4">
        <v>46156</v>
      </c>
      <c r="E293" t="s">
        <v>4</v>
      </c>
      <c r="F293" t="s">
        <v>10</v>
      </c>
      <c r="G293" t="s">
        <v>26</v>
      </c>
      <c r="H293" t="s">
        <v>20</v>
      </c>
      <c r="I293" t="s">
        <v>13</v>
      </c>
      <c r="J293" t="s">
        <v>352</v>
      </c>
      <c r="K293" t="s">
        <v>452</v>
      </c>
      <c r="M293" t="s">
        <v>985</v>
      </c>
    </row>
    <row r="294" spans="1:13">
      <c r="A294" s="4">
        <v>46157</v>
      </c>
      <c r="B294" t="s">
        <v>350</v>
      </c>
      <c r="C294" t="s">
        <v>986</v>
      </c>
      <c r="D294" s="4">
        <v>46156</v>
      </c>
      <c r="E294" t="s">
        <v>3</v>
      </c>
      <c r="F294" t="s">
        <v>10</v>
      </c>
      <c r="G294" t="s">
        <v>18</v>
      </c>
      <c r="H294" t="s">
        <v>12</v>
      </c>
      <c r="I294" t="s">
        <v>13</v>
      </c>
      <c r="J294" t="s">
        <v>352</v>
      </c>
      <c r="K294" t="s">
        <v>452</v>
      </c>
      <c r="M294" t="s">
        <v>987</v>
      </c>
    </row>
    <row r="295" spans="1:13">
      <c r="A295" s="4">
        <v>46157</v>
      </c>
      <c r="B295" t="s">
        <v>350</v>
      </c>
      <c r="C295" t="s">
        <v>988</v>
      </c>
      <c r="D295" s="4">
        <v>46156</v>
      </c>
      <c r="E295" t="s">
        <v>3</v>
      </c>
      <c r="F295" t="s">
        <v>10</v>
      </c>
      <c r="G295" t="s">
        <v>32</v>
      </c>
      <c r="H295" t="s">
        <v>12</v>
      </c>
      <c r="I295" t="s">
        <v>13</v>
      </c>
      <c r="J295" t="s">
        <v>352</v>
      </c>
      <c r="K295" t="s">
        <v>452</v>
      </c>
      <c r="M295" t="s">
        <v>989</v>
      </c>
    </row>
    <row r="296" spans="1:13">
      <c r="A296" s="4">
        <v>46157</v>
      </c>
      <c r="B296" t="s">
        <v>350</v>
      </c>
      <c r="C296" t="s">
        <v>990</v>
      </c>
      <c r="D296" s="4">
        <v>46156</v>
      </c>
      <c r="E296" t="s">
        <v>3</v>
      </c>
      <c r="F296" t="s">
        <v>10</v>
      </c>
      <c r="G296" t="s">
        <v>33</v>
      </c>
      <c r="H296" t="s">
        <v>20</v>
      </c>
      <c r="I296" t="s">
        <v>13</v>
      </c>
      <c r="J296" t="s">
        <v>352</v>
      </c>
      <c r="K296" t="s">
        <v>452</v>
      </c>
      <c r="M296" t="s">
        <v>991</v>
      </c>
    </row>
    <row r="297" spans="1:13">
      <c r="A297" s="4">
        <v>46158</v>
      </c>
      <c r="B297" t="s">
        <v>350</v>
      </c>
      <c r="C297" t="s">
        <v>992</v>
      </c>
      <c r="D297" s="4">
        <v>46158</v>
      </c>
      <c r="E297" t="s">
        <v>3</v>
      </c>
      <c r="F297" t="s">
        <v>52</v>
      </c>
      <c r="G297" t="s">
        <v>177</v>
      </c>
      <c r="H297" t="s">
        <v>68</v>
      </c>
      <c r="I297" t="s">
        <v>13</v>
      </c>
      <c r="J297" t="s">
        <v>352</v>
      </c>
      <c r="K297" t="s">
        <v>353</v>
      </c>
      <c r="M297" t="s">
        <v>993</v>
      </c>
    </row>
    <row r="298" spans="1:13">
      <c r="A298" s="4">
        <v>46158</v>
      </c>
      <c r="B298" t="s">
        <v>350</v>
      </c>
      <c r="C298" t="s">
        <v>994</v>
      </c>
      <c r="D298" s="4">
        <v>46158</v>
      </c>
      <c r="E298" t="s">
        <v>3</v>
      </c>
      <c r="F298" t="s">
        <v>52</v>
      </c>
      <c r="G298" t="s">
        <v>276</v>
      </c>
      <c r="H298" t="s">
        <v>68</v>
      </c>
      <c r="I298" t="s">
        <v>13</v>
      </c>
      <c r="J298" t="s">
        <v>352</v>
      </c>
      <c r="K298" t="s">
        <v>362</v>
      </c>
      <c r="M298" t="s">
        <v>995</v>
      </c>
    </row>
    <row r="299" spans="1:13">
      <c r="A299" s="4">
        <v>46158</v>
      </c>
      <c r="B299" t="s">
        <v>350</v>
      </c>
      <c r="C299" t="s">
        <v>996</v>
      </c>
      <c r="D299" s="4">
        <v>46158</v>
      </c>
      <c r="E299" t="s">
        <v>3</v>
      </c>
      <c r="F299" t="s">
        <v>52</v>
      </c>
      <c r="G299" t="s">
        <v>168</v>
      </c>
      <c r="H299" t="s">
        <v>68</v>
      </c>
      <c r="I299" t="s">
        <v>13</v>
      </c>
      <c r="J299" t="s">
        <v>352</v>
      </c>
      <c r="K299" t="s">
        <v>997</v>
      </c>
      <c r="M299" t="s">
        <v>998</v>
      </c>
    </row>
    <row r="300" spans="1:13">
      <c r="A300" s="4">
        <v>46158</v>
      </c>
      <c r="B300" t="s">
        <v>350</v>
      </c>
      <c r="C300" t="s">
        <v>999</v>
      </c>
      <c r="D300" s="4">
        <v>46158</v>
      </c>
      <c r="E300" t="s">
        <v>3</v>
      </c>
      <c r="F300" t="s">
        <v>52</v>
      </c>
      <c r="G300" t="s">
        <v>168</v>
      </c>
      <c r="H300" t="s">
        <v>68</v>
      </c>
      <c r="I300" t="s">
        <v>13</v>
      </c>
      <c r="J300" t="s">
        <v>352</v>
      </c>
      <c r="K300" t="s">
        <v>385</v>
      </c>
      <c r="M300" t="s">
        <v>1000</v>
      </c>
    </row>
    <row r="301" spans="1:13">
      <c r="A301" s="4">
        <v>46158</v>
      </c>
      <c r="B301" t="s">
        <v>350</v>
      </c>
      <c r="C301" t="s">
        <v>1001</v>
      </c>
      <c r="D301" s="4">
        <v>46158</v>
      </c>
      <c r="E301" t="s">
        <v>3</v>
      </c>
      <c r="F301" t="s">
        <v>52</v>
      </c>
      <c r="G301" t="s">
        <v>168</v>
      </c>
      <c r="H301" t="s">
        <v>68</v>
      </c>
      <c r="I301" t="s">
        <v>13</v>
      </c>
      <c r="J301" t="s">
        <v>352</v>
      </c>
      <c r="K301" t="s">
        <v>385</v>
      </c>
      <c r="M301" t="s">
        <v>1002</v>
      </c>
    </row>
    <row r="302" spans="1:13">
      <c r="A302" s="4">
        <v>46158</v>
      </c>
      <c r="B302" t="s">
        <v>350</v>
      </c>
      <c r="C302" t="s">
        <v>1003</v>
      </c>
      <c r="D302" s="4">
        <v>46158</v>
      </c>
      <c r="E302" t="s">
        <v>3</v>
      </c>
      <c r="F302" t="s">
        <v>52</v>
      </c>
      <c r="G302" t="s">
        <v>215</v>
      </c>
      <c r="H302" t="s">
        <v>68</v>
      </c>
      <c r="I302" t="s">
        <v>13</v>
      </c>
      <c r="J302" t="s">
        <v>352</v>
      </c>
      <c r="K302" t="s">
        <v>385</v>
      </c>
      <c r="M302" t="s">
        <v>1004</v>
      </c>
    </row>
    <row r="303" spans="1:13">
      <c r="A303" s="4">
        <v>46158</v>
      </c>
      <c r="B303" t="s">
        <v>350</v>
      </c>
      <c r="C303" t="s">
        <v>1005</v>
      </c>
      <c r="D303" s="4">
        <v>46158</v>
      </c>
      <c r="E303" t="s">
        <v>3</v>
      </c>
      <c r="F303" t="s">
        <v>52</v>
      </c>
      <c r="G303" t="s">
        <v>168</v>
      </c>
      <c r="H303" t="s">
        <v>68</v>
      </c>
      <c r="I303" t="s">
        <v>13</v>
      </c>
      <c r="J303" t="s">
        <v>352</v>
      </c>
      <c r="K303" t="s">
        <v>385</v>
      </c>
      <c r="M303" t="s">
        <v>1006</v>
      </c>
    </row>
    <row r="304" spans="1:13">
      <c r="A304" s="4">
        <v>46158</v>
      </c>
      <c r="B304" t="s">
        <v>350</v>
      </c>
      <c r="C304" t="s">
        <v>1007</v>
      </c>
      <c r="D304" s="4">
        <v>46158</v>
      </c>
      <c r="E304" t="s">
        <v>3</v>
      </c>
      <c r="F304" t="s">
        <v>52</v>
      </c>
      <c r="G304" t="s">
        <v>266</v>
      </c>
      <c r="H304" t="s">
        <v>68</v>
      </c>
      <c r="I304" t="s">
        <v>13</v>
      </c>
      <c r="J304" t="s">
        <v>352</v>
      </c>
      <c r="K304" t="s">
        <v>385</v>
      </c>
      <c r="M304" t="s">
        <v>1008</v>
      </c>
    </row>
    <row r="305" spans="1:13">
      <c r="A305" s="4">
        <v>46158</v>
      </c>
      <c r="B305" t="s">
        <v>350</v>
      </c>
      <c r="C305" t="s">
        <v>1009</v>
      </c>
      <c r="D305" s="4">
        <v>46158</v>
      </c>
      <c r="E305" t="s">
        <v>3</v>
      </c>
      <c r="F305" t="s">
        <v>52</v>
      </c>
      <c r="G305" t="s">
        <v>168</v>
      </c>
      <c r="H305" t="s">
        <v>68</v>
      </c>
      <c r="I305" t="s">
        <v>13</v>
      </c>
      <c r="J305" t="s">
        <v>352</v>
      </c>
      <c r="K305" t="s">
        <v>385</v>
      </c>
      <c r="M305" t="s">
        <v>1010</v>
      </c>
    </row>
    <row r="306" spans="1:13">
      <c r="A306" s="4">
        <v>46158</v>
      </c>
      <c r="B306" t="s">
        <v>350</v>
      </c>
      <c r="C306" t="s">
        <v>1011</v>
      </c>
      <c r="D306" s="4">
        <v>46158</v>
      </c>
      <c r="E306" t="s">
        <v>3</v>
      </c>
      <c r="F306" t="s">
        <v>52</v>
      </c>
      <c r="G306" t="s">
        <v>198</v>
      </c>
      <c r="H306" t="s">
        <v>68</v>
      </c>
      <c r="I306" t="s">
        <v>29</v>
      </c>
      <c r="J306" t="s">
        <v>352</v>
      </c>
      <c r="K306" t="s">
        <v>385</v>
      </c>
      <c r="M306" t="s">
        <v>1012</v>
      </c>
    </row>
    <row r="307" spans="1:13">
      <c r="A307" s="4">
        <v>46158</v>
      </c>
      <c r="B307" t="s">
        <v>350</v>
      </c>
      <c r="C307" t="s">
        <v>1013</v>
      </c>
      <c r="D307" s="4">
        <v>46158</v>
      </c>
      <c r="E307" t="s">
        <v>3</v>
      </c>
      <c r="F307" t="s">
        <v>52</v>
      </c>
      <c r="G307" t="s">
        <v>174</v>
      </c>
      <c r="H307" t="s">
        <v>68</v>
      </c>
      <c r="I307" t="s">
        <v>13</v>
      </c>
      <c r="J307" t="s">
        <v>352</v>
      </c>
      <c r="K307" t="s">
        <v>1014</v>
      </c>
      <c r="M307" t="s">
        <v>1015</v>
      </c>
    </row>
    <row r="308" spans="1:13">
      <c r="A308" s="4">
        <v>46158</v>
      </c>
      <c r="B308" t="s">
        <v>350</v>
      </c>
      <c r="C308" t="s">
        <v>1016</v>
      </c>
      <c r="D308" s="4">
        <v>46158</v>
      </c>
      <c r="E308" t="s">
        <v>3</v>
      </c>
      <c r="F308" t="s">
        <v>52</v>
      </c>
      <c r="G308" t="s">
        <v>152</v>
      </c>
      <c r="H308" t="s">
        <v>54</v>
      </c>
      <c r="I308" t="s">
        <v>55</v>
      </c>
      <c r="J308" t="s">
        <v>352</v>
      </c>
      <c r="K308" t="s">
        <v>1017</v>
      </c>
      <c r="M308" t="s">
        <v>1018</v>
      </c>
    </row>
    <row r="309" spans="1:13">
      <c r="A309" s="4">
        <v>46158</v>
      </c>
      <c r="B309" t="s">
        <v>350</v>
      </c>
      <c r="C309" t="s">
        <v>1019</v>
      </c>
      <c r="D309" s="4">
        <v>46158</v>
      </c>
      <c r="E309" t="s">
        <v>3</v>
      </c>
      <c r="F309" t="s">
        <v>52</v>
      </c>
      <c r="G309" t="s">
        <v>122</v>
      </c>
      <c r="H309" t="s">
        <v>68</v>
      </c>
      <c r="I309" t="s">
        <v>119</v>
      </c>
      <c r="J309" t="s">
        <v>352</v>
      </c>
      <c r="K309" t="s">
        <v>540</v>
      </c>
      <c r="M309" t="s">
        <v>1020</v>
      </c>
    </row>
    <row r="310" spans="1:13">
      <c r="A310" s="4">
        <v>46158</v>
      </c>
      <c r="B310" t="s">
        <v>350</v>
      </c>
      <c r="C310" t="s">
        <v>1021</v>
      </c>
      <c r="D310" s="4">
        <v>46158</v>
      </c>
      <c r="E310" t="s">
        <v>3</v>
      </c>
      <c r="F310" t="s">
        <v>52</v>
      </c>
      <c r="G310" t="s">
        <v>173</v>
      </c>
      <c r="H310" t="s">
        <v>68</v>
      </c>
      <c r="I310" t="s">
        <v>13</v>
      </c>
      <c r="J310" t="s">
        <v>352</v>
      </c>
      <c r="K310" t="s">
        <v>540</v>
      </c>
      <c r="M310" t="s">
        <v>1022</v>
      </c>
    </row>
    <row r="311" spans="1:13">
      <c r="A311" s="4">
        <v>46158</v>
      </c>
      <c r="B311" t="s">
        <v>350</v>
      </c>
      <c r="C311" t="s">
        <v>1023</v>
      </c>
      <c r="D311" s="4">
        <v>46158</v>
      </c>
      <c r="E311" t="s">
        <v>3</v>
      </c>
      <c r="F311" t="s">
        <v>52</v>
      </c>
      <c r="G311" t="s">
        <v>173</v>
      </c>
      <c r="H311" t="s">
        <v>68</v>
      </c>
      <c r="I311" t="s">
        <v>13</v>
      </c>
      <c r="J311" t="s">
        <v>352</v>
      </c>
      <c r="K311" t="s">
        <v>540</v>
      </c>
      <c r="M311" t="s">
        <v>1024</v>
      </c>
    </row>
    <row r="312" spans="1:13">
      <c r="A312" s="4">
        <v>46158</v>
      </c>
      <c r="B312" t="s">
        <v>350</v>
      </c>
      <c r="C312" t="s">
        <v>1025</v>
      </c>
      <c r="D312" s="4">
        <v>46158</v>
      </c>
      <c r="E312" t="s">
        <v>3</v>
      </c>
      <c r="F312" t="s">
        <v>52</v>
      </c>
      <c r="G312" t="s">
        <v>65</v>
      </c>
      <c r="H312" t="s">
        <v>54</v>
      </c>
      <c r="I312" t="s">
        <v>13</v>
      </c>
      <c r="J312" t="s">
        <v>352</v>
      </c>
      <c r="K312" t="s">
        <v>540</v>
      </c>
      <c r="M312" t="s">
        <v>1026</v>
      </c>
    </row>
    <row r="313" spans="1:13">
      <c r="A313" s="4">
        <v>46158</v>
      </c>
      <c r="B313" t="s">
        <v>350</v>
      </c>
      <c r="C313" t="s">
        <v>1027</v>
      </c>
      <c r="D313" s="4">
        <v>46158</v>
      </c>
      <c r="E313" t="s">
        <v>3</v>
      </c>
      <c r="F313" t="s">
        <v>52</v>
      </c>
      <c r="G313" t="s">
        <v>168</v>
      </c>
      <c r="H313" t="s">
        <v>68</v>
      </c>
      <c r="I313" t="s">
        <v>13</v>
      </c>
      <c r="J313" t="s">
        <v>352</v>
      </c>
      <c r="K313" t="s">
        <v>1028</v>
      </c>
      <c r="M313" t="s">
        <v>1029</v>
      </c>
    </row>
    <row r="314" spans="1:13">
      <c r="A314" s="4">
        <v>46158</v>
      </c>
      <c r="B314" t="s">
        <v>350</v>
      </c>
      <c r="C314" t="s">
        <v>1030</v>
      </c>
      <c r="D314" s="4">
        <v>46158</v>
      </c>
      <c r="E314" t="s">
        <v>3</v>
      </c>
      <c r="F314" t="s">
        <v>52</v>
      </c>
      <c r="G314" t="s">
        <v>168</v>
      </c>
      <c r="H314" t="s">
        <v>68</v>
      </c>
      <c r="I314" t="s">
        <v>13</v>
      </c>
      <c r="J314" t="s">
        <v>352</v>
      </c>
      <c r="K314" t="s">
        <v>1031</v>
      </c>
      <c r="M314" t="s">
        <v>1032</v>
      </c>
    </row>
    <row r="315" spans="1:13">
      <c r="A315" s="4">
        <v>46158</v>
      </c>
      <c r="B315" t="s">
        <v>350</v>
      </c>
      <c r="C315" t="s">
        <v>1033</v>
      </c>
      <c r="D315" s="4">
        <v>46158</v>
      </c>
      <c r="E315" t="s">
        <v>3</v>
      </c>
      <c r="F315" t="s">
        <v>52</v>
      </c>
      <c r="G315" t="s">
        <v>102</v>
      </c>
      <c r="H315" t="s">
        <v>68</v>
      </c>
      <c r="I315" t="s">
        <v>29</v>
      </c>
      <c r="J315" t="s">
        <v>352</v>
      </c>
      <c r="K315" t="s">
        <v>553</v>
      </c>
      <c r="M315" t="s">
        <v>1034</v>
      </c>
    </row>
    <row r="316" spans="1:13">
      <c r="A316" s="4">
        <v>46158</v>
      </c>
      <c r="B316" t="s">
        <v>350</v>
      </c>
      <c r="C316" t="s">
        <v>1035</v>
      </c>
      <c r="D316" s="4">
        <v>46158</v>
      </c>
      <c r="E316" t="s">
        <v>3</v>
      </c>
      <c r="F316" t="s">
        <v>52</v>
      </c>
      <c r="G316" t="s">
        <v>83</v>
      </c>
      <c r="H316" t="s">
        <v>54</v>
      </c>
      <c r="I316" t="s">
        <v>13</v>
      </c>
      <c r="J316" t="s">
        <v>352</v>
      </c>
      <c r="K316" t="s">
        <v>502</v>
      </c>
      <c r="M316" t="s">
        <v>1036</v>
      </c>
    </row>
    <row r="317" spans="1:13">
      <c r="A317" s="4">
        <v>46158</v>
      </c>
      <c r="B317" t="s">
        <v>350</v>
      </c>
      <c r="C317" t="s">
        <v>1037</v>
      </c>
      <c r="D317" s="4">
        <v>46158</v>
      </c>
      <c r="E317" t="s">
        <v>3</v>
      </c>
      <c r="F317" t="s">
        <v>52</v>
      </c>
      <c r="G317" t="s">
        <v>84</v>
      </c>
      <c r="H317" t="s">
        <v>54</v>
      </c>
      <c r="I317" t="s">
        <v>13</v>
      </c>
      <c r="J317" t="s">
        <v>352</v>
      </c>
      <c r="K317" t="s">
        <v>502</v>
      </c>
      <c r="M317" t="s">
        <v>1038</v>
      </c>
    </row>
    <row r="318" spans="1:13">
      <c r="A318" s="4">
        <v>46158</v>
      </c>
      <c r="B318" t="s">
        <v>350</v>
      </c>
      <c r="C318" t="s">
        <v>1039</v>
      </c>
      <c r="D318" s="4">
        <v>46158</v>
      </c>
      <c r="E318" t="s">
        <v>3</v>
      </c>
      <c r="F318" t="s">
        <v>52</v>
      </c>
      <c r="G318" t="s">
        <v>86</v>
      </c>
      <c r="H318" t="s">
        <v>68</v>
      </c>
      <c r="I318" t="s">
        <v>13</v>
      </c>
      <c r="J318" t="s">
        <v>352</v>
      </c>
      <c r="K318" t="s">
        <v>502</v>
      </c>
      <c r="M318" t="s">
        <v>1040</v>
      </c>
    </row>
    <row r="319" spans="1:13">
      <c r="A319" s="4">
        <v>46158</v>
      </c>
      <c r="B319" t="s">
        <v>350</v>
      </c>
      <c r="C319" t="s">
        <v>1041</v>
      </c>
      <c r="D319" s="4">
        <v>46158</v>
      </c>
      <c r="E319" t="s">
        <v>3</v>
      </c>
      <c r="F319" t="s">
        <v>52</v>
      </c>
      <c r="G319" t="s">
        <v>124</v>
      </c>
      <c r="H319" t="s">
        <v>68</v>
      </c>
      <c r="I319" t="s">
        <v>13</v>
      </c>
      <c r="J319" t="s">
        <v>352</v>
      </c>
      <c r="K319" t="s">
        <v>973</v>
      </c>
      <c r="M319" t="s">
        <v>1042</v>
      </c>
    </row>
    <row r="320" spans="1:13">
      <c r="A320" s="4">
        <v>46158</v>
      </c>
      <c r="B320" t="s">
        <v>350</v>
      </c>
      <c r="C320" t="s">
        <v>1043</v>
      </c>
      <c r="D320" s="4">
        <v>46158</v>
      </c>
      <c r="E320" t="s">
        <v>3</v>
      </c>
      <c r="F320" t="s">
        <v>52</v>
      </c>
      <c r="G320" t="s">
        <v>124</v>
      </c>
      <c r="H320" t="s">
        <v>68</v>
      </c>
      <c r="I320" t="s">
        <v>13</v>
      </c>
      <c r="J320" t="s">
        <v>352</v>
      </c>
      <c r="K320" t="s">
        <v>973</v>
      </c>
      <c r="M320" t="s">
        <v>1044</v>
      </c>
    </row>
    <row r="321" spans="1:13">
      <c r="A321" s="4">
        <v>46158</v>
      </c>
      <c r="B321" t="s">
        <v>350</v>
      </c>
      <c r="C321" t="s">
        <v>1045</v>
      </c>
      <c r="D321" s="4">
        <v>46158</v>
      </c>
      <c r="E321" t="s">
        <v>3</v>
      </c>
      <c r="F321" t="s">
        <v>52</v>
      </c>
      <c r="G321" t="s">
        <v>169</v>
      </c>
      <c r="H321" t="s">
        <v>68</v>
      </c>
      <c r="I321" t="s">
        <v>13</v>
      </c>
      <c r="J321" t="s">
        <v>352</v>
      </c>
      <c r="K321" t="s">
        <v>894</v>
      </c>
      <c r="M321" t="s">
        <v>1046</v>
      </c>
    </row>
    <row r="322" spans="1:13">
      <c r="A322" s="4">
        <v>46158</v>
      </c>
      <c r="B322" t="s">
        <v>350</v>
      </c>
      <c r="C322" t="s">
        <v>1047</v>
      </c>
      <c r="D322" s="4">
        <v>46158</v>
      </c>
      <c r="E322" t="s">
        <v>3</v>
      </c>
      <c r="F322" t="s">
        <v>52</v>
      </c>
      <c r="G322" t="s">
        <v>169</v>
      </c>
      <c r="H322" t="s">
        <v>68</v>
      </c>
      <c r="I322" t="s">
        <v>13</v>
      </c>
      <c r="J322" t="s">
        <v>352</v>
      </c>
      <c r="K322" t="s">
        <v>894</v>
      </c>
      <c r="M322" t="s">
        <v>1048</v>
      </c>
    </row>
    <row r="323" spans="1:13">
      <c r="A323" s="4">
        <v>46158</v>
      </c>
      <c r="B323" t="s">
        <v>350</v>
      </c>
      <c r="C323" t="s">
        <v>1049</v>
      </c>
      <c r="D323" s="4">
        <v>46158</v>
      </c>
      <c r="E323" t="s">
        <v>3</v>
      </c>
      <c r="F323" t="s">
        <v>52</v>
      </c>
      <c r="G323" t="s">
        <v>256</v>
      </c>
      <c r="H323" t="s">
        <v>68</v>
      </c>
      <c r="I323" t="s">
        <v>13</v>
      </c>
      <c r="J323" t="s">
        <v>352</v>
      </c>
      <c r="K323" t="s">
        <v>621</v>
      </c>
      <c r="M323" t="s">
        <v>1050</v>
      </c>
    </row>
    <row r="324" spans="1:13">
      <c r="A324" s="4">
        <v>46158</v>
      </c>
      <c r="B324" t="s">
        <v>350</v>
      </c>
      <c r="C324" t="s">
        <v>1051</v>
      </c>
      <c r="D324" s="4">
        <v>46158</v>
      </c>
      <c r="E324" t="s">
        <v>3</v>
      </c>
      <c r="F324" t="s">
        <v>52</v>
      </c>
      <c r="G324" t="s">
        <v>267</v>
      </c>
      <c r="H324" t="s">
        <v>68</v>
      </c>
      <c r="I324" t="s">
        <v>13</v>
      </c>
      <c r="J324" t="s">
        <v>352</v>
      </c>
      <c r="K324" t="s">
        <v>621</v>
      </c>
      <c r="M324" t="s">
        <v>1052</v>
      </c>
    </row>
    <row r="325" spans="1:13">
      <c r="A325" s="4">
        <v>46159</v>
      </c>
      <c r="B325" t="s">
        <v>350</v>
      </c>
      <c r="C325" t="s">
        <v>1053</v>
      </c>
      <c r="D325" s="4">
        <v>46159</v>
      </c>
      <c r="E325" t="s">
        <v>3</v>
      </c>
      <c r="F325" t="s">
        <v>52</v>
      </c>
      <c r="G325" t="s">
        <v>197</v>
      </c>
      <c r="H325" t="s">
        <v>68</v>
      </c>
      <c r="I325" t="s">
        <v>29</v>
      </c>
      <c r="J325" t="s">
        <v>352</v>
      </c>
      <c r="K325" t="s">
        <v>402</v>
      </c>
      <c r="M325" t="s">
        <v>1054</v>
      </c>
    </row>
    <row r="326" spans="1:13">
      <c r="A326" s="4">
        <v>46159</v>
      </c>
      <c r="B326" t="s">
        <v>350</v>
      </c>
      <c r="C326" t="s">
        <v>1055</v>
      </c>
      <c r="D326" s="4">
        <v>46159</v>
      </c>
      <c r="E326" t="s">
        <v>3</v>
      </c>
      <c r="F326" t="s">
        <v>52</v>
      </c>
      <c r="G326" t="s">
        <v>201</v>
      </c>
      <c r="H326" t="s">
        <v>68</v>
      </c>
      <c r="I326" t="s">
        <v>29</v>
      </c>
      <c r="J326" t="s">
        <v>352</v>
      </c>
      <c r="K326" t="s">
        <v>376</v>
      </c>
      <c r="M326" t="s">
        <v>1056</v>
      </c>
    </row>
    <row r="327" spans="1:13">
      <c r="A327" s="4">
        <v>46159</v>
      </c>
      <c r="B327" t="s">
        <v>350</v>
      </c>
      <c r="C327" t="s">
        <v>1057</v>
      </c>
      <c r="D327" s="4">
        <v>46159</v>
      </c>
      <c r="E327" t="s">
        <v>4</v>
      </c>
      <c r="F327" t="s">
        <v>52</v>
      </c>
      <c r="G327" t="s">
        <v>173</v>
      </c>
      <c r="H327" t="s">
        <v>68</v>
      </c>
      <c r="I327" t="s">
        <v>13</v>
      </c>
      <c r="J327" t="s">
        <v>352</v>
      </c>
      <c r="K327" t="s">
        <v>376</v>
      </c>
      <c r="M327" t="s">
        <v>1058</v>
      </c>
    </row>
    <row r="328" spans="1:13">
      <c r="A328" s="4">
        <v>46159</v>
      </c>
      <c r="B328" t="s">
        <v>350</v>
      </c>
      <c r="C328" t="s">
        <v>1059</v>
      </c>
      <c r="D328" s="4">
        <v>46159</v>
      </c>
      <c r="E328" t="s">
        <v>3</v>
      </c>
      <c r="F328" t="s">
        <v>52</v>
      </c>
      <c r="G328" t="s">
        <v>252</v>
      </c>
      <c r="H328" t="s">
        <v>68</v>
      </c>
      <c r="I328" t="s">
        <v>13</v>
      </c>
      <c r="J328" t="s">
        <v>352</v>
      </c>
      <c r="K328" t="s">
        <v>376</v>
      </c>
      <c r="M328" t="s">
        <v>1060</v>
      </c>
    </row>
    <row r="329" spans="1:13">
      <c r="A329" s="4">
        <v>46159</v>
      </c>
      <c r="B329" t="s">
        <v>350</v>
      </c>
      <c r="C329" t="s">
        <v>1061</v>
      </c>
      <c r="D329" s="4">
        <v>46159</v>
      </c>
      <c r="E329" t="s">
        <v>3</v>
      </c>
      <c r="F329" t="s">
        <v>52</v>
      </c>
      <c r="G329" t="s">
        <v>168</v>
      </c>
      <c r="H329" t="s">
        <v>68</v>
      </c>
      <c r="I329" t="s">
        <v>13</v>
      </c>
      <c r="J329" t="s">
        <v>352</v>
      </c>
      <c r="K329" t="s">
        <v>1062</v>
      </c>
      <c r="M329" t="s">
        <v>1063</v>
      </c>
    </row>
    <row r="330" spans="1:13">
      <c r="A330" s="4">
        <v>46159</v>
      </c>
      <c r="B330" t="s">
        <v>350</v>
      </c>
      <c r="C330" t="s">
        <v>1064</v>
      </c>
      <c r="D330" s="4">
        <v>46159</v>
      </c>
      <c r="E330" t="s">
        <v>3</v>
      </c>
      <c r="F330" t="s">
        <v>52</v>
      </c>
      <c r="G330" t="s">
        <v>215</v>
      </c>
      <c r="H330" t="s">
        <v>68</v>
      </c>
      <c r="I330" t="s">
        <v>13</v>
      </c>
      <c r="J330" t="s">
        <v>352</v>
      </c>
      <c r="K330" t="s">
        <v>1062</v>
      </c>
      <c r="M330" t="s">
        <v>1065</v>
      </c>
    </row>
    <row r="331" spans="1:13">
      <c r="A331" s="4">
        <v>46159</v>
      </c>
      <c r="B331" t="s">
        <v>350</v>
      </c>
      <c r="C331" t="s">
        <v>1066</v>
      </c>
      <c r="D331" s="4">
        <v>46159</v>
      </c>
      <c r="E331" t="s">
        <v>3</v>
      </c>
      <c r="F331" t="s">
        <v>52</v>
      </c>
      <c r="G331" t="s">
        <v>251</v>
      </c>
      <c r="H331" t="s">
        <v>68</v>
      </c>
      <c r="I331" t="s">
        <v>13</v>
      </c>
      <c r="J331" t="s">
        <v>352</v>
      </c>
      <c r="K331" t="s">
        <v>385</v>
      </c>
      <c r="M331" t="s">
        <v>1067</v>
      </c>
    </row>
    <row r="332" spans="1:13">
      <c r="A332" s="4">
        <v>46159</v>
      </c>
      <c r="B332" t="s">
        <v>350</v>
      </c>
      <c r="C332" t="s">
        <v>1068</v>
      </c>
      <c r="D332" s="4">
        <v>46159</v>
      </c>
      <c r="E332" t="s">
        <v>3</v>
      </c>
      <c r="F332" t="s">
        <v>52</v>
      </c>
      <c r="G332" t="s">
        <v>192</v>
      </c>
      <c r="H332" t="s">
        <v>68</v>
      </c>
      <c r="I332" t="s">
        <v>29</v>
      </c>
      <c r="J332" t="s">
        <v>352</v>
      </c>
      <c r="K332" t="s">
        <v>1017</v>
      </c>
      <c r="M332" t="s">
        <v>1069</v>
      </c>
    </row>
    <row r="333" spans="1:13">
      <c r="A333" s="4">
        <v>46159</v>
      </c>
      <c r="B333" t="s">
        <v>350</v>
      </c>
      <c r="C333" t="s">
        <v>1070</v>
      </c>
      <c r="D333" s="4">
        <v>46159</v>
      </c>
      <c r="E333" t="s">
        <v>3</v>
      </c>
      <c r="F333" t="s">
        <v>52</v>
      </c>
      <c r="G333" t="s">
        <v>176</v>
      </c>
      <c r="H333" t="s">
        <v>68</v>
      </c>
      <c r="I333" t="s">
        <v>13</v>
      </c>
      <c r="J333" t="s">
        <v>352</v>
      </c>
      <c r="K333" t="s">
        <v>605</v>
      </c>
      <c r="M333" t="s">
        <v>1071</v>
      </c>
    </row>
    <row r="334" spans="1:13">
      <c r="A334" s="4">
        <v>46159</v>
      </c>
      <c r="B334" t="s">
        <v>350</v>
      </c>
      <c r="C334" t="s">
        <v>1072</v>
      </c>
      <c r="D334" s="4">
        <v>46159</v>
      </c>
      <c r="E334" t="s">
        <v>3</v>
      </c>
      <c r="F334" t="s">
        <v>52</v>
      </c>
      <c r="G334" t="s">
        <v>269</v>
      </c>
      <c r="H334" t="s">
        <v>68</v>
      </c>
      <c r="I334" t="s">
        <v>13</v>
      </c>
      <c r="J334" t="s">
        <v>352</v>
      </c>
      <c r="K334" t="s">
        <v>605</v>
      </c>
      <c r="M334" t="s">
        <v>1073</v>
      </c>
    </row>
    <row r="335" spans="1:13">
      <c r="A335" s="4">
        <v>46159</v>
      </c>
      <c r="B335" t="s">
        <v>350</v>
      </c>
      <c r="C335" t="s">
        <v>1074</v>
      </c>
      <c r="D335" s="4">
        <v>46158</v>
      </c>
      <c r="E335" t="s">
        <v>5</v>
      </c>
      <c r="F335" t="s">
        <v>52</v>
      </c>
      <c r="G335" t="s">
        <v>111</v>
      </c>
      <c r="H335" t="s">
        <v>68</v>
      </c>
      <c r="I335" t="s">
        <v>13</v>
      </c>
      <c r="J335" t="s">
        <v>352</v>
      </c>
      <c r="K335" t="s">
        <v>422</v>
      </c>
      <c r="M335" t="s">
        <v>1075</v>
      </c>
    </row>
    <row r="336" spans="1:13">
      <c r="A336" s="4">
        <v>46159</v>
      </c>
      <c r="B336" t="s">
        <v>350</v>
      </c>
      <c r="C336" t="s">
        <v>1076</v>
      </c>
      <c r="D336" s="4">
        <v>46159</v>
      </c>
      <c r="E336" t="s">
        <v>4</v>
      </c>
      <c r="F336" t="s">
        <v>52</v>
      </c>
      <c r="G336" t="s">
        <v>168</v>
      </c>
      <c r="H336" t="s">
        <v>68</v>
      </c>
      <c r="I336" t="s">
        <v>13</v>
      </c>
      <c r="J336" t="s">
        <v>352</v>
      </c>
      <c r="K336" t="s">
        <v>691</v>
      </c>
      <c r="M336" t="s">
        <v>1077</v>
      </c>
    </row>
    <row r="337" spans="1:13">
      <c r="A337" s="4">
        <v>46159</v>
      </c>
      <c r="B337" t="s">
        <v>350</v>
      </c>
      <c r="C337" t="s">
        <v>1078</v>
      </c>
      <c r="D337" s="4">
        <v>46158</v>
      </c>
      <c r="E337" t="s">
        <v>5</v>
      </c>
      <c r="F337" t="s">
        <v>52</v>
      </c>
      <c r="G337" t="s">
        <v>284</v>
      </c>
      <c r="H337" t="s">
        <v>70</v>
      </c>
      <c r="I337" t="s">
        <v>29</v>
      </c>
      <c r="J337" t="s">
        <v>352</v>
      </c>
      <c r="K337" t="s">
        <v>430</v>
      </c>
      <c r="M337" t="s">
        <v>1079</v>
      </c>
    </row>
    <row r="338" spans="1:13">
      <c r="A338" s="4">
        <v>46159</v>
      </c>
      <c r="B338" t="s">
        <v>350</v>
      </c>
      <c r="C338" t="s">
        <v>1080</v>
      </c>
      <c r="D338" s="4">
        <v>46158</v>
      </c>
      <c r="E338" t="s">
        <v>5</v>
      </c>
      <c r="F338" t="s">
        <v>52</v>
      </c>
      <c r="G338" t="s">
        <v>287</v>
      </c>
      <c r="H338" t="s">
        <v>70</v>
      </c>
      <c r="I338" t="s">
        <v>13</v>
      </c>
      <c r="J338" t="s">
        <v>352</v>
      </c>
      <c r="K338" t="s">
        <v>430</v>
      </c>
      <c r="M338" t="s">
        <v>1081</v>
      </c>
    </row>
    <row r="339" spans="1:13">
      <c r="A339" s="4">
        <v>46159</v>
      </c>
      <c r="B339" t="s">
        <v>350</v>
      </c>
      <c r="C339" t="s">
        <v>1082</v>
      </c>
      <c r="D339" s="4">
        <v>46159</v>
      </c>
      <c r="E339" t="s">
        <v>3</v>
      </c>
      <c r="F339" t="s">
        <v>52</v>
      </c>
      <c r="G339" t="s">
        <v>202</v>
      </c>
      <c r="H339" t="s">
        <v>68</v>
      </c>
      <c r="I339" t="s">
        <v>29</v>
      </c>
      <c r="J339" t="s">
        <v>352</v>
      </c>
      <c r="K339" t="s">
        <v>621</v>
      </c>
      <c r="M339" t="s">
        <v>1083</v>
      </c>
    </row>
    <row r="340" spans="1:13">
      <c r="A340" s="4">
        <v>46159</v>
      </c>
      <c r="B340" t="s">
        <v>350</v>
      </c>
      <c r="C340" t="s">
        <v>1084</v>
      </c>
      <c r="D340" s="4">
        <v>46159</v>
      </c>
      <c r="E340" t="s">
        <v>3</v>
      </c>
      <c r="F340" t="s">
        <v>52</v>
      </c>
      <c r="G340" t="s">
        <v>230</v>
      </c>
      <c r="H340" t="s">
        <v>68</v>
      </c>
      <c r="I340" t="s">
        <v>55</v>
      </c>
      <c r="J340" t="s">
        <v>352</v>
      </c>
      <c r="K340" t="s">
        <v>621</v>
      </c>
      <c r="M340" t="s">
        <v>1085</v>
      </c>
    </row>
    <row r="341" spans="1:13">
      <c r="A341" s="4">
        <v>46159</v>
      </c>
      <c r="B341" t="s">
        <v>350</v>
      </c>
      <c r="C341" t="s">
        <v>1086</v>
      </c>
      <c r="D341" s="4">
        <v>46159</v>
      </c>
      <c r="E341" t="s">
        <v>3</v>
      </c>
      <c r="F341" t="s">
        <v>52</v>
      </c>
      <c r="G341" t="s">
        <v>182</v>
      </c>
      <c r="H341" t="s">
        <v>68</v>
      </c>
      <c r="I341" t="s">
        <v>29</v>
      </c>
      <c r="J341" t="s">
        <v>352</v>
      </c>
      <c r="K341" t="s">
        <v>621</v>
      </c>
      <c r="M341" t="s">
        <v>1087</v>
      </c>
    </row>
    <row r="342" spans="1:13">
      <c r="A342" s="4">
        <v>46159</v>
      </c>
      <c r="B342" t="s">
        <v>350</v>
      </c>
      <c r="C342" t="s">
        <v>1088</v>
      </c>
      <c r="D342" s="4">
        <v>46159</v>
      </c>
      <c r="E342" t="s">
        <v>3</v>
      </c>
      <c r="F342" t="s">
        <v>52</v>
      </c>
      <c r="G342" t="s">
        <v>168</v>
      </c>
      <c r="H342" t="s">
        <v>68</v>
      </c>
      <c r="I342" t="s">
        <v>13</v>
      </c>
      <c r="J342" t="s">
        <v>352</v>
      </c>
      <c r="K342" t="s">
        <v>621</v>
      </c>
      <c r="M342" t="s">
        <v>1089</v>
      </c>
    </row>
    <row r="343" spans="1:13">
      <c r="A343" s="4">
        <v>46159</v>
      </c>
      <c r="B343" t="s">
        <v>350</v>
      </c>
      <c r="C343" t="s">
        <v>1090</v>
      </c>
      <c r="D343" s="4">
        <v>46159</v>
      </c>
      <c r="E343" t="s">
        <v>3</v>
      </c>
      <c r="F343" t="s">
        <v>52</v>
      </c>
      <c r="G343" t="s">
        <v>72</v>
      </c>
      <c r="H343" t="s">
        <v>68</v>
      </c>
      <c r="I343" t="s">
        <v>13</v>
      </c>
      <c r="J343" t="s">
        <v>352</v>
      </c>
      <c r="K343" t="s">
        <v>514</v>
      </c>
      <c r="M343" t="s">
        <v>1091</v>
      </c>
    </row>
    <row r="344" spans="1:13">
      <c r="A344" s="4">
        <v>46159</v>
      </c>
      <c r="B344" t="s">
        <v>350</v>
      </c>
      <c r="C344" t="s">
        <v>1092</v>
      </c>
      <c r="D344" s="4">
        <v>46159</v>
      </c>
      <c r="E344" t="s">
        <v>3</v>
      </c>
      <c r="F344" t="s">
        <v>52</v>
      </c>
      <c r="G344" t="s">
        <v>81</v>
      </c>
      <c r="H344" t="s">
        <v>68</v>
      </c>
      <c r="I344" t="s">
        <v>13</v>
      </c>
      <c r="J344" t="s">
        <v>352</v>
      </c>
      <c r="K344" t="s">
        <v>514</v>
      </c>
      <c r="M344" t="s">
        <v>1093</v>
      </c>
    </row>
    <row r="345" spans="1:13">
      <c r="A345" s="4">
        <v>46159</v>
      </c>
      <c r="B345" t="s">
        <v>350</v>
      </c>
      <c r="C345" t="s">
        <v>1094</v>
      </c>
      <c r="D345" s="4">
        <v>46159</v>
      </c>
      <c r="E345" t="s">
        <v>3</v>
      </c>
      <c r="F345" t="s">
        <v>52</v>
      </c>
      <c r="G345" t="s">
        <v>77</v>
      </c>
      <c r="H345" t="s">
        <v>68</v>
      </c>
      <c r="I345" t="s">
        <v>13</v>
      </c>
      <c r="J345" t="s">
        <v>352</v>
      </c>
      <c r="K345" t="s">
        <v>514</v>
      </c>
      <c r="M345" t="s">
        <v>1095</v>
      </c>
    </row>
    <row r="346" spans="1:13">
      <c r="A346" s="4">
        <v>46159</v>
      </c>
      <c r="B346" t="s">
        <v>350</v>
      </c>
      <c r="C346" t="s">
        <v>1096</v>
      </c>
      <c r="D346" s="4">
        <v>46159</v>
      </c>
      <c r="E346" t="s">
        <v>3</v>
      </c>
      <c r="F346" t="s">
        <v>52</v>
      </c>
      <c r="G346" t="s">
        <v>75</v>
      </c>
      <c r="H346" t="s">
        <v>68</v>
      </c>
      <c r="I346" t="s">
        <v>13</v>
      </c>
      <c r="J346" t="s">
        <v>352</v>
      </c>
      <c r="K346" t="s">
        <v>514</v>
      </c>
      <c r="M346" t="s">
        <v>1097</v>
      </c>
    </row>
    <row r="347" spans="1:13">
      <c r="A347" s="4">
        <v>46159</v>
      </c>
      <c r="B347" t="s">
        <v>350</v>
      </c>
      <c r="C347" t="s">
        <v>1098</v>
      </c>
      <c r="D347" s="4">
        <v>46159</v>
      </c>
      <c r="E347" t="s">
        <v>3</v>
      </c>
      <c r="F347" t="s">
        <v>52</v>
      </c>
      <c r="G347" t="s">
        <v>72</v>
      </c>
      <c r="H347" t="s">
        <v>68</v>
      </c>
      <c r="I347" t="s">
        <v>13</v>
      </c>
      <c r="J347" t="s">
        <v>352</v>
      </c>
      <c r="K347" t="s">
        <v>514</v>
      </c>
      <c r="M347" t="s">
        <v>1099</v>
      </c>
    </row>
    <row r="348" spans="1:13">
      <c r="A348" s="4">
        <v>46159</v>
      </c>
      <c r="B348" t="s">
        <v>350</v>
      </c>
      <c r="C348" t="s">
        <v>1100</v>
      </c>
      <c r="D348" s="4">
        <v>46159</v>
      </c>
      <c r="E348" t="s">
        <v>3</v>
      </c>
      <c r="F348" t="s">
        <v>52</v>
      </c>
      <c r="G348" t="s">
        <v>72</v>
      </c>
      <c r="H348" t="s">
        <v>68</v>
      </c>
      <c r="I348" t="s">
        <v>13</v>
      </c>
      <c r="J348" t="s">
        <v>352</v>
      </c>
      <c r="K348" t="s">
        <v>514</v>
      </c>
      <c r="M348" t="s">
        <v>1101</v>
      </c>
    </row>
    <row r="349" spans="1:13">
      <c r="A349" s="4">
        <v>46159</v>
      </c>
      <c r="B349" t="s">
        <v>350</v>
      </c>
      <c r="C349" t="s">
        <v>1102</v>
      </c>
      <c r="D349" s="4">
        <v>46159</v>
      </c>
      <c r="E349" t="s">
        <v>628</v>
      </c>
      <c r="F349" t="s">
        <v>52</v>
      </c>
      <c r="G349" t="s">
        <v>128</v>
      </c>
      <c r="H349" t="s">
        <v>68</v>
      </c>
      <c r="I349" t="s">
        <v>29</v>
      </c>
      <c r="J349" t="s">
        <v>352</v>
      </c>
      <c r="K349" t="s">
        <v>629</v>
      </c>
      <c r="M349" t="s">
        <v>1103</v>
      </c>
    </row>
    <row r="350" spans="1:13">
      <c r="A350" s="4">
        <v>46160</v>
      </c>
      <c r="B350" t="s">
        <v>350</v>
      </c>
      <c r="C350" t="s">
        <v>1104</v>
      </c>
      <c r="D350" s="4">
        <v>46160</v>
      </c>
      <c r="E350" t="s">
        <v>3</v>
      </c>
      <c r="F350" t="s">
        <v>52</v>
      </c>
      <c r="G350" t="s">
        <v>192</v>
      </c>
      <c r="H350" t="s">
        <v>70</v>
      </c>
      <c r="I350" t="s">
        <v>29</v>
      </c>
      <c r="J350" t="s">
        <v>352</v>
      </c>
      <c r="K350" t="s">
        <v>525</v>
      </c>
      <c r="M350" t="s">
        <v>1105</v>
      </c>
    </row>
    <row r="351" spans="1:13">
      <c r="A351" s="4">
        <v>46160</v>
      </c>
      <c r="B351" t="s">
        <v>350</v>
      </c>
      <c r="C351" t="s">
        <v>1104</v>
      </c>
      <c r="D351" s="4">
        <v>46160</v>
      </c>
      <c r="E351" t="s">
        <v>3</v>
      </c>
      <c r="F351" t="s">
        <v>52</v>
      </c>
      <c r="G351" t="s">
        <v>215</v>
      </c>
      <c r="H351" t="s">
        <v>70</v>
      </c>
      <c r="I351" t="s">
        <v>13</v>
      </c>
      <c r="J351" t="s">
        <v>352</v>
      </c>
      <c r="K351" t="s">
        <v>525</v>
      </c>
      <c r="M351" t="s">
        <v>1105</v>
      </c>
    </row>
    <row r="352" spans="1:13">
      <c r="A352" s="4">
        <v>46160</v>
      </c>
      <c r="B352" t="s">
        <v>350</v>
      </c>
      <c r="C352" t="s">
        <v>1106</v>
      </c>
      <c r="D352" s="4">
        <v>46160</v>
      </c>
      <c r="E352" t="s">
        <v>3</v>
      </c>
      <c r="F352" t="s">
        <v>52</v>
      </c>
      <c r="G352" t="s">
        <v>292</v>
      </c>
      <c r="H352" t="s">
        <v>68</v>
      </c>
      <c r="I352" t="s">
        <v>55</v>
      </c>
      <c r="J352" t="s">
        <v>352</v>
      </c>
      <c r="K352" t="s">
        <v>362</v>
      </c>
      <c r="M352" t="s">
        <v>1107</v>
      </c>
    </row>
    <row r="353" spans="1:13">
      <c r="A353" s="4">
        <v>46160</v>
      </c>
      <c r="B353" t="s">
        <v>350</v>
      </c>
      <c r="C353" t="s">
        <v>1108</v>
      </c>
      <c r="D353" s="4">
        <v>46160</v>
      </c>
      <c r="E353" t="s">
        <v>3</v>
      </c>
      <c r="F353" t="s">
        <v>52</v>
      </c>
      <c r="G353" t="s">
        <v>196</v>
      </c>
      <c r="H353" t="s">
        <v>68</v>
      </c>
      <c r="I353" t="s">
        <v>29</v>
      </c>
      <c r="J353" t="s">
        <v>352</v>
      </c>
      <c r="K353" t="s">
        <v>365</v>
      </c>
      <c r="M353" t="s">
        <v>1109</v>
      </c>
    </row>
    <row r="354" spans="1:13">
      <c r="A354" s="4">
        <v>46160</v>
      </c>
      <c r="B354" t="s">
        <v>350</v>
      </c>
      <c r="C354" t="s">
        <v>1110</v>
      </c>
      <c r="D354" s="4">
        <v>46160</v>
      </c>
      <c r="E354" t="s">
        <v>3</v>
      </c>
      <c r="F354" t="s">
        <v>52</v>
      </c>
      <c r="G354" t="s">
        <v>168</v>
      </c>
      <c r="H354" t="s">
        <v>68</v>
      </c>
      <c r="I354" t="s">
        <v>13</v>
      </c>
      <c r="J354" t="s">
        <v>352</v>
      </c>
      <c r="K354" t="s">
        <v>365</v>
      </c>
      <c r="M354" t="s">
        <v>1111</v>
      </c>
    </row>
    <row r="355" spans="1:13">
      <c r="A355" s="4">
        <v>46160</v>
      </c>
      <c r="B355" t="s">
        <v>350</v>
      </c>
      <c r="C355" t="s">
        <v>1112</v>
      </c>
      <c r="D355" s="4">
        <v>46160</v>
      </c>
      <c r="E355" t="s">
        <v>3</v>
      </c>
      <c r="F355" t="s">
        <v>52</v>
      </c>
      <c r="G355" t="s">
        <v>168</v>
      </c>
      <c r="H355" t="s">
        <v>68</v>
      </c>
      <c r="I355" t="s">
        <v>13</v>
      </c>
      <c r="J355" t="s">
        <v>352</v>
      </c>
      <c r="K355" t="s">
        <v>365</v>
      </c>
      <c r="M355" t="s">
        <v>1113</v>
      </c>
    </row>
    <row r="356" spans="1:13">
      <c r="A356" s="4">
        <v>46160</v>
      </c>
      <c r="B356" t="s">
        <v>350</v>
      </c>
      <c r="C356" t="s">
        <v>1112</v>
      </c>
      <c r="D356" s="4">
        <v>46160</v>
      </c>
      <c r="E356" t="s">
        <v>3</v>
      </c>
      <c r="F356" t="s">
        <v>52</v>
      </c>
      <c r="G356" t="s">
        <v>266</v>
      </c>
      <c r="H356" t="s">
        <v>68</v>
      </c>
      <c r="I356" t="s">
        <v>13</v>
      </c>
      <c r="J356" t="s">
        <v>352</v>
      </c>
      <c r="K356" t="s">
        <v>365</v>
      </c>
      <c r="M356" t="s">
        <v>1113</v>
      </c>
    </row>
    <row r="357" spans="1:13">
      <c r="A357" s="4">
        <v>46160</v>
      </c>
      <c r="B357" t="s">
        <v>350</v>
      </c>
      <c r="C357" t="s">
        <v>1114</v>
      </c>
      <c r="D357" s="4">
        <v>46160</v>
      </c>
      <c r="E357" t="s">
        <v>3</v>
      </c>
      <c r="F357" t="s">
        <v>52</v>
      </c>
      <c r="G357" t="s">
        <v>168</v>
      </c>
      <c r="H357" t="s">
        <v>68</v>
      </c>
      <c r="I357" t="s">
        <v>13</v>
      </c>
      <c r="J357" t="s">
        <v>352</v>
      </c>
      <c r="K357" t="s">
        <v>365</v>
      </c>
      <c r="M357" t="s">
        <v>1115</v>
      </c>
    </row>
    <row r="358" spans="1:13">
      <c r="A358" s="4">
        <v>46160</v>
      </c>
      <c r="B358" t="s">
        <v>350</v>
      </c>
      <c r="C358" t="s">
        <v>1116</v>
      </c>
      <c r="D358" s="4">
        <v>46160</v>
      </c>
      <c r="E358" t="s">
        <v>3</v>
      </c>
      <c r="F358" t="s">
        <v>52</v>
      </c>
      <c r="G358" t="s">
        <v>192</v>
      </c>
      <c r="H358" t="s">
        <v>68</v>
      </c>
      <c r="I358" t="s">
        <v>29</v>
      </c>
      <c r="J358" t="s">
        <v>352</v>
      </c>
      <c r="K358" t="s">
        <v>365</v>
      </c>
      <c r="M358" t="s">
        <v>1117</v>
      </c>
    </row>
    <row r="359" spans="1:13">
      <c r="A359" s="4">
        <v>46160</v>
      </c>
      <c r="B359" t="s">
        <v>350</v>
      </c>
      <c r="C359" t="s">
        <v>1118</v>
      </c>
      <c r="D359" s="4">
        <v>46160</v>
      </c>
      <c r="E359" t="s">
        <v>3</v>
      </c>
      <c r="F359" t="s">
        <v>52</v>
      </c>
      <c r="G359" t="s">
        <v>278</v>
      </c>
      <c r="H359" t="s">
        <v>68</v>
      </c>
      <c r="I359" t="s">
        <v>29</v>
      </c>
      <c r="J359" t="s">
        <v>352</v>
      </c>
      <c r="K359" t="s">
        <v>368</v>
      </c>
      <c r="M359" t="s">
        <v>1119</v>
      </c>
    </row>
    <row r="360" spans="1:13">
      <c r="A360" s="4">
        <v>46160</v>
      </c>
      <c r="B360" t="s">
        <v>350</v>
      </c>
      <c r="C360" t="s">
        <v>1120</v>
      </c>
      <c r="D360" s="4">
        <v>46160</v>
      </c>
      <c r="E360" t="s">
        <v>5</v>
      </c>
      <c r="F360" t="s">
        <v>52</v>
      </c>
      <c r="G360" t="s">
        <v>196</v>
      </c>
      <c r="H360" t="s">
        <v>68</v>
      </c>
      <c r="I360" t="s">
        <v>29</v>
      </c>
      <c r="J360" t="s">
        <v>352</v>
      </c>
      <c r="K360" t="s">
        <v>1062</v>
      </c>
      <c r="M360" t="s">
        <v>1121</v>
      </c>
    </row>
    <row r="361" spans="1:13">
      <c r="A361" s="4">
        <v>46160</v>
      </c>
      <c r="B361" t="s">
        <v>350</v>
      </c>
      <c r="C361" t="s">
        <v>1122</v>
      </c>
      <c r="D361" s="4">
        <v>46160</v>
      </c>
      <c r="E361" t="s">
        <v>3</v>
      </c>
      <c r="F361" t="s">
        <v>52</v>
      </c>
      <c r="G361" t="s">
        <v>215</v>
      </c>
      <c r="H361" t="s">
        <v>68</v>
      </c>
      <c r="I361" t="s">
        <v>13</v>
      </c>
      <c r="J361" t="s">
        <v>352</v>
      </c>
      <c r="K361" t="s">
        <v>379</v>
      </c>
      <c r="M361" t="s">
        <v>1123</v>
      </c>
    </row>
    <row r="362" spans="1:13">
      <c r="A362" s="4">
        <v>46160</v>
      </c>
      <c r="B362" t="s">
        <v>350</v>
      </c>
      <c r="C362" t="s">
        <v>1124</v>
      </c>
      <c r="D362" s="4">
        <v>46160</v>
      </c>
      <c r="E362" t="s">
        <v>3</v>
      </c>
      <c r="F362" t="s">
        <v>52</v>
      </c>
      <c r="G362" t="s">
        <v>150</v>
      </c>
      <c r="H362" t="s">
        <v>54</v>
      </c>
      <c r="I362" t="s">
        <v>13</v>
      </c>
      <c r="J362" t="s">
        <v>352</v>
      </c>
      <c r="K362" t="s">
        <v>1014</v>
      </c>
      <c r="M362" t="s">
        <v>1125</v>
      </c>
    </row>
    <row r="363" spans="1:13">
      <c r="A363" s="4">
        <v>46160</v>
      </c>
      <c r="B363" t="s">
        <v>350</v>
      </c>
      <c r="C363" t="s">
        <v>1126</v>
      </c>
      <c r="D363" s="4">
        <v>46160</v>
      </c>
      <c r="E363" t="s">
        <v>3</v>
      </c>
      <c r="F363" t="s">
        <v>52</v>
      </c>
      <c r="G363" t="s">
        <v>205</v>
      </c>
      <c r="H363" t="s">
        <v>70</v>
      </c>
      <c r="I363" t="s">
        <v>29</v>
      </c>
      <c r="J363" t="s">
        <v>352</v>
      </c>
      <c r="K363" t="s">
        <v>388</v>
      </c>
      <c r="M363" t="s">
        <v>1127</v>
      </c>
    </row>
    <row r="364" spans="1:13">
      <c r="A364" s="4">
        <v>46160</v>
      </c>
      <c r="B364" t="s">
        <v>350</v>
      </c>
      <c r="C364" t="s">
        <v>1128</v>
      </c>
      <c r="D364" s="4">
        <v>46160</v>
      </c>
      <c r="E364" t="s">
        <v>3</v>
      </c>
      <c r="F364" t="s">
        <v>52</v>
      </c>
      <c r="G364" t="s">
        <v>184</v>
      </c>
      <c r="H364" t="s">
        <v>68</v>
      </c>
      <c r="I364" t="s">
        <v>13</v>
      </c>
      <c r="J364" t="s">
        <v>352</v>
      </c>
      <c r="K364" t="s">
        <v>391</v>
      </c>
      <c r="M364" t="s">
        <v>1129</v>
      </c>
    </row>
    <row r="365" spans="1:13">
      <c r="A365" s="4">
        <v>46160</v>
      </c>
      <c r="B365" t="s">
        <v>350</v>
      </c>
      <c r="C365" t="s">
        <v>1130</v>
      </c>
      <c r="D365" s="4">
        <v>46160</v>
      </c>
      <c r="E365" t="s">
        <v>3</v>
      </c>
      <c r="F365" t="s">
        <v>52</v>
      </c>
      <c r="G365" t="s">
        <v>184</v>
      </c>
      <c r="H365" t="s">
        <v>68</v>
      </c>
      <c r="I365" t="s">
        <v>13</v>
      </c>
      <c r="J365" t="s">
        <v>352</v>
      </c>
      <c r="K365" t="s">
        <v>391</v>
      </c>
      <c r="M365" t="s">
        <v>1131</v>
      </c>
    </row>
    <row r="366" spans="1:13">
      <c r="A366" s="4">
        <v>46160</v>
      </c>
      <c r="B366" t="s">
        <v>350</v>
      </c>
      <c r="C366" t="s">
        <v>1132</v>
      </c>
      <c r="D366" s="4">
        <v>46160</v>
      </c>
      <c r="E366" t="s">
        <v>3</v>
      </c>
      <c r="F366" t="s">
        <v>52</v>
      </c>
      <c r="G366" t="s">
        <v>208</v>
      </c>
      <c r="H366" t="s">
        <v>68</v>
      </c>
      <c r="I366" t="s">
        <v>29</v>
      </c>
      <c r="J366" t="s">
        <v>352</v>
      </c>
      <c r="K366" t="s">
        <v>391</v>
      </c>
      <c r="M366" t="s">
        <v>1133</v>
      </c>
    </row>
    <row r="367" spans="1:13">
      <c r="A367" s="4">
        <v>46160</v>
      </c>
      <c r="B367" t="s">
        <v>350</v>
      </c>
      <c r="C367" t="s">
        <v>1134</v>
      </c>
      <c r="D367" s="4">
        <v>46160</v>
      </c>
      <c r="E367" t="s">
        <v>3</v>
      </c>
      <c r="F367" t="s">
        <v>52</v>
      </c>
      <c r="G367" t="s">
        <v>184</v>
      </c>
      <c r="H367" t="s">
        <v>68</v>
      </c>
      <c r="I367" t="s">
        <v>13</v>
      </c>
      <c r="J367" t="s">
        <v>352</v>
      </c>
      <c r="K367" t="s">
        <v>391</v>
      </c>
      <c r="M367" t="s">
        <v>1135</v>
      </c>
    </row>
    <row r="368" spans="1:13">
      <c r="A368" s="4">
        <v>46160</v>
      </c>
      <c r="B368" t="s">
        <v>350</v>
      </c>
      <c r="C368" t="s">
        <v>1136</v>
      </c>
      <c r="D368" s="4">
        <v>46160</v>
      </c>
      <c r="E368" t="s">
        <v>3</v>
      </c>
      <c r="F368" t="s">
        <v>52</v>
      </c>
      <c r="G368" t="s">
        <v>122</v>
      </c>
      <c r="H368" t="s">
        <v>68</v>
      </c>
      <c r="I368" t="s">
        <v>119</v>
      </c>
      <c r="J368" t="s">
        <v>352</v>
      </c>
      <c r="K368" t="s">
        <v>540</v>
      </c>
      <c r="M368" t="s">
        <v>1137</v>
      </c>
    </row>
    <row r="369" spans="1:13">
      <c r="A369" s="4">
        <v>46160</v>
      </c>
      <c r="B369" t="s">
        <v>350</v>
      </c>
      <c r="C369" t="s">
        <v>1138</v>
      </c>
      <c r="D369" s="4">
        <v>46160</v>
      </c>
      <c r="E369" t="s">
        <v>3</v>
      </c>
      <c r="F369" t="s">
        <v>52</v>
      </c>
      <c r="G369" t="s">
        <v>121</v>
      </c>
      <c r="H369" t="s">
        <v>68</v>
      </c>
      <c r="I369" t="s">
        <v>29</v>
      </c>
      <c r="J369" t="s">
        <v>352</v>
      </c>
      <c r="K369" t="s">
        <v>540</v>
      </c>
      <c r="M369" t="s">
        <v>1139</v>
      </c>
    </row>
    <row r="370" spans="1:13">
      <c r="A370" s="4">
        <v>46160</v>
      </c>
      <c r="B370" t="s">
        <v>350</v>
      </c>
      <c r="C370" t="s">
        <v>1140</v>
      </c>
      <c r="D370" s="4">
        <v>46160</v>
      </c>
      <c r="E370" t="s">
        <v>3</v>
      </c>
      <c r="F370" t="s">
        <v>52</v>
      </c>
      <c r="G370" t="s">
        <v>164</v>
      </c>
      <c r="H370" t="s">
        <v>68</v>
      </c>
      <c r="I370" t="s">
        <v>29</v>
      </c>
      <c r="J370" t="s">
        <v>352</v>
      </c>
      <c r="K370" t="s">
        <v>553</v>
      </c>
      <c r="M370" t="s">
        <v>1141</v>
      </c>
    </row>
    <row r="371" spans="1:13">
      <c r="A371" s="4">
        <v>46160</v>
      </c>
      <c r="B371" t="s">
        <v>350</v>
      </c>
      <c r="C371" t="s">
        <v>1142</v>
      </c>
      <c r="D371" s="4">
        <v>46160</v>
      </c>
      <c r="E371" t="s">
        <v>3</v>
      </c>
      <c r="F371" t="s">
        <v>52</v>
      </c>
      <c r="G371" t="s">
        <v>172</v>
      </c>
      <c r="H371" t="s">
        <v>68</v>
      </c>
      <c r="I371" t="s">
        <v>13</v>
      </c>
      <c r="J371" t="s">
        <v>352</v>
      </c>
      <c r="K371" t="s">
        <v>553</v>
      </c>
      <c r="M371" t="s">
        <v>1143</v>
      </c>
    </row>
    <row r="372" spans="1:13">
      <c r="A372" s="4">
        <v>46160</v>
      </c>
      <c r="B372" t="s">
        <v>350</v>
      </c>
      <c r="C372" t="s">
        <v>1144</v>
      </c>
      <c r="D372" s="4">
        <v>46160</v>
      </c>
      <c r="E372" t="s">
        <v>3</v>
      </c>
      <c r="F372" t="s">
        <v>52</v>
      </c>
      <c r="G372" t="s">
        <v>102</v>
      </c>
      <c r="H372" t="s">
        <v>68</v>
      </c>
      <c r="I372" t="s">
        <v>29</v>
      </c>
      <c r="J372" t="s">
        <v>352</v>
      </c>
      <c r="K372" t="s">
        <v>553</v>
      </c>
      <c r="M372" t="s">
        <v>1145</v>
      </c>
    </row>
    <row r="373" spans="1:13">
      <c r="A373" s="4">
        <v>46160</v>
      </c>
      <c r="B373" t="s">
        <v>350</v>
      </c>
      <c r="C373" t="s">
        <v>1146</v>
      </c>
      <c r="D373" s="4">
        <v>46160</v>
      </c>
      <c r="E373" t="s">
        <v>3</v>
      </c>
      <c r="F373" t="s">
        <v>52</v>
      </c>
      <c r="G373" t="s">
        <v>279</v>
      </c>
      <c r="H373" t="s">
        <v>68</v>
      </c>
      <c r="I373" t="s">
        <v>13</v>
      </c>
      <c r="J373" t="s">
        <v>352</v>
      </c>
      <c r="K373" t="s">
        <v>430</v>
      </c>
      <c r="M373" t="s">
        <v>1147</v>
      </c>
    </row>
    <row r="374" spans="1:13">
      <c r="A374" s="4">
        <v>46160</v>
      </c>
      <c r="B374" t="s">
        <v>350</v>
      </c>
      <c r="C374" t="s">
        <v>1148</v>
      </c>
      <c r="D374" s="4">
        <v>46160</v>
      </c>
      <c r="E374" t="s">
        <v>4</v>
      </c>
      <c r="F374" t="s">
        <v>52</v>
      </c>
      <c r="G374" t="s">
        <v>168</v>
      </c>
      <c r="H374" t="s">
        <v>68</v>
      </c>
      <c r="I374" t="s">
        <v>13</v>
      </c>
      <c r="J374" t="s">
        <v>352</v>
      </c>
      <c r="K374" t="s">
        <v>1149</v>
      </c>
      <c r="M374" t="s">
        <v>1150</v>
      </c>
    </row>
    <row r="375" spans="1:13">
      <c r="A375" s="4">
        <v>46160</v>
      </c>
      <c r="B375" t="s">
        <v>350</v>
      </c>
      <c r="C375" t="s">
        <v>1151</v>
      </c>
      <c r="D375" s="4">
        <v>46160</v>
      </c>
      <c r="E375" t="s">
        <v>3</v>
      </c>
      <c r="F375" t="s">
        <v>52</v>
      </c>
      <c r="G375" t="s">
        <v>85</v>
      </c>
      <c r="H375" t="s">
        <v>68</v>
      </c>
      <c r="I375" t="s">
        <v>13</v>
      </c>
      <c r="J375" t="s">
        <v>352</v>
      </c>
      <c r="K375" t="s">
        <v>576</v>
      </c>
      <c r="M375" t="s">
        <v>1152</v>
      </c>
    </row>
    <row r="376" spans="1:13">
      <c r="A376" s="4">
        <v>46160</v>
      </c>
      <c r="B376" t="s">
        <v>350</v>
      </c>
      <c r="C376" t="s">
        <v>1153</v>
      </c>
      <c r="D376" s="4">
        <v>46160</v>
      </c>
      <c r="E376" t="s">
        <v>3</v>
      </c>
      <c r="F376" t="s">
        <v>52</v>
      </c>
      <c r="G376" t="s">
        <v>89</v>
      </c>
      <c r="H376" t="s">
        <v>68</v>
      </c>
      <c r="I376" t="s">
        <v>29</v>
      </c>
      <c r="J376" t="s">
        <v>352</v>
      </c>
      <c r="K376" t="s">
        <v>576</v>
      </c>
      <c r="M376" t="s">
        <v>1154</v>
      </c>
    </row>
    <row r="377" spans="1:13">
      <c r="A377" s="4">
        <v>46160</v>
      </c>
      <c r="B377" t="s">
        <v>350</v>
      </c>
      <c r="C377" t="s">
        <v>1155</v>
      </c>
      <c r="D377" s="4">
        <v>46160</v>
      </c>
      <c r="E377" t="s">
        <v>3</v>
      </c>
      <c r="F377" t="s">
        <v>52</v>
      </c>
      <c r="G377" t="s">
        <v>85</v>
      </c>
      <c r="H377" t="s">
        <v>68</v>
      </c>
      <c r="I377" t="s">
        <v>13</v>
      </c>
      <c r="J377" t="s">
        <v>352</v>
      </c>
      <c r="K377" t="s">
        <v>576</v>
      </c>
      <c r="M377" t="s">
        <v>1156</v>
      </c>
    </row>
    <row r="378" spans="1:13">
      <c r="A378" s="4">
        <v>46160</v>
      </c>
      <c r="B378" t="s">
        <v>350</v>
      </c>
      <c r="C378" t="s">
        <v>1157</v>
      </c>
      <c r="D378" s="4">
        <v>46160</v>
      </c>
      <c r="E378" t="s">
        <v>3</v>
      </c>
      <c r="F378" t="s">
        <v>52</v>
      </c>
      <c r="G378" t="s">
        <v>127</v>
      </c>
      <c r="H378" t="s">
        <v>68</v>
      </c>
      <c r="I378" t="s">
        <v>29</v>
      </c>
      <c r="J378" t="s">
        <v>352</v>
      </c>
      <c r="K378" t="s">
        <v>973</v>
      </c>
      <c r="M378" t="s">
        <v>1158</v>
      </c>
    </row>
    <row r="379" spans="1:13">
      <c r="A379" s="4">
        <v>46160</v>
      </c>
      <c r="B379" t="s">
        <v>350</v>
      </c>
      <c r="C379" t="s">
        <v>1159</v>
      </c>
      <c r="D379" s="4">
        <v>46160</v>
      </c>
      <c r="E379" t="s">
        <v>3</v>
      </c>
      <c r="F379" t="s">
        <v>52</v>
      </c>
      <c r="G379" t="s">
        <v>97</v>
      </c>
      <c r="H379" t="s">
        <v>68</v>
      </c>
      <c r="I379" t="s">
        <v>29</v>
      </c>
      <c r="J379" t="s">
        <v>352</v>
      </c>
      <c r="K379" t="s">
        <v>973</v>
      </c>
      <c r="M379" t="s">
        <v>1160</v>
      </c>
    </row>
    <row r="380" spans="1:13">
      <c r="A380" s="4">
        <v>46160</v>
      </c>
      <c r="B380" t="s">
        <v>350</v>
      </c>
      <c r="C380" t="s">
        <v>1161</v>
      </c>
      <c r="D380" s="4">
        <v>46160</v>
      </c>
      <c r="E380" t="s">
        <v>3</v>
      </c>
      <c r="F380" t="s">
        <v>52</v>
      </c>
      <c r="G380" t="s">
        <v>265</v>
      </c>
      <c r="H380" t="s">
        <v>68</v>
      </c>
      <c r="I380" t="s">
        <v>13</v>
      </c>
      <c r="J380" t="s">
        <v>352</v>
      </c>
      <c r="K380" t="s">
        <v>894</v>
      </c>
      <c r="M380" t="s">
        <v>1162</v>
      </c>
    </row>
    <row r="381" spans="1:13">
      <c r="A381" s="4">
        <v>46160</v>
      </c>
      <c r="B381" t="s">
        <v>350</v>
      </c>
      <c r="C381" t="s">
        <v>1163</v>
      </c>
      <c r="D381" s="4">
        <v>46160</v>
      </c>
      <c r="E381" t="s">
        <v>3</v>
      </c>
      <c r="F381" t="s">
        <v>52</v>
      </c>
      <c r="G381" t="s">
        <v>161</v>
      </c>
      <c r="H381" t="s">
        <v>54</v>
      </c>
      <c r="I381" t="s">
        <v>29</v>
      </c>
      <c r="J381" t="s">
        <v>352</v>
      </c>
      <c r="K381" t="s">
        <v>894</v>
      </c>
      <c r="M381" t="s">
        <v>1164</v>
      </c>
    </row>
    <row r="382" spans="1:13">
      <c r="A382" s="4">
        <v>46160</v>
      </c>
      <c r="B382" t="s">
        <v>350</v>
      </c>
      <c r="C382" t="s">
        <v>1165</v>
      </c>
      <c r="D382" s="4">
        <v>46160</v>
      </c>
      <c r="E382" t="s">
        <v>3</v>
      </c>
      <c r="F382" t="s">
        <v>52</v>
      </c>
      <c r="G382" t="s">
        <v>169</v>
      </c>
      <c r="H382" t="s">
        <v>68</v>
      </c>
      <c r="I382" t="s">
        <v>13</v>
      </c>
      <c r="J382" t="s">
        <v>352</v>
      </c>
      <c r="K382" t="s">
        <v>894</v>
      </c>
      <c r="M382" t="s">
        <v>1166</v>
      </c>
    </row>
    <row r="383" spans="1:13">
      <c r="A383" s="4">
        <v>46160</v>
      </c>
      <c r="B383" t="s">
        <v>350</v>
      </c>
      <c r="C383" t="s">
        <v>1167</v>
      </c>
      <c r="D383" s="4">
        <v>46160</v>
      </c>
      <c r="E383" t="s">
        <v>3</v>
      </c>
      <c r="F383" t="s">
        <v>52</v>
      </c>
      <c r="G383" t="s">
        <v>169</v>
      </c>
      <c r="H383" t="s">
        <v>68</v>
      </c>
      <c r="I383" t="s">
        <v>29</v>
      </c>
      <c r="J383" t="s">
        <v>352</v>
      </c>
      <c r="K383" t="s">
        <v>894</v>
      </c>
      <c r="M383" t="s">
        <v>1168</v>
      </c>
    </row>
    <row r="384" spans="1:13">
      <c r="A384" s="4">
        <v>46160</v>
      </c>
      <c r="B384" t="s">
        <v>350</v>
      </c>
      <c r="C384" t="s">
        <v>1169</v>
      </c>
      <c r="D384" s="4">
        <v>46160</v>
      </c>
      <c r="E384" t="s">
        <v>3</v>
      </c>
      <c r="F384" t="s">
        <v>52</v>
      </c>
      <c r="G384" t="s">
        <v>263</v>
      </c>
      <c r="H384" t="s">
        <v>68</v>
      </c>
      <c r="I384" t="s">
        <v>13</v>
      </c>
      <c r="J384" t="s">
        <v>352</v>
      </c>
      <c r="K384" t="s">
        <v>894</v>
      </c>
      <c r="M384" t="s">
        <v>1170</v>
      </c>
    </row>
    <row r="385" spans="1:13">
      <c r="A385" s="4">
        <v>46160</v>
      </c>
      <c r="B385" t="s">
        <v>350</v>
      </c>
      <c r="C385" t="s">
        <v>1171</v>
      </c>
      <c r="D385" s="4">
        <v>46160</v>
      </c>
      <c r="E385" t="s">
        <v>3</v>
      </c>
      <c r="F385" t="s">
        <v>52</v>
      </c>
      <c r="G385" t="s">
        <v>169</v>
      </c>
      <c r="H385" t="s">
        <v>68</v>
      </c>
      <c r="I385" t="s">
        <v>13</v>
      </c>
      <c r="J385" t="s">
        <v>352</v>
      </c>
      <c r="K385" t="s">
        <v>894</v>
      </c>
      <c r="M385" t="s">
        <v>1172</v>
      </c>
    </row>
    <row r="386" spans="1:13">
      <c r="A386" s="4">
        <v>46160</v>
      </c>
      <c r="B386" t="s">
        <v>350</v>
      </c>
      <c r="C386" t="s">
        <v>1173</v>
      </c>
      <c r="D386" s="4">
        <v>46160</v>
      </c>
      <c r="E386" t="s">
        <v>3</v>
      </c>
      <c r="F386" t="s">
        <v>52</v>
      </c>
      <c r="G386" t="s">
        <v>169</v>
      </c>
      <c r="H386" t="s">
        <v>68</v>
      </c>
      <c r="I386" t="s">
        <v>13</v>
      </c>
      <c r="J386" t="s">
        <v>352</v>
      </c>
      <c r="K386" t="s">
        <v>894</v>
      </c>
      <c r="M386" t="s">
        <v>1174</v>
      </c>
    </row>
    <row r="387" spans="1:13">
      <c r="A387" s="4">
        <v>46160</v>
      </c>
      <c r="B387" t="s">
        <v>350</v>
      </c>
      <c r="C387" t="s">
        <v>1175</v>
      </c>
      <c r="D387" s="4">
        <v>46160</v>
      </c>
      <c r="E387" t="s">
        <v>3</v>
      </c>
      <c r="F387" t="s">
        <v>52</v>
      </c>
      <c r="G387" t="s">
        <v>264</v>
      </c>
      <c r="H387" t="s">
        <v>68</v>
      </c>
      <c r="I387" t="s">
        <v>29</v>
      </c>
      <c r="J387" t="s">
        <v>352</v>
      </c>
      <c r="K387" t="s">
        <v>894</v>
      </c>
      <c r="M387" t="s">
        <v>1176</v>
      </c>
    </row>
    <row r="388" spans="1:13">
      <c r="A388" s="4">
        <v>46161</v>
      </c>
      <c r="B388" t="s">
        <v>350</v>
      </c>
      <c r="C388" t="s">
        <v>1177</v>
      </c>
      <c r="D388" s="4">
        <v>46161</v>
      </c>
      <c r="E388" t="s">
        <v>5</v>
      </c>
      <c r="F388" t="s">
        <v>52</v>
      </c>
      <c r="G388" t="s">
        <v>285</v>
      </c>
      <c r="H388" t="s">
        <v>68</v>
      </c>
      <c r="I388" t="s">
        <v>13</v>
      </c>
      <c r="J388" t="s">
        <v>352</v>
      </c>
      <c r="K388" t="s">
        <v>368</v>
      </c>
      <c r="M388" t="s">
        <v>1178</v>
      </c>
    </row>
    <row r="389" spans="1:13">
      <c r="A389" s="4">
        <v>46161</v>
      </c>
      <c r="B389" t="s">
        <v>350</v>
      </c>
      <c r="C389" t="s">
        <v>1179</v>
      </c>
      <c r="D389" s="4">
        <v>46161</v>
      </c>
      <c r="E389" t="s">
        <v>3</v>
      </c>
      <c r="F389" t="s">
        <v>52</v>
      </c>
      <c r="G389" t="s">
        <v>314</v>
      </c>
      <c r="H389" t="s">
        <v>70</v>
      </c>
      <c r="I389" t="s">
        <v>29</v>
      </c>
      <c r="J389" t="s">
        <v>352</v>
      </c>
      <c r="K389" t="s">
        <v>640</v>
      </c>
      <c r="M389" t="s">
        <v>1180</v>
      </c>
    </row>
    <row r="390" spans="1:13">
      <c r="A390" s="4">
        <v>46161</v>
      </c>
      <c r="B390" t="s">
        <v>350</v>
      </c>
      <c r="C390" t="s">
        <v>1181</v>
      </c>
      <c r="D390" s="4">
        <v>46161</v>
      </c>
      <c r="E390" t="s">
        <v>3</v>
      </c>
      <c r="F390" t="s">
        <v>52</v>
      </c>
      <c r="G390" t="s">
        <v>314</v>
      </c>
      <c r="H390" t="s">
        <v>70</v>
      </c>
      <c r="I390" t="s">
        <v>29</v>
      </c>
      <c r="J390" t="s">
        <v>352</v>
      </c>
      <c r="K390" t="s">
        <v>640</v>
      </c>
      <c r="M390" t="s">
        <v>1182</v>
      </c>
    </row>
    <row r="391" spans="1:13">
      <c r="A391" s="4">
        <v>46161</v>
      </c>
      <c r="B391" t="s">
        <v>350</v>
      </c>
      <c r="C391" t="s">
        <v>1183</v>
      </c>
      <c r="D391" s="4">
        <v>46160</v>
      </c>
      <c r="E391" t="s">
        <v>5</v>
      </c>
      <c r="F391" t="s">
        <v>52</v>
      </c>
      <c r="G391" t="s">
        <v>226</v>
      </c>
      <c r="H391" t="s">
        <v>70</v>
      </c>
      <c r="I391" t="s">
        <v>13</v>
      </c>
      <c r="J391" t="s">
        <v>352</v>
      </c>
      <c r="K391" t="s">
        <v>373</v>
      </c>
      <c r="M391" t="s">
        <v>1184</v>
      </c>
    </row>
    <row r="392" spans="1:13">
      <c r="A392" s="4">
        <v>46161</v>
      </c>
      <c r="B392" t="s">
        <v>350</v>
      </c>
      <c r="C392" t="s">
        <v>1185</v>
      </c>
      <c r="D392" s="4">
        <v>46161</v>
      </c>
      <c r="E392" t="s">
        <v>3</v>
      </c>
      <c r="F392" t="s">
        <v>52</v>
      </c>
      <c r="G392" t="s">
        <v>201</v>
      </c>
      <c r="H392" t="s">
        <v>68</v>
      </c>
      <c r="I392" t="s">
        <v>29</v>
      </c>
      <c r="J392" t="s">
        <v>352</v>
      </c>
      <c r="K392" t="s">
        <v>376</v>
      </c>
      <c r="M392" t="s">
        <v>1186</v>
      </c>
    </row>
    <row r="393" spans="1:13">
      <c r="A393" s="4">
        <v>46161</v>
      </c>
      <c r="B393" t="s">
        <v>350</v>
      </c>
      <c r="C393" t="s">
        <v>1187</v>
      </c>
      <c r="D393" s="4">
        <v>46161</v>
      </c>
      <c r="E393" t="s">
        <v>3</v>
      </c>
      <c r="F393" t="s">
        <v>52</v>
      </c>
      <c r="G393" t="s">
        <v>143</v>
      </c>
      <c r="H393" t="s">
        <v>54</v>
      </c>
      <c r="I393" t="s">
        <v>55</v>
      </c>
      <c r="J393" t="s">
        <v>352</v>
      </c>
      <c r="K393" t="s">
        <v>476</v>
      </c>
      <c r="M393" t="s">
        <v>1188</v>
      </c>
    </row>
    <row r="394" spans="1:13">
      <c r="A394" s="4">
        <v>46161</v>
      </c>
      <c r="B394" t="s">
        <v>350</v>
      </c>
      <c r="C394" t="s">
        <v>1189</v>
      </c>
      <c r="D394" s="4">
        <v>46161</v>
      </c>
      <c r="E394" t="s">
        <v>4</v>
      </c>
      <c r="F394" t="s">
        <v>52</v>
      </c>
      <c r="G394" t="s">
        <v>168</v>
      </c>
      <c r="H394" t="s">
        <v>68</v>
      </c>
      <c r="I394" t="s">
        <v>13</v>
      </c>
      <c r="J394" t="s">
        <v>352</v>
      </c>
      <c r="K394" t="s">
        <v>476</v>
      </c>
      <c r="M394" t="s">
        <v>1190</v>
      </c>
    </row>
    <row r="395" spans="1:13">
      <c r="A395" s="4">
        <v>46161</v>
      </c>
      <c r="B395" t="s">
        <v>350</v>
      </c>
      <c r="C395" t="s">
        <v>1191</v>
      </c>
      <c r="D395" s="4">
        <v>46161</v>
      </c>
      <c r="E395" t="s">
        <v>3</v>
      </c>
      <c r="F395" t="s">
        <v>52</v>
      </c>
      <c r="G395" t="s">
        <v>243</v>
      </c>
      <c r="H395" t="s">
        <v>68</v>
      </c>
      <c r="I395" t="s">
        <v>13</v>
      </c>
      <c r="J395" t="s">
        <v>352</v>
      </c>
      <c r="K395" t="s">
        <v>476</v>
      </c>
      <c r="M395" t="s">
        <v>1192</v>
      </c>
    </row>
    <row r="396" spans="1:13">
      <c r="A396" s="4">
        <v>46161</v>
      </c>
      <c r="B396" t="s">
        <v>350</v>
      </c>
      <c r="C396" t="s">
        <v>1193</v>
      </c>
      <c r="D396" s="4">
        <v>46161</v>
      </c>
      <c r="E396" t="s">
        <v>3</v>
      </c>
      <c r="F396" t="s">
        <v>52</v>
      </c>
      <c r="G396" t="s">
        <v>150</v>
      </c>
      <c r="H396" t="s">
        <v>54</v>
      </c>
      <c r="I396" t="s">
        <v>13</v>
      </c>
      <c r="J396" t="s">
        <v>352</v>
      </c>
      <c r="K396" t="s">
        <v>476</v>
      </c>
      <c r="M396" t="s">
        <v>1194</v>
      </c>
    </row>
    <row r="397" spans="1:13">
      <c r="A397" s="4">
        <v>46161</v>
      </c>
      <c r="B397" t="s">
        <v>350</v>
      </c>
      <c r="C397" t="s">
        <v>1195</v>
      </c>
      <c r="D397" s="4">
        <v>46161</v>
      </c>
      <c r="E397" t="s">
        <v>3</v>
      </c>
      <c r="F397" t="s">
        <v>52</v>
      </c>
      <c r="G397" t="s">
        <v>240</v>
      </c>
      <c r="H397" t="s">
        <v>68</v>
      </c>
      <c r="I397" t="s">
        <v>13</v>
      </c>
      <c r="J397" t="s">
        <v>352</v>
      </c>
      <c r="K397" t="s">
        <v>388</v>
      </c>
      <c r="M397" t="s">
        <v>1196</v>
      </c>
    </row>
    <row r="398" spans="1:13">
      <c r="A398" s="4">
        <v>46161</v>
      </c>
      <c r="B398" t="s">
        <v>350</v>
      </c>
      <c r="C398" t="s">
        <v>1197</v>
      </c>
      <c r="D398" s="4">
        <v>46161</v>
      </c>
      <c r="E398" t="s">
        <v>3</v>
      </c>
      <c r="F398" t="s">
        <v>52</v>
      </c>
      <c r="G398" t="s">
        <v>184</v>
      </c>
      <c r="H398" t="s">
        <v>68</v>
      </c>
      <c r="I398" t="s">
        <v>13</v>
      </c>
      <c r="J398" t="s">
        <v>352</v>
      </c>
      <c r="K398" t="s">
        <v>391</v>
      </c>
      <c r="M398" t="s">
        <v>1198</v>
      </c>
    </row>
    <row r="399" spans="1:13">
      <c r="A399" s="4">
        <v>46161</v>
      </c>
      <c r="B399" t="s">
        <v>350</v>
      </c>
      <c r="C399" t="s">
        <v>1199</v>
      </c>
      <c r="D399" s="4">
        <v>46160</v>
      </c>
      <c r="E399" t="s">
        <v>6</v>
      </c>
      <c r="F399" t="s">
        <v>52</v>
      </c>
      <c r="G399" t="s">
        <v>299</v>
      </c>
      <c r="H399" t="s">
        <v>70</v>
      </c>
      <c r="I399" t="s">
        <v>55</v>
      </c>
      <c r="J399" t="s">
        <v>352</v>
      </c>
      <c r="K399" t="s">
        <v>405</v>
      </c>
      <c r="M399" t="s">
        <v>1200</v>
      </c>
    </row>
    <row r="400" spans="1:13">
      <c r="A400" s="4">
        <v>46161</v>
      </c>
      <c r="B400" t="s">
        <v>350</v>
      </c>
      <c r="C400" t="s">
        <v>1201</v>
      </c>
      <c r="D400" s="4">
        <v>46161</v>
      </c>
      <c r="E400" t="s">
        <v>3</v>
      </c>
      <c r="F400" t="s">
        <v>52</v>
      </c>
      <c r="G400" t="s">
        <v>300</v>
      </c>
      <c r="H400" t="s">
        <v>68</v>
      </c>
      <c r="I400" t="s">
        <v>29</v>
      </c>
      <c r="J400" t="s">
        <v>352</v>
      </c>
      <c r="K400" t="s">
        <v>405</v>
      </c>
      <c r="M400" t="s">
        <v>1202</v>
      </c>
    </row>
    <row r="401" spans="1:13">
      <c r="A401" s="4">
        <v>46161</v>
      </c>
      <c r="B401" t="s">
        <v>350</v>
      </c>
      <c r="C401" t="s">
        <v>1203</v>
      </c>
      <c r="D401" s="4">
        <v>46161</v>
      </c>
      <c r="E401" t="s">
        <v>3</v>
      </c>
      <c r="F401" t="s">
        <v>52</v>
      </c>
      <c r="G401" t="s">
        <v>300</v>
      </c>
      <c r="H401" t="s">
        <v>68</v>
      </c>
      <c r="I401" t="s">
        <v>29</v>
      </c>
      <c r="J401" t="s">
        <v>352</v>
      </c>
      <c r="K401" t="s">
        <v>405</v>
      </c>
      <c r="M401" t="s">
        <v>1204</v>
      </c>
    </row>
    <row r="402" spans="1:13">
      <c r="A402" s="4">
        <v>46161</v>
      </c>
      <c r="B402" t="s">
        <v>350</v>
      </c>
      <c r="C402" t="s">
        <v>1205</v>
      </c>
      <c r="D402" s="4">
        <v>46161</v>
      </c>
      <c r="E402" t="s">
        <v>3</v>
      </c>
      <c r="F402" t="s">
        <v>52</v>
      </c>
      <c r="G402" t="s">
        <v>304</v>
      </c>
      <c r="H402" t="s">
        <v>68</v>
      </c>
      <c r="I402" t="s">
        <v>13</v>
      </c>
      <c r="J402" t="s">
        <v>352</v>
      </c>
      <c r="K402" t="s">
        <v>405</v>
      </c>
      <c r="M402" t="s">
        <v>1206</v>
      </c>
    </row>
    <row r="403" spans="1:13">
      <c r="A403" s="4">
        <v>46161</v>
      </c>
      <c r="B403" t="s">
        <v>350</v>
      </c>
      <c r="C403" t="s">
        <v>1207</v>
      </c>
      <c r="D403" s="4">
        <v>46091</v>
      </c>
      <c r="E403" t="s">
        <v>6</v>
      </c>
      <c r="F403" t="s">
        <v>10</v>
      </c>
      <c r="G403" t="s">
        <v>30</v>
      </c>
      <c r="H403" t="s">
        <v>15</v>
      </c>
      <c r="I403" t="s">
        <v>13</v>
      </c>
      <c r="J403" t="s">
        <v>352</v>
      </c>
      <c r="K403" t="s">
        <v>675</v>
      </c>
      <c r="M403" t="s">
        <v>1208</v>
      </c>
    </row>
    <row r="404" spans="1:13">
      <c r="A404" s="4">
        <v>46161</v>
      </c>
      <c r="B404" t="s">
        <v>350</v>
      </c>
      <c r="C404" t="s">
        <v>1209</v>
      </c>
      <c r="D404" s="4">
        <v>46154</v>
      </c>
      <c r="E404" t="s">
        <v>6</v>
      </c>
      <c r="F404" t="s">
        <v>52</v>
      </c>
      <c r="G404" t="s">
        <v>117</v>
      </c>
      <c r="H404" t="s">
        <v>70</v>
      </c>
      <c r="I404" t="s">
        <v>13</v>
      </c>
      <c r="J404" t="s">
        <v>352</v>
      </c>
      <c r="K404" t="s">
        <v>422</v>
      </c>
      <c r="M404" t="s">
        <v>1210</v>
      </c>
    </row>
    <row r="405" spans="1:13">
      <c r="A405" s="4">
        <v>46161</v>
      </c>
      <c r="B405" t="s">
        <v>350</v>
      </c>
      <c r="C405" t="s">
        <v>1211</v>
      </c>
      <c r="D405" s="4">
        <v>46161</v>
      </c>
      <c r="E405" t="s">
        <v>3</v>
      </c>
      <c r="F405" t="s">
        <v>52</v>
      </c>
      <c r="G405" t="s">
        <v>96</v>
      </c>
      <c r="H405" t="s">
        <v>54</v>
      </c>
      <c r="I405" t="s">
        <v>29</v>
      </c>
      <c r="J405" t="s">
        <v>352</v>
      </c>
      <c r="K405" t="s">
        <v>1212</v>
      </c>
      <c r="M405" t="s">
        <v>1213</v>
      </c>
    </row>
    <row r="406" spans="1:13">
      <c r="A406" s="4">
        <v>46161</v>
      </c>
      <c r="B406" t="s">
        <v>350</v>
      </c>
      <c r="C406" t="s">
        <v>1214</v>
      </c>
      <c r="D406" s="4">
        <v>46151</v>
      </c>
      <c r="E406" t="s">
        <v>6</v>
      </c>
      <c r="F406" t="s">
        <v>52</v>
      </c>
      <c r="G406" t="s">
        <v>215</v>
      </c>
      <c r="H406" t="s">
        <v>68</v>
      </c>
      <c r="I406" t="s">
        <v>13</v>
      </c>
      <c r="J406" t="s">
        <v>352</v>
      </c>
      <c r="K406" t="s">
        <v>499</v>
      </c>
      <c r="M406" t="s">
        <v>1215</v>
      </c>
    </row>
    <row r="407" spans="1:13">
      <c r="A407" s="4">
        <v>46161</v>
      </c>
      <c r="B407" t="s">
        <v>350</v>
      </c>
      <c r="C407" t="s">
        <v>1216</v>
      </c>
      <c r="D407" s="4">
        <v>46148</v>
      </c>
      <c r="E407" t="s">
        <v>6</v>
      </c>
      <c r="F407" t="s">
        <v>52</v>
      </c>
      <c r="G407" t="s">
        <v>284</v>
      </c>
      <c r="H407" t="s">
        <v>68</v>
      </c>
      <c r="I407" t="s">
        <v>13</v>
      </c>
      <c r="J407" t="s">
        <v>352</v>
      </c>
      <c r="K407" t="s">
        <v>430</v>
      </c>
      <c r="M407" t="s">
        <v>1217</v>
      </c>
    </row>
    <row r="408" spans="1:13">
      <c r="A408" s="4">
        <v>46161</v>
      </c>
      <c r="B408" t="s">
        <v>350</v>
      </c>
      <c r="C408" t="s">
        <v>1218</v>
      </c>
      <c r="D408" s="4">
        <v>46161</v>
      </c>
      <c r="E408" t="s">
        <v>5</v>
      </c>
      <c r="F408" t="s">
        <v>52</v>
      </c>
      <c r="G408" t="s">
        <v>291</v>
      </c>
      <c r="H408" t="s">
        <v>68</v>
      </c>
      <c r="I408" t="s">
        <v>29</v>
      </c>
      <c r="J408" t="s">
        <v>352</v>
      </c>
      <c r="K408" t="s">
        <v>430</v>
      </c>
      <c r="M408" t="s">
        <v>1219</v>
      </c>
    </row>
    <row r="409" spans="1:13">
      <c r="A409" s="4">
        <v>46161</v>
      </c>
      <c r="B409" t="s">
        <v>350</v>
      </c>
      <c r="C409" t="s">
        <v>1220</v>
      </c>
      <c r="D409" s="4">
        <v>46161</v>
      </c>
      <c r="E409" t="s">
        <v>3</v>
      </c>
      <c r="F409" t="s">
        <v>52</v>
      </c>
      <c r="G409" t="s">
        <v>288</v>
      </c>
      <c r="H409" t="s">
        <v>68</v>
      </c>
      <c r="I409" t="s">
        <v>13</v>
      </c>
      <c r="J409" t="s">
        <v>352</v>
      </c>
      <c r="K409" t="s">
        <v>430</v>
      </c>
      <c r="M409" t="s">
        <v>1221</v>
      </c>
    </row>
    <row r="410" spans="1:13">
      <c r="A410" s="4">
        <v>46161</v>
      </c>
      <c r="B410" t="s">
        <v>350</v>
      </c>
      <c r="C410" t="s">
        <v>1222</v>
      </c>
      <c r="D410" s="4">
        <v>46161</v>
      </c>
      <c r="E410" t="s">
        <v>3</v>
      </c>
      <c r="F410" t="s">
        <v>52</v>
      </c>
      <c r="G410" t="s">
        <v>168</v>
      </c>
      <c r="H410" t="s">
        <v>68</v>
      </c>
      <c r="I410" t="s">
        <v>13</v>
      </c>
      <c r="J410" t="s">
        <v>352</v>
      </c>
      <c r="K410" t="s">
        <v>435</v>
      </c>
      <c r="M410" t="s">
        <v>1223</v>
      </c>
    </row>
    <row r="411" spans="1:13">
      <c r="A411" s="4">
        <v>46161</v>
      </c>
      <c r="B411" t="s">
        <v>350</v>
      </c>
      <c r="C411" t="s">
        <v>1224</v>
      </c>
      <c r="D411" s="4">
        <v>46161</v>
      </c>
      <c r="E411" t="s">
        <v>3</v>
      </c>
      <c r="F411" t="s">
        <v>52</v>
      </c>
      <c r="G411" t="s">
        <v>168</v>
      </c>
      <c r="H411" t="s">
        <v>68</v>
      </c>
      <c r="I411" t="s">
        <v>13</v>
      </c>
      <c r="J411" t="s">
        <v>352</v>
      </c>
      <c r="K411" t="s">
        <v>435</v>
      </c>
      <c r="M411" t="s">
        <v>1225</v>
      </c>
    </row>
    <row r="412" spans="1:13">
      <c r="A412" s="4">
        <v>46161</v>
      </c>
      <c r="B412" t="s">
        <v>350</v>
      </c>
      <c r="C412" t="s">
        <v>1226</v>
      </c>
      <c r="D412" s="4">
        <v>46160</v>
      </c>
      <c r="E412" t="s">
        <v>3</v>
      </c>
      <c r="F412" t="s">
        <v>52</v>
      </c>
      <c r="G412" t="s">
        <v>93</v>
      </c>
      <c r="H412" t="s">
        <v>68</v>
      </c>
      <c r="I412" t="s">
        <v>13</v>
      </c>
      <c r="J412" t="s">
        <v>352</v>
      </c>
      <c r="K412" t="s">
        <v>576</v>
      </c>
      <c r="M412" t="s">
        <v>1227</v>
      </c>
    </row>
    <row r="413" spans="1:13">
      <c r="A413" s="4">
        <v>46161</v>
      </c>
      <c r="B413" t="s">
        <v>350</v>
      </c>
      <c r="C413" t="s">
        <v>1228</v>
      </c>
      <c r="D413" s="4">
        <v>46161</v>
      </c>
      <c r="E413" t="s">
        <v>5</v>
      </c>
      <c r="F413" t="s">
        <v>52</v>
      </c>
      <c r="G413" t="s">
        <v>89</v>
      </c>
      <c r="H413" t="s">
        <v>68</v>
      </c>
      <c r="I413" t="s">
        <v>29</v>
      </c>
      <c r="J413" t="s">
        <v>352</v>
      </c>
      <c r="K413" t="s">
        <v>576</v>
      </c>
      <c r="M413" t="s">
        <v>1229</v>
      </c>
    </row>
    <row r="414" spans="1:13">
      <c r="A414" s="4">
        <v>46161</v>
      </c>
      <c r="B414" t="s">
        <v>350</v>
      </c>
      <c r="C414" t="s">
        <v>1230</v>
      </c>
      <c r="D414" s="4">
        <v>46161</v>
      </c>
      <c r="E414" t="s">
        <v>5</v>
      </c>
      <c r="F414" t="s">
        <v>52</v>
      </c>
      <c r="G414" t="s">
        <v>91</v>
      </c>
      <c r="H414" t="s">
        <v>68</v>
      </c>
      <c r="I414" t="s">
        <v>13</v>
      </c>
      <c r="J414" t="s">
        <v>352</v>
      </c>
      <c r="K414" t="s">
        <v>576</v>
      </c>
      <c r="M414" t="s">
        <v>1231</v>
      </c>
    </row>
    <row r="415" spans="1:13">
      <c r="A415" s="4">
        <v>46161</v>
      </c>
      <c r="B415" t="s">
        <v>350</v>
      </c>
      <c r="C415" t="s">
        <v>1232</v>
      </c>
      <c r="D415" s="4">
        <v>46157</v>
      </c>
      <c r="E415" t="s">
        <v>6</v>
      </c>
      <c r="F415" t="s">
        <v>52</v>
      </c>
      <c r="G415" t="s">
        <v>129</v>
      </c>
      <c r="H415" t="s">
        <v>68</v>
      </c>
      <c r="I415" t="s">
        <v>13</v>
      </c>
      <c r="J415" t="s">
        <v>352</v>
      </c>
      <c r="K415" t="s">
        <v>973</v>
      </c>
      <c r="M415" t="s">
        <v>1233</v>
      </c>
    </row>
    <row r="416" spans="1:13">
      <c r="A416" s="4">
        <v>46161</v>
      </c>
      <c r="B416" t="s">
        <v>350</v>
      </c>
      <c r="C416" t="s">
        <v>1234</v>
      </c>
      <c r="D416" s="4">
        <v>46156</v>
      </c>
      <c r="E416" t="s">
        <v>6</v>
      </c>
      <c r="F416" t="s">
        <v>52</v>
      </c>
      <c r="G416" t="s">
        <v>135</v>
      </c>
      <c r="H416" t="s">
        <v>68</v>
      </c>
      <c r="I416" t="s">
        <v>13</v>
      </c>
      <c r="J416" t="s">
        <v>352</v>
      </c>
      <c r="K416" t="s">
        <v>973</v>
      </c>
      <c r="M416" t="s">
        <v>1235</v>
      </c>
    </row>
    <row r="417" spans="1:13">
      <c r="A417" s="4">
        <v>46161</v>
      </c>
      <c r="B417" t="s">
        <v>350</v>
      </c>
      <c r="C417" t="s">
        <v>1236</v>
      </c>
      <c r="D417" s="4">
        <v>46160</v>
      </c>
      <c r="E417" t="s">
        <v>5</v>
      </c>
      <c r="F417" t="s">
        <v>52</v>
      </c>
      <c r="G417" t="s">
        <v>130</v>
      </c>
      <c r="H417" t="s">
        <v>68</v>
      </c>
      <c r="I417" t="s">
        <v>13</v>
      </c>
      <c r="J417" t="s">
        <v>352</v>
      </c>
      <c r="K417" t="s">
        <v>973</v>
      </c>
      <c r="M417" t="s">
        <v>1237</v>
      </c>
    </row>
    <row r="418" spans="1:13">
      <c r="A418" s="4">
        <v>46162</v>
      </c>
      <c r="B418" t="s">
        <v>350</v>
      </c>
      <c r="C418" t="s">
        <v>1238</v>
      </c>
      <c r="D418" s="4">
        <v>46162</v>
      </c>
      <c r="E418" t="s">
        <v>3</v>
      </c>
      <c r="F418" t="s">
        <v>52</v>
      </c>
      <c r="G418" t="s">
        <v>242</v>
      </c>
      <c r="H418" t="s">
        <v>68</v>
      </c>
      <c r="I418" t="s">
        <v>13</v>
      </c>
      <c r="J418" t="s">
        <v>352</v>
      </c>
      <c r="K418" t="s">
        <v>525</v>
      </c>
      <c r="M418" t="s">
        <v>1239</v>
      </c>
    </row>
    <row r="419" spans="1:13">
      <c r="A419" s="4">
        <v>46162</v>
      </c>
      <c r="B419" t="s">
        <v>350</v>
      </c>
      <c r="C419" t="s">
        <v>1240</v>
      </c>
      <c r="D419" s="4">
        <v>46162</v>
      </c>
      <c r="E419" t="s">
        <v>3</v>
      </c>
      <c r="F419" t="s">
        <v>52</v>
      </c>
      <c r="G419" t="s">
        <v>168</v>
      </c>
      <c r="H419" t="s">
        <v>68</v>
      </c>
      <c r="I419" t="s">
        <v>13</v>
      </c>
      <c r="J419" t="s">
        <v>352</v>
      </c>
      <c r="K419" t="s">
        <v>525</v>
      </c>
      <c r="M419" t="s">
        <v>1241</v>
      </c>
    </row>
    <row r="420" spans="1:13">
      <c r="A420" s="4">
        <v>46162</v>
      </c>
      <c r="B420" t="s">
        <v>350</v>
      </c>
      <c r="C420" t="s">
        <v>1242</v>
      </c>
      <c r="D420" s="4">
        <v>46162</v>
      </c>
      <c r="E420" t="s">
        <v>3</v>
      </c>
      <c r="F420" t="s">
        <v>52</v>
      </c>
      <c r="G420" t="s">
        <v>145</v>
      </c>
      <c r="H420" t="s">
        <v>54</v>
      </c>
      <c r="I420" t="s">
        <v>13</v>
      </c>
      <c r="J420" t="s">
        <v>352</v>
      </c>
      <c r="K420" t="s">
        <v>525</v>
      </c>
      <c r="M420" t="s">
        <v>1243</v>
      </c>
    </row>
    <row r="421" spans="1:13">
      <c r="A421" s="4">
        <v>46162</v>
      </c>
      <c r="B421" t="s">
        <v>350</v>
      </c>
      <c r="C421" t="s">
        <v>1244</v>
      </c>
      <c r="D421" s="4">
        <v>46162</v>
      </c>
      <c r="E421" t="s">
        <v>5</v>
      </c>
      <c r="F421" t="s">
        <v>52</v>
      </c>
      <c r="G421" t="s">
        <v>197</v>
      </c>
      <c r="H421" t="s">
        <v>68</v>
      </c>
      <c r="I421" t="s">
        <v>29</v>
      </c>
      <c r="J421" t="s">
        <v>352</v>
      </c>
      <c r="K421" t="s">
        <v>402</v>
      </c>
      <c r="M421" t="s">
        <v>1245</v>
      </c>
    </row>
    <row r="422" spans="1:13">
      <c r="A422" s="4">
        <v>46162</v>
      </c>
      <c r="B422" t="s">
        <v>350</v>
      </c>
      <c r="C422" t="s">
        <v>1246</v>
      </c>
      <c r="D422" s="4">
        <v>46162</v>
      </c>
      <c r="E422" t="s">
        <v>3</v>
      </c>
      <c r="F422" t="s">
        <v>52</v>
      </c>
      <c r="G422" t="s">
        <v>168</v>
      </c>
      <c r="H422" t="s">
        <v>68</v>
      </c>
      <c r="I422" t="s">
        <v>13</v>
      </c>
      <c r="J422" t="s">
        <v>352</v>
      </c>
      <c r="K422" t="s">
        <v>365</v>
      </c>
      <c r="M422" t="s">
        <v>1247</v>
      </c>
    </row>
    <row r="423" spans="1:13">
      <c r="A423" s="4">
        <v>46162</v>
      </c>
      <c r="B423" t="s">
        <v>350</v>
      </c>
      <c r="C423" t="s">
        <v>1248</v>
      </c>
      <c r="D423" s="4">
        <v>46162</v>
      </c>
      <c r="E423" t="s">
        <v>3</v>
      </c>
      <c r="F423" t="s">
        <v>52</v>
      </c>
      <c r="G423" t="s">
        <v>289</v>
      </c>
      <c r="H423" t="s">
        <v>68</v>
      </c>
      <c r="I423" t="s">
        <v>29</v>
      </c>
      <c r="J423" t="s">
        <v>844</v>
      </c>
      <c r="K423" t="s">
        <v>368</v>
      </c>
      <c r="M423" t="s">
        <v>1249</v>
      </c>
    </row>
    <row r="424" spans="1:13">
      <c r="A424" s="4">
        <v>46162</v>
      </c>
      <c r="B424" t="s">
        <v>350</v>
      </c>
      <c r="C424" t="s">
        <v>1250</v>
      </c>
      <c r="D424" s="4">
        <v>46162</v>
      </c>
      <c r="E424" t="s">
        <v>3</v>
      </c>
      <c r="F424" t="s">
        <v>52</v>
      </c>
      <c r="G424" t="s">
        <v>192</v>
      </c>
      <c r="H424" t="s">
        <v>68</v>
      </c>
      <c r="I424" t="s">
        <v>29</v>
      </c>
      <c r="J424" t="s">
        <v>352</v>
      </c>
      <c r="K424" t="s">
        <v>373</v>
      </c>
      <c r="M424" t="s">
        <v>1251</v>
      </c>
    </row>
    <row r="425" spans="1:13">
      <c r="A425" s="4">
        <v>46162</v>
      </c>
      <c r="B425" t="s">
        <v>350</v>
      </c>
      <c r="C425" t="s">
        <v>1252</v>
      </c>
      <c r="D425" s="4">
        <v>46162</v>
      </c>
      <c r="E425" t="s">
        <v>3</v>
      </c>
      <c r="F425" t="s">
        <v>52</v>
      </c>
      <c r="G425" t="s">
        <v>215</v>
      </c>
      <c r="H425" t="s">
        <v>68</v>
      </c>
      <c r="I425" t="s">
        <v>13</v>
      </c>
      <c r="J425" t="s">
        <v>352</v>
      </c>
      <c r="K425" t="s">
        <v>373</v>
      </c>
      <c r="M425" t="s">
        <v>1253</v>
      </c>
    </row>
    <row r="426" spans="1:13">
      <c r="A426" s="4">
        <v>46162</v>
      </c>
      <c r="B426" t="s">
        <v>350</v>
      </c>
      <c r="C426" t="s">
        <v>1254</v>
      </c>
      <c r="D426" s="4">
        <v>46162</v>
      </c>
      <c r="E426" t="s">
        <v>3</v>
      </c>
      <c r="F426" t="s">
        <v>52</v>
      </c>
      <c r="G426" t="s">
        <v>168</v>
      </c>
      <c r="H426" t="s">
        <v>68</v>
      </c>
      <c r="I426" t="s">
        <v>13</v>
      </c>
      <c r="J426" t="s">
        <v>352</v>
      </c>
      <c r="K426" t="s">
        <v>373</v>
      </c>
      <c r="M426" t="s">
        <v>1255</v>
      </c>
    </row>
    <row r="427" spans="1:13">
      <c r="A427" s="4">
        <v>46162</v>
      </c>
      <c r="B427" t="s">
        <v>350</v>
      </c>
      <c r="C427" t="s">
        <v>1256</v>
      </c>
      <c r="D427" s="4">
        <v>46162</v>
      </c>
      <c r="E427" t="s">
        <v>3</v>
      </c>
      <c r="F427" t="s">
        <v>52</v>
      </c>
      <c r="G427" t="s">
        <v>179</v>
      </c>
      <c r="H427" t="s">
        <v>68</v>
      </c>
      <c r="I427" t="s">
        <v>13</v>
      </c>
      <c r="J427" t="s">
        <v>352</v>
      </c>
      <c r="K427" t="s">
        <v>373</v>
      </c>
      <c r="M427" t="s">
        <v>1257</v>
      </c>
    </row>
    <row r="428" spans="1:13">
      <c r="A428" s="4">
        <v>46162</v>
      </c>
      <c r="B428" t="s">
        <v>350</v>
      </c>
      <c r="C428" t="s">
        <v>1258</v>
      </c>
      <c r="D428" s="4">
        <v>46142</v>
      </c>
      <c r="E428" t="s">
        <v>6</v>
      </c>
      <c r="F428" t="s">
        <v>52</v>
      </c>
      <c r="G428" t="s">
        <v>226</v>
      </c>
      <c r="H428" t="s">
        <v>68</v>
      </c>
      <c r="I428" t="s">
        <v>13</v>
      </c>
      <c r="J428" t="s">
        <v>352</v>
      </c>
      <c r="K428" t="s">
        <v>382</v>
      </c>
      <c r="M428" t="s">
        <v>1259</v>
      </c>
    </row>
    <row r="429" spans="1:13">
      <c r="A429" s="4">
        <v>46162</v>
      </c>
      <c r="B429" t="s">
        <v>350</v>
      </c>
      <c r="C429" t="s">
        <v>1260</v>
      </c>
      <c r="D429" s="4">
        <v>46162</v>
      </c>
      <c r="E429" t="s">
        <v>3</v>
      </c>
      <c r="F429" t="s">
        <v>52</v>
      </c>
      <c r="G429" t="s">
        <v>184</v>
      </c>
      <c r="H429" t="s">
        <v>68</v>
      </c>
      <c r="I429" t="s">
        <v>13</v>
      </c>
      <c r="J429" t="s">
        <v>352</v>
      </c>
      <c r="K429" t="s">
        <v>391</v>
      </c>
      <c r="M429" t="s">
        <v>1261</v>
      </c>
    </row>
    <row r="430" spans="1:13">
      <c r="A430" s="4">
        <v>46162</v>
      </c>
      <c r="B430" t="s">
        <v>350</v>
      </c>
      <c r="C430" t="s">
        <v>1262</v>
      </c>
      <c r="D430" s="4">
        <v>46162</v>
      </c>
      <c r="E430" t="s">
        <v>6</v>
      </c>
      <c r="F430" t="s">
        <v>52</v>
      </c>
      <c r="G430" t="s">
        <v>316</v>
      </c>
      <c r="H430" t="s">
        <v>68</v>
      </c>
      <c r="I430" t="s">
        <v>29</v>
      </c>
      <c r="J430" t="s">
        <v>352</v>
      </c>
      <c r="K430" t="s">
        <v>394</v>
      </c>
      <c r="M430" t="s">
        <v>1263</v>
      </c>
    </row>
    <row r="431" spans="1:13">
      <c r="A431" s="4">
        <v>46162</v>
      </c>
      <c r="B431" t="s">
        <v>350</v>
      </c>
      <c r="C431" t="s">
        <v>1264</v>
      </c>
      <c r="D431" s="4">
        <v>46162</v>
      </c>
      <c r="E431" t="s">
        <v>3</v>
      </c>
      <c r="F431" t="s">
        <v>52</v>
      </c>
      <c r="G431" t="s">
        <v>331</v>
      </c>
      <c r="H431" t="s">
        <v>54</v>
      </c>
      <c r="I431" t="s">
        <v>13</v>
      </c>
      <c r="J431" t="s">
        <v>352</v>
      </c>
      <c r="K431" t="s">
        <v>394</v>
      </c>
      <c r="M431" t="s">
        <v>1265</v>
      </c>
    </row>
    <row r="432" spans="1:13">
      <c r="A432" s="4">
        <v>46162</v>
      </c>
      <c r="B432" t="s">
        <v>350</v>
      </c>
      <c r="C432" t="s">
        <v>1266</v>
      </c>
      <c r="D432" s="4">
        <v>46162</v>
      </c>
      <c r="E432" t="s">
        <v>3</v>
      </c>
      <c r="F432" t="s">
        <v>52</v>
      </c>
      <c r="G432" t="s">
        <v>115</v>
      </c>
      <c r="H432" t="s">
        <v>68</v>
      </c>
      <c r="I432" t="s">
        <v>55</v>
      </c>
      <c r="J432" t="s">
        <v>352</v>
      </c>
      <c r="K432" t="s">
        <v>394</v>
      </c>
      <c r="M432" t="s">
        <v>1267</v>
      </c>
    </row>
    <row r="433" spans="1:13">
      <c r="A433" s="4">
        <v>46162</v>
      </c>
      <c r="B433" t="s">
        <v>350</v>
      </c>
      <c r="C433" t="s">
        <v>1268</v>
      </c>
      <c r="D433" s="4">
        <v>46162</v>
      </c>
      <c r="E433" t="s">
        <v>3</v>
      </c>
      <c r="F433" t="s">
        <v>52</v>
      </c>
      <c r="G433" t="s">
        <v>319</v>
      </c>
      <c r="H433" t="s">
        <v>68</v>
      </c>
      <c r="I433" t="s">
        <v>13</v>
      </c>
      <c r="J433" t="s">
        <v>352</v>
      </c>
      <c r="K433" t="s">
        <v>394</v>
      </c>
      <c r="M433" t="s">
        <v>1269</v>
      </c>
    </row>
    <row r="434" spans="1:13">
      <c r="A434" s="4">
        <v>46162</v>
      </c>
      <c r="B434" t="s">
        <v>350</v>
      </c>
      <c r="C434" t="s">
        <v>1270</v>
      </c>
      <c r="D434" s="4">
        <v>46162</v>
      </c>
      <c r="E434" t="s">
        <v>3</v>
      </c>
      <c r="F434" t="s">
        <v>52</v>
      </c>
      <c r="G434" t="s">
        <v>331</v>
      </c>
      <c r="H434" t="s">
        <v>54</v>
      </c>
      <c r="I434" t="s">
        <v>13</v>
      </c>
      <c r="J434" t="s">
        <v>352</v>
      </c>
      <c r="K434" t="s">
        <v>394</v>
      </c>
      <c r="M434" t="s">
        <v>1271</v>
      </c>
    </row>
    <row r="435" spans="1:13">
      <c r="A435" s="4">
        <v>46162</v>
      </c>
      <c r="B435" t="s">
        <v>350</v>
      </c>
      <c r="C435" t="s">
        <v>1272</v>
      </c>
      <c r="D435" s="4">
        <v>46162</v>
      </c>
      <c r="E435" t="s">
        <v>3</v>
      </c>
      <c r="F435" t="s">
        <v>52</v>
      </c>
      <c r="G435" t="s">
        <v>315</v>
      </c>
      <c r="H435" t="s">
        <v>68</v>
      </c>
      <c r="I435" t="s">
        <v>29</v>
      </c>
      <c r="J435" t="s">
        <v>352</v>
      </c>
      <c r="K435" t="s">
        <v>394</v>
      </c>
      <c r="M435" t="s">
        <v>1273</v>
      </c>
    </row>
    <row r="436" spans="1:13">
      <c r="A436" s="4">
        <v>46162</v>
      </c>
      <c r="B436" t="s">
        <v>350</v>
      </c>
      <c r="C436" t="s">
        <v>1274</v>
      </c>
      <c r="D436" s="4">
        <v>46162</v>
      </c>
      <c r="E436" t="s">
        <v>3</v>
      </c>
      <c r="F436" t="s">
        <v>52</v>
      </c>
      <c r="G436" t="s">
        <v>53</v>
      </c>
      <c r="H436" t="s">
        <v>54</v>
      </c>
      <c r="I436" t="s">
        <v>55</v>
      </c>
      <c r="J436" t="s">
        <v>352</v>
      </c>
      <c r="K436" t="s">
        <v>605</v>
      </c>
      <c r="M436" t="s">
        <v>1275</v>
      </c>
    </row>
    <row r="437" spans="1:13">
      <c r="A437" s="4">
        <v>46162</v>
      </c>
      <c r="B437" t="s">
        <v>350</v>
      </c>
      <c r="C437" t="s">
        <v>1276</v>
      </c>
      <c r="D437" s="4">
        <v>46162</v>
      </c>
      <c r="E437" t="s">
        <v>3</v>
      </c>
      <c r="F437" t="s">
        <v>52</v>
      </c>
      <c r="G437" t="s">
        <v>136</v>
      </c>
      <c r="H437" t="s">
        <v>68</v>
      </c>
      <c r="I437" t="s">
        <v>13</v>
      </c>
      <c r="J437" t="s">
        <v>352</v>
      </c>
      <c r="K437" t="s">
        <v>405</v>
      </c>
      <c r="M437" t="s">
        <v>1277</v>
      </c>
    </row>
    <row r="438" spans="1:13">
      <c r="A438" s="4">
        <v>46162</v>
      </c>
      <c r="B438" t="s">
        <v>350</v>
      </c>
      <c r="C438" t="s">
        <v>1278</v>
      </c>
      <c r="D438" s="4">
        <v>46162</v>
      </c>
      <c r="E438" t="s">
        <v>3</v>
      </c>
      <c r="F438" t="s">
        <v>52</v>
      </c>
      <c r="G438" t="s">
        <v>297</v>
      </c>
      <c r="H438" t="s">
        <v>68</v>
      </c>
      <c r="I438" t="s">
        <v>13</v>
      </c>
      <c r="J438" t="s">
        <v>352</v>
      </c>
      <c r="K438" t="s">
        <v>405</v>
      </c>
      <c r="M438" t="s">
        <v>1279</v>
      </c>
    </row>
    <row r="439" spans="1:13">
      <c r="A439" s="4">
        <v>46162</v>
      </c>
      <c r="B439" t="s">
        <v>350</v>
      </c>
      <c r="C439" t="s">
        <v>1280</v>
      </c>
      <c r="D439" s="4">
        <v>46162</v>
      </c>
      <c r="E439" t="s">
        <v>3</v>
      </c>
      <c r="F439" t="s">
        <v>52</v>
      </c>
      <c r="G439" t="s">
        <v>139</v>
      </c>
      <c r="H439" t="s">
        <v>68</v>
      </c>
      <c r="I439" t="s">
        <v>13</v>
      </c>
      <c r="J439" t="s">
        <v>352</v>
      </c>
      <c r="K439" t="s">
        <v>405</v>
      </c>
      <c r="M439" t="s">
        <v>1281</v>
      </c>
    </row>
    <row r="440" spans="1:13">
      <c r="A440" s="4">
        <v>46162</v>
      </c>
      <c r="B440" t="s">
        <v>350</v>
      </c>
      <c r="C440" t="s">
        <v>1282</v>
      </c>
      <c r="D440" s="4">
        <v>46162</v>
      </c>
      <c r="E440" t="s">
        <v>3</v>
      </c>
      <c r="F440" t="s">
        <v>52</v>
      </c>
      <c r="G440" t="s">
        <v>297</v>
      </c>
      <c r="H440" t="s">
        <v>68</v>
      </c>
      <c r="I440" t="s">
        <v>13</v>
      </c>
      <c r="J440" t="s">
        <v>352</v>
      </c>
      <c r="K440" t="s">
        <v>405</v>
      </c>
      <c r="M440" t="s">
        <v>1283</v>
      </c>
    </row>
    <row r="441" spans="1:13">
      <c r="A441" s="4">
        <v>46162</v>
      </c>
      <c r="B441" t="s">
        <v>350</v>
      </c>
      <c r="C441" t="s">
        <v>1284</v>
      </c>
      <c r="D441" s="4">
        <v>46162</v>
      </c>
      <c r="E441" t="s">
        <v>3</v>
      </c>
      <c r="F441" t="s">
        <v>52</v>
      </c>
      <c r="G441" t="s">
        <v>297</v>
      </c>
      <c r="H441" t="s">
        <v>68</v>
      </c>
      <c r="I441" t="s">
        <v>13</v>
      </c>
      <c r="J441" t="s">
        <v>352</v>
      </c>
      <c r="K441" t="s">
        <v>405</v>
      </c>
      <c r="M441" t="s">
        <v>1285</v>
      </c>
    </row>
    <row r="442" spans="1:13">
      <c r="A442" s="4">
        <v>46162</v>
      </c>
      <c r="B442" t="s">
        <v>350</v>
      </c>
      <c r="C442" t="s">
        <v>1286</v>
      </c>
      <c r="D442" s="4">
        <v>46162</v>
      </c>
      <c r="E442" t="s">
        <v>3</v>
      </c>
      <c r="F442" t="s">
        <v>52</v>
      </c>
      <c r="G442" t="s">
        <v>305</v>
      </c>
      <c r="H442" t="s">
        <v>68</v>
      </c>
      <c r="I442" t="s">
        <v>13</v>
      </c>
      <c r="J442" t="s">
        <v>352</v>
      </c>
      <c r="K442" t="s">
        <v>405</v>
      </c>
      <c r="M442" t="s">
        <v>1287</v>
      </c>
    </row>
    <row r="443" spans="1:13">
      <c r="A443" s="4">
        <v>46162</v>
      </c>
      <c r="B443" t="s">
        <v>350</v>
      </c>
      <c r="C443" t="s">
        <v>1288</v>
      </c>
      <c r="D443" s="4">
        <v>46162</v>
      </c>
      <c r="E443" t="s">
        <v>3</v>
      </c>
      <c r="F443" t="s">
        <v>52</v>
      </c>
      <c r="G443" t="s">
        <v>300</v>
      </c>
      <c r="H443" t="s">
        <v>68</v>
      </c>
      <c r="I443" t="s">
        <v>29</v>
      </c>
      <c r="J443" t="s">
        <v>352</v>
      </c>
      <c r="K443" t="s">
        <v>405</v>
      </c>
      <c r="M443" t="s">
        <v>1289</v>
      </c>
    </row>
    <row r="444" spans="1:13">
      <c r="A444" s="4">
        <v>46162</v>
      </c>
      <c r="B444" t="s">
        <v>350</v>
      </c>
      <c r="C444" t="s">
        <v>1290</v>
      </c>
      <c r="D444" s="4">
        <v>46162</v>
      </c>
      <c r="E444" t="s">
        <v>3</v>
      </c>
      <c r="F444" t="s">
        <v>52</v>
      </c>
      <c r="G444" t="s">
        <v>136</v>
      </c>
      <c r="H444" t="s">
        <v>68</v>
      </c>
      <c r="I444" t="s">
        <v>13</v>
      </c>
      <c r="J444" t="s">
        <v>352</v>
      </c>
      <c r="K444" t="s">
        <v>405</v>
      </c>
      <c r="M444" t="s">
        <v>1291</v>
      </c>
    </row>
    <row r="445" spans="1:13">
      <c r="A445" s="4">
        <v>46162</v>
      </c>
      <c r="B445" t="s">
        <v>350</v>
      </c>
      <c r="C445" t="s">
        <v>1292</v>
      </c>
      <c r="D445" s="4">
        <v>46162</v>
      </c>
      <c r="E445" t="s">
        <v>3</v>
      </c>
      <c r="F445" t="s">
        <v>52</v>
      </c>
      <c r="G445" t="s">
        <v>190</v>
      </c>
      <c r="H445" t="s">
        <v>70</v>
      </c>
      <c r="I445" t="s">
        <v>13</v>
      </c>
      <c r="J445" t="s">
        <v>352</v>
      </c>
      <c r="K445" t="s">
        <v>691</v>
      </c>
      <c r="M445" t="s">
        <v>1293</v>
      </c>
    </row>
    <row r="446" spans="1:13">
      <c r="A446" s="4">
        <v>46162</v>
      </c>
      <c r="B446" t="s">
        <v>350</v>
      </c>
      <c r="C446" t="s">
        <v>1294</v>
      </c>
      <c r="D446" s="4">
        <v>46162</v>
      </c>
      <c r="E446" t="s">
        <v>3</v>
      </c>
      <c r="F446" t="s">
        <v>52</v>
      </c>
      <c r="G446" t="s">
        <v>279</v>
      </c>
      <c r="H446" t="s">
        <v>68</v>
      </c>
      <c r="I446" t="s">
        <v>13</v>
      </c>
      <c r="J446" t="s">
        <v>352</v>
      </c>
      <c r="K446" t="s">
        <v>430</v>
      </c>
      <c r="M446" t="s">
        <v>1295</v>
      </c>
    </row>
    <row r="447" spans="1:13">
      <c r="A447" s="4">
        <v>46162</v>
      </c>
      <c r="B447" t="s">
        <v>350</v>
      </c>
      <c r="C447" t="s">
        <v>1296</v>
      </c>
      <c r="D447" s="4">
        <v>46162</v>
      </c>
      <c r="E447" t="s">
        <v>3</v>
      </c>
      <c r="F447" t="s">
        <v>52</v>
      </c>
      <c r="G447" t="s">
        <v>192</v>
      </c>
      <c r="H447" t="s">
        <v>68</v>
      </c>
      <c r="I447" t="s">
        <v>29</v>
      </c>
      <c r="J447" t="s">
        <v>352</v>
      </c>
      <c r="K447" t="s">
        <v>435</v>
      </c>
      <c r="M447" t="s">
        <v>1297</v>
      </c>
    </row>
    <row r="448" spans="1:13">
      <c r="A448" s="4">
        <v>46162</v>
      </c>
      <c r="B448" t="s">
        <v>350</v>
      </c>
      <c r="C448" t="s">
        <v>1298</v>
      </c>
      <c r="D448" s="4">
        <v>46162</v>
      </c>
      <c r="E448" t="s">
        <v>3</v>
      </c>
      <c r="F448" t="s">
        <v>52</v>
      </c>
      <c r="G448" t="s">
        <v>124</v>
      </c>
      <c r="H448" t="s">
        <v>68</v>
      </c>
      <c r="I448" t="s">
        <v>13</v>
      </c>
      <c r="J448" t="s">
        <v>352</v>
      </c>
      <c r="K448" t="s">
        <v>973</v>
      </c>
      <c r="M448" t="s">
        <v>1299</v>
      </c>
    </row>
    <row r="449" spans="1:13">
      <c r="A449" s="4">
        <v>46162</v>
      </c>
      <c r="B449" t="s">
        <v>350</v>
      </c>
      <c r="C449" t="s">
        <v>1300</v>
      </c>
      <c r="D449" s="4">
        <v>46162</v>
      </c>
      <c r="E449" t="s">
        <v>3</v>
      </c>
      <c r="F449" t="s">
        <v>52</v>
      </c>
      <c r="G449" t="s">
        <v>98</v>
      </c>
      <c r="H449" t="s">
        <v>68</v>
      </c>
      <c r="I449" t="s">
        <v>55</v>
      </c>
      <c r="J449" t="s">
        <v>352</v>
      </c>
      <c r="K449" t="s">
        <v>973</v>
      </c>
      <c r="M449" t="s">
        <v>1301</v>
      </c>
    </row>
    <row r="450" spans="1:13">
      <c r="A450" s="4">
        <v>46162</v>
      </c>
      <c r="B450" t="s">
        <v>350</v>
      </c>
      <c r="C450" t="s">
        <v>1302</v>
      </c>
      <c r="D450" s="4">
        <v>46162</v>
      </c>
      <c r="E450" t="s">
        <v>3</v>
      </c>
      <c r="F450" t="s">
        <v>52</v>
      </c>
      <c r="G450" t="s">
        <v>171</v>
      </c>
      <c r="H450" t="s">
        <v>54</v>
      </c>
      <c r="I450" t="s">
        <v>13</v>
      </c>
      <c r="J450" t="s">
        <v>352</v>
      </c>
      <c r="K450" t="s">
        <v>894</v>
      </c>
      <c r="M450" t="s">
        <v>1303</v>
      </c>
    </row>
    <row r="451" spans="1:13">
      <c r="A451" s="4">
        <v>46162</v>
      </c>
      <c r="B451" t="s">
        <v>350</v>
      </c>
      <c r="C451" t="s">
        <v>1304</v>
      </c>
      <c r="D451" s="4">
        <v>46162</v>
      </c>
      <c r="E451" t="s">
        <v>3</v>
      </c>
      <c r="F451" t="s">
        <v>52</v>
      </c>
      <c r="G451" t="s">
        <v>161</v>
      </c>
      <c r="H451" t="s">
        <v>54</v>
      </c>
      <c r="I451" t="s">
        <v>13</v>
      </c>
      <c r="J451" t="s">
        <v>352</v>
      </c>
      <c r="K451" t="s">
        <v>894</v>
      </c>
      <c r="M451" t="s">
        <v>1305</v>
      </c>
    </row>
    <row r="452" spans="1:13">
      <c r="A452" s="4">
        <v>46162</v>
      </c>
      <c r="B452" t="s">
        <v>350</v>
      </c>
      <c r="C452" t="s">
        <v>1306</v>
      </c>
      <c r="D452" s="4">
        <v>46162</v>
      </c>
      <c r="E452" t="s">
        <v>3</v>
      </c>
      <c r="F452" t="s">
        <v>52</v>
      </c>
      <c r="G452" t="s">
        <v>169</v>
      </c>
      <c r="H452" t="s">
        <v>68</v>
      </c>
      <c r="I452" t="s">
        <v>13</v>
      </c>
      <c r="J452" t="s">
        <v>352</v>
      </c>
      <c r="K452" t="s">
        <v>894</v>
      </c>
      <c r="M452" t="s">
        <v>1307</v>
      </c>
    </row>
    <row r="453" spans="1:13">
      <c r="A453" s="4">
        <v>46162</v>
      </c>
      <c r="B453" t="s">
        <v>350</v>
      </c>
      <c r="C453" t="s">
        <v>1308</v>
      </c>
      <c r="D453" s="4">
        <v>46162</v>
      </c>
      <c r="E453" t="s">
        <v>3</v>
      </c>
      <c r="F453" t="s">
        <v>52</v>
      </c>
      <c r="G453" t="s">
        <v>158</v>
      </c>
      <c r="H453" t="s">
        <v>54</v>
      </c>
      <c r="I453" t="s">
        <v>29</v>
      </c>
      <c r="J453" t="s">
        <v>352</v>
      </c>
      <c r="K453" t="s">
        <v>894</v>
      </c>
      <c r="M453" t="s">
        <v>1309</v>
      </c>
    </row>
    <row r="454" spans="1:13">
      <c r="A454" s="4">
        <v>46162</v>
      </c>
      <c r="B454" t="s">
        <v>350</v>
      </c>
      <c r="C454" t="s">
        <v>1310</v>
      </c>
      <c r="D454" s="4">
        <v>46162</v>
      </c>
      <c r="E454" t="s">
        <v>3</v>
      </c>
      <c r="F454" t="s">
        <v>52</v>
      </c>
      <c r="G454" t="s">
        <v>159</v>
      </c>
      <c r="H454" t="s">
        <v>54</v>
      </c>
      <c r="I454" t="s">
        <v>13</v>
      </c>
      <c r="J454" t="s">
        <v>352</v>
      </c>
      <c r="K454" t="s">
        <v>894</v>
      </c>
      <c r="M454" t="s">
        <v>1311</v>
      </c>
    </row>
    <row r="455" spans="1:13">
      <c r="A455" s="4">
        <v>46162</v>
      </c>
      <c r="B455" t="s">
        <v>350</v>
      </c>
      <c r="C455" t="s">
        <v>1312</v>
      </c>
      <c r="D455" s="4">
        <v>46162</v>
      </c>
      <c r="E455" t="s">
        <v>3</v>
      </c>
      <c r="F455" t="s">
        <v>52</v>
      </c>
      <c r="G455" t="s">
        <v>170</v>
      </c>
      <c r="H455" t="s">
        <v>68</v>
      </c>
      <c r="I455" t="s">
        <v>13</v>
      </c>
      <c r="J455" t="s">
        <v>352</v>
      </c>
      <c r="K455" t="s">
        <v>894</v>
      </c>
      <c r="M455" t="s">
        <v>1313</v>
      </c>
    </row>
    <row r="456" spans="1:13">
      <c r="A456" s="4">
        <v>46162</v>
      </c>
      <c r="B456" t="s">
        <v>350</v>
      </c>
      <c r="C456" t="s">
        <v>1314</v>
      </c>
      <c r="D456" s="4">
        <v>46162</v>
      </c>
      <c r="E456" t="s">
        <v>0</v>
      </c>
      <c r="F456" t="s">
        <v>52</v>
      </c>
      <c r="G456" t="s">
        <v>162</v>
      </c>
      <c r="H456" t="s">
        <v>54</v>
      </c>
      <c r="I456" t="s">
        <v>13</v>
      </c>
      <c r="J456" t="s">
        <v>352</v>
      </c>
      <c r="K456" t="s">
        <v>894</v>
      </c>
      <c r="M456" t="s">
        <v>1315</v>
      </c>
    </row>
    <row r="457" spans="1:13">
      <c r="A457" s="4">
        <v>46162</v>
      </c>
      <c r="B457" t="s">
        <v>350</v>
      </c>
      <c r="C457" t="s">
        <v>1316</v>
      </c>
      <c r="D457" s="4">
        <v>46162</v>
      </c>
      <c r="E457" t="s">
        <v>3</v>
      </c>
      <c r="F457" t="s">
        <v>52</v>
      </c>
      <c r="G457" t="s">
        <v>166</v>
      </c>
      <c r="H457" t="s">
        <v>68</v>
      </c>
      <c r="I457" t="s">
        <v>13</v>
      </c>
      <c r="J457" t="s">
        <v>352</v>
      </c>
      <c r="K457" t="s">
        <v>582</v>
      </c>
      <c r="M457" t="s">
        <v>1317</v>
      </c>
    </row>
    <row r="458" spans="1:13">
      <c r="A458" s="4">
        <v>46162</v>
      </c>
      <c r="B458" t="s">
        <v>350</v>
      </c>
      <c r="C458" t="s">
        <v>1318</v>
      </c>
      <c r="D458" s="4">
        <v>46162</v>
      </c>
      <c r="E458" t="s">
        <v>3</v>
      </c>
      <c r="F458" t="s">
        <v>52</v>
      </c>
      <c r="G458" t="s">
        <v>166</v>
      </c>
      <c r="H458" t="s">
        <v>68</v>
      </c>
      <c r="I458" t="s">
        <v>13</v>
      </c>
      <c r="J458" t="s">
        <v>352</v>
      </c>
      <c r="K458" t="s">
        <v>582</v>
      </c>
      <c r="M458" t="s">
        <v>1319</v>
      </c>
    </row>
    <row r="459" spans="1:13">
      <c r="A459" s="4">
        <v>46162</v>
      </c>
      <c r="B459" t="s">
        <v>350</v>
      </c>
      <c r="C459" t="s">
        <v>1320</v>
      </c>
      <c r="D459" s="4">
        <v>46162</v>
      </c>
      <c r="E459" t="s">
        <v>3</v>
      </c>
      <c r="F459" t="s">
        <v>52</v>
      </c>
      <c r="G459" t="s">
        <v>156</v>
      </c>
      <c r="H459" t="s">
        <v>54</v>
      </c>
      <c r="I459" t="s">
        <v>13</v>
      </c>
      <c r="J459" t="s">
        <v>352</v>
      </c>
      <c r="K459" t="s">
        <v>582</v>
      </c>
      <c r="M459" t="s">
        <v>1321</v>
      </c>
    </row>
    <row r="460" spans="1:13">
      <c r="A460" s="4">
        <v>46162</v>
      </c>
      <c r="B460" t="s">
        <v>350</v>
      </c>
      <c r="C460" t="s">
        <v>1322</v>
      </c>
      <c r="D460" s="4">
        <v>46162</v>
      </c>
      <c r="E460" t="s">
        <v>3</v>
      </c>
      <c r="F460" t="s">
        <v>52</v>
      </c>
      <c r="G460" t="s">
        <v>146</v>
      </c>
      <c r="H460" t="s">
        <v>54</v>
      </c>
      <c r="I460" t="s">
        <v>13</v>
      </c>
      <c r="J460" t="s">
        <v>352</v>
      </c>
      <c r="K460" t="s">
        <v>582</v>
      </c>
      <c r="M460" t="s">
        <v>1323</v>
      </c>
    </row>
    <row r="461" spans="1:13">
      <c r="A461" s="4">
        <v>46162</v>
      </c>
      <c r="B461" t="s">
        <v>350</v>
      </c>
      <c r="C461" t="s">
        <v>1324</v>
      </c>
      <c r="D461" s="4">
        <v>46162</v>
      </c>
      <c r="E461" t="s">
        <v>3</v>
      </c>
      <c r="F461" t="s">
        <v>52</v>
      </c>
      <c r="G461" t="s">
        <v>166</v>
      </c>
      <c r="H461" t="s">
        <v>68</v>
      </c>
      <c r="I461" t="s">
        <v>13</v>
      </c>
      <c r="J461" t="s">
        <v>352</v>
      </c>
      <c r="K461" t="s">
        <v>582</v>
      </c>
      <c r="M461" t="s">
        <v>1325</v>
      </c>
    </row>
    <row r="462" spans="1:13">
      <c r="A462" s="4">
        <v>46162</v>
      </c>
      <c r="B462" t="s">
        <v>350</v>
      </c>
      <c r="C462" t="s">
        <v>1326</v>
      </c>
      <c r="D462" s="4">
        <v>46162</v>
      </c>
      <c r="E462" t="s">
        <v>3</v>
      </c>
      <c r="F462" t="s">
        <v>52</v>
      </c>
      <c r="G462" t="s">
        <v>195</v>
      </c>
      <c r="H462" t="s">
        <v>68</v>
      </c>
      <c r="I462" t="s">
        <v>29</v>
      </c>
      <c r="J462" t="s">
        <v>352</v>
      </c>
      <c r="K462" t="s">
        <v>447</v>
      </c>
      <c r="M462" t="s">
        <v>1327</v>
      </c>
    </row>
    <row r="463" spans="1:13">
      <c r="A463" s="4">
        <v>46163</v>
      </c>
      <c r="B463" t="s">
        <v>350</v>
      </c>
      <c r="C463" t="s">
        <v>1328</v>
      </c>
      <c r="D463" s="4">
        <v>46163</v>
      </c>
      <c r="E463" t="s">
        <v>5</v>
      </c>
      <c r="F463" t="s">
        <v>52</v>
      </c>
      <c r="G463" t="s">
        <v>192</v>
      </c>
      <c r="H463" t="s">
        <v>68</v>
      </c>
      <c r="I463" t="s">
        <v>29</v>
      </c>
      <c r="J463" t="s">
        <v>352</v>
      </c>
      <c r="K463" t="s">
        <v>525</v>
      </c>
      <c r="M463" t="s">
        <v>1329</v>
      </c>
    </row>
    <row r="464" spans="1:13">
      <c r="A464" s="4">
        <v>46163</v>
      </c>
      <c r="B464" t="s">
        <v>350</v>
      </c>
      <c r="C464" t="s">
        <v>1330</v>
      </c>
      <c r="D464" s="4">
        <v>46163</v>
      </c>
      <c r="E464" t="s">
        <v>3</v>
      </c>
      <c r="F464" t="s">
        <v>52</v>
      </c>
      <c r="G464" t="s">
        <v>178</v>
      </c>
      <c r="H464" t="s">
        <v>68</v>
      </c>
      <c r="I464" t="s">
        <v>13</v>
      </c>
      <c r="J464" t="s">
        <v>352</v>
      </c>
      <c r="K464" t="s">
        <v>402</v>
      </c>
      <c r="M464" t="s">
        <v>1331</v>
      </c>
    </row>
    <row r="465" spans="1:13">
      <c r="A465" s="4">
        <v>46163</v>
      </c>
      <c r="B465" t="s">
        <v>350</v>
      </c>
      <c r="C465" t="s">
        <v>1332</v>
      </c>
      <c r="D465" s="4">
        <v>46163</v>
      </c>
      <c r="E465" t="s">
        <v>5</v>
      </c>
      <c r="F465" t="s">
        <v>52</v>
      </c>
      <c r="G465" t="s">
        <v>187</v>
      </c>
      <c r="H465" t="s">
        <v>68</v>
      </c>
      <c r="I465" t="s">
        <v>13</v>
      </c>
      <c r="J465" t="s">
        <v>352</v>
      </c>
      <c r="K465" t="s">
        <v>365</v>
      </c>
      <c r="M465" t="s">
        <v>1333</v>
      </c>
    </row>
    <row r="466" spans="1:13">
      <c r="A466" s="4">
        <v>46163</v>
      </c>
      <c r="B466" t="s">
        <v>350</v>
      </c>
      <c r="C466" t="s">
        <v>1334</v>
      </c>
      <c r="D466" s="4">
        <v>46162</v>
      </c>
      <c r="E466" t="s">
        <v>5</v>
      </c>
      <c r="F466" t="s">
        <v>52</v>
      </c>
      <c r="G466" t="s">
        <v>273</v>
      </c>
      <c r="H466" t="s">
        <v>54</v>
      </c>
      <c r="I466" t="s">
        <v>29</v>
      </c>
      <c r="J466" t="s">
        <v>352</v>
      </c>
      <c r="K466" t="s">
        <v>368</v>
      </c>
      <c r="M466" t="s">
        <v>1335</v>
      </c>
    </row>
    <row r="467" spans="1:13">
      <c r="A467" s="4">
        <v>46163</v>
      </c>
      <c r="B467" t="s">
        <v>350</v>
      </c>
      <c r="C467" t="s">
        <v>1336</v>
      </c>
      <c r="D467" s="4">
        <v>46161</v>
      </c>
      <c r="E467" t="s">
        <v>5</v>
      </c>
      <c r="F467" t="s">
        <v>52</v>
      </c>
      <c r="G467" t="s">
        <v>285</v>
      </c>
      <c r="H467" t="s">
        <v>68</v>
      </c>
      <c r="I467" t="s">
        <v>29</v>
      </c>
      <c r="J467" t="s">
        <v>352</v>
      </c>
      <c r="K467" t="s">
        <v>368</v>
      </c>
      <c r="M467" t="s">
        <v>1337</v>
      </c>
    </row>
    <row r="468" spans="1:13">
      <c r="A468" s="4">
        <v>46163</v>
      </c>
      <c r="B468" t="s">
        <v>350</v>
      </c>
      <c r="C468" t="s">
        <v>1338</v>
      </c>
      <c r="D468" s="4">
        <v>46155</v>
      </c>
      <c r="E468" t="s">
        <v>5</v>
      </c>
      <c r="F468" t="s">
        <v>52</v>
      </c>
      <c r="G468" t="s">
        <v>322</v>
      </c>
      <c r="H468" t="s">
        <v>70</v>
      </c>
      <c r="I468" t="s">
        <v>13</v>
      </c>
      <c r="J468" t="s">
        <v>352</v>
      </c>
      <c r="K468" t="s">
        <v>640</v>
      </c>
      <c r="M468" t="s">
        <v>1339</v>
      </c>
    </row>
    <row r="469" spans="1:13">
      <c r="A469" s="4">
        <v>46163</v>
      </c>
      <c r="B469" t="s">
        <v>350</v>
      </c>
      <c r="C469" t="s">
        <v>1340</v>
      </c>
      <c r="D469" s="4">
        <v>46163</v>
      </c>
      <c r="E469" t="s">
        <v>3</v>
      </c>
      <c r="F469" t="s">
        <v>52</v>
      </c>
      <c r="G469" t="s">
        <v>314</v>
      </c>
      <c r="H469" t="s">
        <v>68</v>
      </c>
      <c r="I469" t="s">
        <v>29</v>
      </c>
      <c r="J469" t="s">
        <v>352</v>
      </c>
      <c r="K469" t="s">
        <v>640</v>
      </c>
      <c r="M469" t="s">
        <v>1341</v>
      </c>
    </row>
    <row r="470" spans="1:13">
      <c r="A470" s="4">
        <v>46163</v>
      </c>
      <c r="B470" t="s">
        <v>350</v>
      </c>
      <c r="C470" t="s">
        <v>1342</v>
      </c>
      <c r="D470" s="4">
        <v>46163</v>
      </c>
      <c r="E470" t="s">
        <v>3</v>
      </c>
      <c r="F470" t="s">
        <v>52</v>
      </c>
      <c r="G470" t="s">
        <v>314</v>
      </c>
      <c r="H470" t="s">
        <v>68</v>
      </c>
      <c r="I470" t="s">
        <v>29</v>
      </c>
      <c r="J470" t="s">
        <v>352</v>
      </c>
      <c r="K470" t="s">
        <v>640</v>
      </c>
      <c r="M470" t="s">
        <v>1343</v>
      </c>
    </row>
    <row r="471" spans="1:13">
      <c r="A471" s="4">
        <v>46163</v>
      </c>
      <c r="B471" t="s">
        <v>350</v>
      </c>
      <c r="C471" t="s">
        <v>1344</v>
      </c>
      <c r="D471" s="4">
        <v>46163</v>
      </c>
      <c r="E471" t="s">
        <v>3</v>
      </c>
      <c r="F471" t="s">
        <v>52</v>
      </c>
      <c r="G471" t="s">
        <v>314</v>
      </c>
      <c r="H471" t="s">
        <v>68</v>
      </c>
      <c r="I471" t="s">
        <v>29</v>
      </c>
      <c r="J471" t="s">
        <v>352</v>
      </c>
      <c r="K471" t="s">
        <v>640</v>
      </c>
      <c r="M471" t="s">
        <v>1345</v>
      </c>
    </row>
    <row r="472" spans="1:13">
      <c r="A472" s="4">
        <v>46163</v>
      </c>
      <c r="B472" t="s">
        <v>350</v>
      </c>
      <c r="C472" t="s">
        <v>1346</v>
      </c>
      <c r="D472" s="4">
        <v>46163</v>
      </c>
      <c r="E472" t="s">
        <v>3</v>
      </c>
      <c r="F472" t="s">
        <v>52</v>
      </c>
      <c r="G472" t="s">
        <v>293</v>
      </c>
      <c r="H472" t="s">
        <v>68</v>
      </c>
      <c r="I472" t="s">
        <v>13</v>
      </c>
      <c r="J472" t="s">
        <v>352</v>
      </c>
      <c r="K472" t="s">
        <v>470</v>
      </c>
      <c r="M472" t="s">
        <v>1347</v>
      </c>
    </row>
    <row r="473" spans="1:13">
      <c r="A473" s="4">
        <v>46163</v>
      </c>
      <c r="B473" t="s">
        <v>350</v>
      </c>
      <c r="C473" t="s">
        <v>1348</v>
      </c>
      <c r="D473" s="4">
        <v>46162</v>
      </c>
      <c r="E473" t="s">
        <v>6</v>
      </c>
      <c r="F473" t="s">
        <v>52</v>
      </c>
      <c r="G473" t="s">
        <v>226</v>
      </c>
      <c r="H473" t="s">
        <v>70</v>
      </c>
      <c r="I473" t="s">
        <v>13</v>
      </c>
      <c r="J473" t="s">
        <v>352</v>
      </c>
      <c r="K473" t="s">
        <v>382</v>
      </c>
      <c r="M473" t="s">
        <v>1349</v>
      </c>
    </row>
    <row r="474" spans="1:13">
      <c r="A474" s="4">
        <v>46163</v>
      </c>
      <c r="B474" t="s">
        <v>350</v>
      </c>
      <c r="C474" t="s">
        <v>1350</v>
      </c>
      <c r="D474" s="4">
        <v>46163</v>
      </c>
      <c r="E474" t="s">
        <v>3</v>
      </c>
      <c r="F474" t="s">
        <v>52</v>
      </c>
      <c r="G474" t="s">
        <v>184</v>
      </c>
      <c r="H474" t="s">
        <v>68</v>
      </c>
      <c r="I474" t="s">
        <v>13</v>
      </c>
      <c r="J474" t="s">
        <v>352</v>
      </c>
      <c r="K474" t="s">
        <v>391</v>
      </c>
      <c r="M474" t="s">
        <v>1351</v>
      </c>
    </row>
    <row r="475" spans="1:13">
      <c r="A475" s="4">
        <v>46163</v>
      </c>
      <c r="B475" t="s">
        <v>350</v>
      </c>
      <c r="C475" t="s">
        <v>1352</v>
      </c>
      <c r="D475" s="4">
        <v>46163</v>
      </c>
      <c r="E475" t="s">
        <v>3</v>
      </c>
      <c r="F475" t="s">
        <v>10</v>
      </c>
      <c r="G475" t="s">
        <v>43</v>
      </c>
      <c r="H475" t="s">
        <v>20</v>
      </c>
      <c r="I475" t="s">
        <v>13</v>
      </c>
      <c r="J475" t="s">
        <v>352</v>
      </c>
      <c r="K475" t="s">
        <v>394</v>
      </c>
      <c r="M475" t="s">
        <v>1353</v>
      </c>
    </row>
    <row r="476" spans="1:13">
      <c r="A476" s="4">
        <v>46163</v>
      </c>
      <c r="B476" t="s">
        <v>350</v>
      </c>
      <c r="C476" t="s">
        <v>1354</v>
      </c>
      <c r="D476" s="4">
        <v>46163</v>
      </c>
      <c r="E476" t="s">
        <v>3</v>
      </c>
      <c r="F476" t="s">
        <v>10</v>
      </c>
      <c r="G476" t="s">
        <v>43</v>
      </c>
      <c r="H476" t="s">
        <v>20</v>
      </c>
      <c r="I476" t="s">
        <v>13</v>
      </c>
      <c r="J476" t="s">
        <v>352</v>
      </c>
      <c r="K476" t="s">
        <v>394</v>
      </c>
      <c r="M476" t="s">
        <v>1355</v>
      </c>
    </row>
    <row r="477" spans="1:13">
      <c r="A477" s="4">
        <v>46163</v>
      </c>
      <c r="B477" t="s">
        <v>350</v>
      </c>
      <c r="C477" t="s">
        <v>1356</v>
      </c>
      <c r="D477" s="4">
        <v>46163</v>
      </c>
      <c r="E477" t="s">
        <v>3</v>
      </c>
      <c r="F477" t="s">
        <v>52</v>
      </c>
      <c r="G477" t="s">
        <v>311</v>
      </c>
      <c r="H477" t="s">
        <v>68</v>
      </c>
      <c r="I477" t="s">
        <v>13</v>
      </c>
      <c r="J477" t="s">
        <v>352</v>
      </c>
      <c r="K477" t="s">
        <v>394</v>
      </c>
      <c r="M477" t="s">
        <v>1357</v>
      </c>
    </row>
    <row r="478" spans="1:13">
      <c r="A478" s="4">
        <v>46163</v>
      </c>
      <c r="B478" t="s">
        <v>350</v>
      </c>
      <c r="C478" t="s">
        <v>1358</v>
      </c>
      <c r="D478" s="4">
        <v>46163</v>
      </c>
      <c r="E478" t="s">
        <v>3</v>
      </c>
      <c r="F478" t="s">
        <v>52</v>
      </c>
      <c r="G478" t="s">
        <v>297</v>
      </c>
      <c r="H478" t="s">
        <v>68</v>
      </c>
      <c r="I478" t="s">
        <v>13</v>
      </c>
      <c r="J478" t="s">
        <v>352</v>
      </c>
      <c r="K478" t="s">
        <v>405</v>
      </c>
      <c r="M478" t="s">
        <v>1359</v>
      </c>
    </row>
    <row r="479" spans="1:13">
      <c r="A479" s="4">
        <v>46163</v>
      </c>
      <c r="B479" t="s">
        <v>350</v>
      </c>
      <c r="C479" t="s">
        <v>1360</v>
      </c>
      <c r="D479" s="4">
        <v>46163</v>
      </c>
      <c r="E479" t="s">
        <v>3</v>
      </c>
      <c r="F479" t="s">
        <v>52</v>
      </c>
      <c r="G479" t="s">
        <v>136</v>
      </c>
      <c r="H479" t="s">
        <v>68</v>
      </c>
      <c r="I479" t="s">
        <v>13</v>
      </c>
      <c r="J479" t="s">
        <v>352</v>
      </c>
      <c r="K479" t="s">
        <v>405</v>
      </c>
      <c r="M479" t="s">
        <v>1361</v>
      </c>
    </row>
    <row r="480" spans="1:13">
      <c r="A480" s="4">
        <v>46163</v>
      </c>
      <c r="B480" t="s">
        <v>350</v>
      </c>
      <c r="C480" t="s">
        <v>1362</v>
      </c>
      <c r="D480" s="4">
        <v>46163</v>
      </c>
      <c r="E480" t="s">
        <v>3</v>
      </c>
      <c r="F480" t="s">
        <v>52</v>
      </c>
      <c r="G480" t="s">
        <v>304</v>
      </c>
      <c r="H480" t="s">
        <v>68</v>
      </c>
      <c r="I480" t="s">
        <v>13</v>
      </c>
      <c r="J480" t="s">
        <v>352</v>
      </c>
      <c r="K480" t="s">
        <v>405</v>
      </c>
      <c r="M480" t="s">
        <v>1363</v>
      </c>
    </row>
    <row r="481" spans="1:13">
      <c r="A481" s="4">
        <v>46163</v>
      </c>
      <c r="B481" t="s">
        <v>350</v>
      </c>
      <c r="C481" t="s">
        <v>1364</v>
      </c>
      <c r="D481" s="4">
        <v>46163</v>
      </c>
      <c r="E481" t="s">
        <v>3</v>
      </c>
      <c r="F481" t="s">
        <v>52</v>
      </c>
      <c r="G481" t="s">
        <v>297</v>
      </c>
      <c r="H481" t="s">
        <v>68</v>
      </c>
      <c r="I481" t="s">
        <v>13</v>
      </c>
      <c r="J481" t="s">
        <v>352</v>
      </c>
      <c r="K481" t="s">
        <v>405</v>
      </c>
      <c r="M481" t="s">
        <v>1365</v>
      </c>
    </row>
    <row r="482" spans="1:13">
      <c r="A482" s="4">
        <v>46163</v>
      </c>
      <c r="B482" t="s">
        <v>350</v>
      </c>
      <c r="C482" t="s">
        <v>1366</v>
      </c>
      <c r="D482" s="4">
        <v>46163</v>
      </c>
      <c r="E482" t="s">
        <v>3</v>
      </c>
      <c r="F482" t="s">
        <v>52</v>
      </c>
      <c r="G482" t="s">
        <v>216</v>
      </c>
      <c r="H482" t="s">
        <v>68</v>
      </c>
      <c r="I482" t="s">
        <v>13</v>
      </c>
      <c r="J482" t="s">
        <v>352</v>
      </c>
      <c r="K482" t="s">
        <v>553</v>
      </c>
      <c r="M482" t="s">
        <v>1367</v>
      </c>
    </row>
    <row r="483" spans="1:13">
      <c r="A483" s="4">
        <v>46163</v>
      </c>
      <c r="B483" t="s">
        <v>350</v>
      </c>
      <c r="C483" t="s">
        <v>1368</v>
      </c>
      <c r="D483" s="4">
        <v>46155</v>
      </c>
      <c r="E483" t="s">
        <v>6</v>
      </c>
      <c r="F483" t="s">
        <v>52</v>
      </c>
      <c r="G483" t="s">
        <v>116</v>
      </c>
      <c r="H483" t="s">
        <v>68</v>
      </c>
      <c r="I483" t="s">
        <v>29</v>
      </c>
      <c r="J483" t="s">
        <v>352</v>
      </c>
      <c r="K483" t="s">
        <v>422</v>
      </c>
      <c r="M483" t="s">
        <v>1369</v>
      </c>
    </row>
    <row r="484" spans="1:13">
      <c r="A484" s="4">
        <v>46163</v>
      </c>
      <c r="B484" t="s">
        <v>350</v>
      </c>
      <c r="C484" t="s">
        <v>1370</v>
      </c>
      <c r="D484" s="4">
        <v>46161</v>
      </c>
      <c r="E484" t="s">
        <v>5</v>
      </c>
      <c r="F484" t="s">
        <v>52</v>
      </c>
      <c r="G484" t="s">
        <v>287</v>
      </c>
      <c r="H484" t="s">
        <v>68</v>
      </c>
      <c r="I484" t="s">
        <v>13</v>
      </c>
      <c r="J484" t="s">
        <v>352</v>
      </c>
      <c r="K484" t="s">
        <v>430</v>
      </c>
      <c r="M484" t="s">
        <v>1371</v>
      </c>
    </row>
    <row r="485" spans="1:13">
      <c r="A485" s="4">
        <v>46163</v>
      </c>
      <c r="B485" t="s">
        <v>350</v>
      </c>
      <c r="C485" t="s">
        <v>1372</v>
      </c>
      <c r="D485" s="4">
        <v>46161</v>
      </c>
      <c r="E485" t="s">
        <v>5</v>
      </c>
      <c r="F485" t="s">
        <v>52</v>
      </c>
      <c r="G485" t="s">
        <v>229</v>
      </c>
      <c r="H485" t="s">
        <v>70</v>
      </c>
      <c r="I485" t="s">
        <v>55</v>
      </c>
      <c r="J485" t="s">
        <v>352</v>
      </c>
      <c r="K485" t="s">
        <v>435</v>
      </c>
      <c r="M485" t="s">
        <v>1373</v>
      </c>
    </row>
    <row r="486" spans="1:13">
      <c r="A486" s="4">
        <v>46163</v>
      </c>
      <c r="B486" t="s">
        <v>350</v>
      </c>
      <c r="C486" t="s">
        <v>1374</v>
      </c>
      <c r="D486" s="4">
        <v>46163</v>
      </c>
      <c r="E486" t="s">
        <v>5</v>
      </c>
      <c r="F486" t="s">
        <v>52</v>
      </c>
      <c r="G486" t="s">
        <v>196</v>
      </c>
      <c r="H486" t="s">
        <v>68</v>
      </c>
      <c r="I486" t="s">
        <v>29</v>
      </c>
      <c r="J486" t="s">
        <v>352</v>
      </c>
      <c r="K486" t="s">
        <v>435</v>
      </c>
      <c r="M486" t="s">
        <v>1375</v>
      </c>
    </row>
    <row r="487" spans="1:13">
      <c r="A487" s="4">
        <v>46163</v>
      </c>
      <c r="B487" t="s">
        <v>350</v>
      </c>
      <c r="C487" t="s">
        <v>1376</v>
      </c>
      <c r="D487" s="4">
        <v>46163</v>
      </c>
      <c r="E487" t="s">
        <v>3</v>
      </c>
      <c r="F487" t="s">
        <v>52</v>
      </c>
      <c r="G487" t="s">
        <v>215</v>
      </c>
      <c r="H487" t="s">
        <v>68</v>
      </c>
      <c r="I487" t="s">
        <v>13</v>
      </c>
      <c r="J487" t="s">
        <v>352</v>
      </c>
      <c r="K487" t="s">
        <v>435</v>
      </c>
      <c r="M487" t="s">
        <v>1377</v>
      </c>
    </row>
    <row r="488" spans="1:13">
      <c r="A488" s="4">
        <v>46163</v>
      </c>
      <c r="B488" t="s">
        <v>350</v>
      </c>
      <c r="C488" t="s">
        <v>1378</v>
      </c>
      <c r="D488" s="4">
        <v>46163</v>
      </c>
      <c r="E488" t="s">
        <v>3</v>
      </c>
      <c r="F488" t="s">
        <v>52</v>
      </c>
      <c r="G488" t="s">
        <v>192</v>
      </c>
      <c r="H488" t="s">
        <v>68</v>
      </c>
      <c r="I488" t="s">
        <v>29</v>
      </c>
      <c r="J488" t="s">
        <v>352</v>
      </c>
      <c r="K488" t="s">
        <v>435</v>
      </c>
      <c r="M488" t="s">
        <v>1379</v>
      </c>
    </row>
    <row r="489" spans="1:13">
      <c r="A489" s="4">
        <v>46163</v>
      </c>
      <c r="B489" t="s">
        <v>350</v>
      </c>
      <c r="C489" t="s">
        <v>1380</v>
      </c>
      <c r="D489" s="4">
        <v>46163</v>
      </c>
      <c r="E489" t="s">
        <v>3</v>
      </c>
      <c r="F489" t="s">
        <v>52</v>
      </c>
      <c r="G489" t="s">
        <v>168</v>
      </c>
      <c r="H489" t="s">
        <v>68</v>
      </c>
      <c r="I489" t="s">
        <v>13</v>
      </c>
      <c r="J489" t="s">
        <v>352</v>
      </c>
      <c r="K489" t="s">
        <v>435</v>
      </c>
      <c r="M489" t="s">
        <v>1381</v>
      </c>
    </row>
    <row r="490" spans="1:13">
      <c r="A490" s="4">
        <v>46163</v>
      </c>
      <c r="B490" t="s">
        <v>350</v>
      </c>
      <c r="C490" t="s">
        <v>1382</v>
      </c>
      <c r="D490" s="4">
        <v>46162</v>
      </c>
      <c r="E490" t="s">
        <v>5</v>
      </c>
      <c r="F490" t="s">
        <v>52</v>
      </c>
      <c r="G490" t="s">
        <v>92</v>
      </c>
      <c r="H490" t="s">
        <v>70</v>
      </c>
      <c r="I490" t="s">
        <v>55</v>
      </c>
      <c r="J490" t="s">
        <v>352</v>
      </c>
      <c r="K490" t="s">
        <v>576</v>
      </c>
      <c r="M490" t="s">
        <v>1383</v>
      </c>
    </row>
    <row r="491" spans="1:13">
      <c r="A491" s="4">
        <v>46163</v>
      </c>
      <c r="B491" t="s">
        <v>350</v>
      </c>
      <c r="C491" t="s">
        <v>1384</v>
      </c>
      <c r="D491" s="4">
        <v>46162</v>
      </c>
      <c r="E491" t="s">
        <v>5</v>
      </c>
      <c r="F491" t="s">
        <v>52</v>
      </c>
      <c r="G491" t="s">
        <v>91</v>
      </c>
      <c r="H491" t="s">
        <v>68</v>
      </c>
      <c r="I491" t="s">
        <v>13</v>
      </c>
      <c r="J491" t="s">
        <v>352</v>
      </c>
      <c r="K491" t="s">
        <v>576</v>
      </c>
      <c r="M491" t="s">
        <v>1385</v>
      </c>
    </row>
    <row r="492" spans="1:13">
      <c r="A492" s="4">
        <v>46163</v>
      </c>
      <c r="B492" t="s">
        <v>350</v>
      </c>
      <c r="C492" t="s">
        <v>1386</v>
      </c>
      <c r="D492" s="4">
        <v>46162</v>
      </c>
      <c r="E492" t="s">
        <v>5</v>
      </c>
      <c r="F492" t="s">
        <v>52</v>
      </c>
      <c r="G492" t="s">
        <v>101</v>
      </c>
      <c r="H492" t="s">
        <v>68</v>
      </c>
      <c r="I492" t="s">
        <v>29</v>
      </c>
      <c r="J492" t="s">
        <v>352</v>
      </c>
      <c r="K492" t="s">
        <v>973</v>
      </c>
      <c r="M492" t="s">
        <v>1387</v>
      </c>
    </row>
    <row r="493" spans="1:13">
      <c r="A493" s="4">
        <v>46163</v>
      </c>
      <c r="B493" t="s">
        <v>350</v>
      </c>
      <c r="C493" t="s">
        <v>1388</v>
      </c>
      <c r="D493" s="4">
        <v>46162</v>
      </c>
      <c r="E493" t="s">
        <v>5</v>
      </c>
      <c r="F493" t="s">
        <v>52</v>
      </c>
      <c r="G493" t="s">
        <v>155</v>
      </c>
      <c r="H493" t="s">
        <v>54</v>
      </c>
      <c r="I493" t="s">
        <v>29</v>
      </c>
      <c r="J493" t="s">
        <v>352</v>
      </c>
      <c r="K493" t="s">
        <v>447</v>
      </c>
      <c r="M493" t="s">
        <v>1389</v>
      </c>
    </row>
    <row r="494" spans="1:13">
      <c r="A494" s="4">
        <v>46163</v>
      </c>
      <c r="B494" t="s">
        <v>350</v>
      </c>
      <c r="C494" t="s">
        <v>1390</v>
      </c>
      <c r="D494" s="4">
        <v>46150</v>
      </c>
      <c r="E494" t="s">
        <v>6</v>
      </c>
      <c r="F494" t="s">
        <v>10</v>
      </c>
      <c r="G494" t="s">
        <v>32</v>
      </c>
      <c r="H494" t="s">
        <v>12</v>
      </c>
      <c r="I494" t="s">
        <v>13</v>
      </c>
      <c r="J494" t="s">
        <v>352</v>
      </c>
      <c r="K494" t="s">
        <v>452</v>
      </c>
      <c r="M494" t="s">
        <v>1391</v>
      </c>
    </row>
    <row r="495" spans="1:13">
      <c r="A495" s="4">
        <v>46164</v>
      </c>
      <c r="B495" t="s">
        <v>350</v>
      </c>
      <c r="C495" t="s">
        <v>1392</v>
      </c>
      <c r="D495" s="4">
        <v>46158</v>
      </c>
      <c r="E495" t="s">
        <v>6</v>
      </c>
      <c r="F495" t="s">
        <v>52</v>
      </c>
      <c r="G495" t="s">
        <v>235</v>
      </c>
      <c r="H495" t="s">
        <v>70</v>
      </c>
      <c r="I495" t="s">
        <v>13</v>
      </c>
      <c r="J495" t="s">
        <v>352</v>
      </c>
      <c r="K495" t="s">
        <v>1393</v>
      </c>
      <c r="M495" t="s">
        <v>1394</v>
      </c>
    </row>
    <row r="496" spans="1:13">
      <c r="A496" s="4">
        <v>46164</v>
      </c>
      <c r="B496" t="s">
        <v>350</v>
      </c>
      <c r="C496" t="s">
        <v>1395</v>
      </c>
      <c r="D496" s="4">
        <v>46163</v>
      </c>
      <c r="E496" t="s">
        <v>6</v>
      </c>
      <c r="F496" t="s">
        <v>52</v>
      </c>
      <c r="G496" t="s">
        <v>62</v>
      </c>
      <c r="H496" t="s">
        <v>54</v>
      </c>
      <c r="I496" t="s">
        <v>29</v>
      </c>
      <c r="J496" t="s">
        <v>352</v>
      </c>
      <c r="K496" t="s">
        <v>362</v>
      </c>
      <c r="M496" t="s">
        <v>1396</v>
      </c>
    </row>
    <row r="497" spans="1:13">
      <c r="A497" s="4">
        <v>46164</v>
      </c>
      <c r="B497" t="s">
        <v>350</v>
      </c>
      <c r="C497" t="s">
        <v>1397</v>
      </c>
      <c r="D497" s="4">
        <v>46164</v>
      </c>
      <c r="E497" t="s">
        <v>3</v>
      </c>
      <c r="F497" t="s">
        <v>52</v>
      </c>
      <c r="G497" t="s">
        <v>276</v>
      </c>
      <c r="H497" t="s">
        <v>68</v>
      </c>
      <c r="I497" t="s">
        <v>13</v>
      </c>
      <c r="J497" t="s">
        <v>352</v>
      </c>
      <c r="K497" t="s">
        <v>362</v>
      </c>
      <c r="M497" t="s">
        <v>1398</v>
      </c>
    </row>
    <row r="498" spans="1:13">
      <c r="A498" s="4">
        <v>46164</v>
      </c>
      <c r="B498" t="s">
        <v>350</v>
      </c>
      <c r="C498" t="s">
        <v>1399</v>
      </c>
      <c r="D498" s="4">
        <v>46161</v>
      </c>
      <c r="E498" t="s">
        <v>5</v>
      </c>
      <c r="F498" t="s">
        <v>10</v>
      </c>
      <c r="G498" t="s">
        <v>40</v>
      </c>
      <c r="H498" t="s">
        <v>12</v>
      </c>
      <c r="I498" t="s">
        <v>13</v>
      </c>
      <c r="J498" t="s">
        <v>352</v>
      </c>
      <c r="K498" t="s">
        <v>368</v>
      </c>
      <c r="M498" t="s">
        <v>1400</v>
      </c>
    </row>
    <row r="499" spans="1:13">
      <c r="A499" s="4">
        <v>46164</v>
      </c>
      <c r="B499" t="s">
        <v>350</v>
      </c>
      <c r="C499" t="s">
        <v>1401</v>
      </c>
      <c r="D499" s="4">
        <v>46156</v>
      </c>
      <c r="E499" t="s">
        <v>5</v>
      </c>
      <c r="F499" t="s">
        <v>10</v>
      </c>
      <c r="G499" t="s">
        <v>40</v>
      </c>
      <c r="H499" t="s">
        <v>15</v>
      </c>
      <c r="I499" t="s">
        <v>13</v>
      </c>
      <c r="J499" t="s">
        <v>352</v>
      </c>
      <c r="K499" t="s">
        <v>368</v>
      </c>
      <c r="M499" t="s">
        <v>1402</v>
      </c>
    </row>
    <row r="500" spans="1:13">
      <c r="A500" s="4">
        <v>46164</v>
      </c>
      <c r="B500" t="s">
        <v>350</v>
      </c>
      <c r="C500" t="s">
        <v>1403</v>
      </c>
      <c r="D500" s="4">
        <v>46164</v>
      </c>
      <c r="E500" t="s">
        <v>3</v>
      </c>
      <c r="F500" t="s">
        <v>52</v>
      </c>
      <c r="G500" t="s">
        <v>282</v>
      </c>
      <c r="H500" t="s">
        <v>68</v>
      </c>
      <c r="I500" t="s">
        <v>29</v>
      </c>
      <c r="J500" t="s">
        <v>352</v>
      </c>
      <c r="K500" t="s">
        <v>368</v>
      </c>
      <c r="M500" t="s">
        <v>1404</v>
      </c>
    </row>
    <row r="501" spans="1:13">
      <c r="A501" s="4">
        <v>46164</v>
      </c>
      <c r="B501" t="s">
        <v>350</v>
      </c>
      <c r="C501" t="s">
        <v>1405</v>
      </c>
      <c r="D501" s="4">
        <v>46164</v>
      </c>
      <c r="E501" t="s">
        <v>3</v>
      </c>
      <c r="F501" t="s">
        <v>52</v>
      </c>
      <c r="G501" t="s">
        <v>310</v>
      </c>
      <c r="H501" t="s">
        <v>68</v>
      </c>
      <c r="I501" t="s">
        <v>13</v>
      </c>
      <c r="J501" t="s">
        <v>352</v>
      </c>
      <c r="K501" t="s">
        <v>640</v>
      </c>
      <c r="M501" t="s">
        <v>1406</v>
      </c>
    </row>
    <row r="502" spans="1:13">
      <c r="A502" s="4">
        <v>46164</v>
      </c>
      <c r="B502" t="s">
        <v>350</v>
      </c>
      <c r="C502" t="s">
        <v>1407</v>
      </c>
      <c r="D502" s="4">
        <v>46160</v>
      </c>
      <c r="E502" t="s">
        <v>6</v>
      </c>
      <c r="F502" t="s">
        <v>52</v>
      </c>
      <c r="G502" t="s">
        <v>218</v>
      </c>
      <c r="H502" t="s">
        <v>68</v>
      </c>
      <c r="I502" t="s">
        <v>13</v>
      </c>
      <c r="J502" t="s">
        <v>352</v>
      </c>
      <c r="K502" t="s">
        <v>470</v>
      </c>
      <c r="M502" t="s">
        <v>1408</v>
      </c>
    </row>
    <row r="503" spans="1:13">
      <c r="A503" s="4">
        <v>46164</v>
      </c>
      <c r="B503" t="s">
        <v>350</v>
      </c>
      <c r="C503" t="s">
        <v>1409</v>
      </c>
      <c r="D503" s="4">
        <v>46140</v>
      </c>
      <c r="E503" t="s">
        <v>6</v>
      </c>
      <c r="F503" t="s">
        <v>10</v>
      </c>
      <c r="G503" t="s">
        <v>31</v>
      </c>
      <c r="H503" t="s">
        <v>15</v>
      </c>
      <c r="I503" t="s">
        <v>13</v>
      </c>
      <c r="J503" t="s">
        <v>352</v>
      </c>
      <c r="K503" t="s">
        <v>382</v>
      </c>
      <c r="M503" t="s">
        <v>1410</v>
      </c>
    </row>
    <row r="504" spans="1:13">
      <c r="A504" s="4">
        <v>46164</v>
      </c>
      <c r="B504" t="s">
        <v>350</v>
      </c>
      <c r="C504" t="s">
        <v>1411</v>
      </c>
      <c r="D504" s="4">
        <v>46164</v>
      </c>
      <c r="E504" t="s">
        <v>3</v>
      </c>
      <c r="F504" t="s">
        <v>10</v>
      </c>
      <c r="G504" t="s">
        <v>43</v>
      </c>
      <c r="H504" t="s">
        <v>20</v>
      </c>
      <c r="I504" t="s">
        <v>13</v>
      </c>
      <c r="J504" t="s">
        <v>352</v>
      </c>
      <c r="K504" t="s">
        <v>394</v>
      </c>
      <c r="M504" t="s">
        <v>1412</v>
      </c>
    </row>
    <row r="505" spans="1:13">
      <c r="A505" s="4">
        <v>46164</v>
      </c>
      <c r="B505" t="s">
        <v>350</v>
      </c>
      <c r="C505" t="s">
        <v>1413</v>
      </c>
      <c r="D505" s="4">
        <v>46164</v>
      </c>
      <c r="E505" t="s">
        <v>3</v>
      </c>
      <c r="F505" t="s">
        <v>52</v>
      </c>
      <c r="G505" t="s">
        <v>151</v>
      </c>
      <c r="H505" t="s">
        <v>54</v>
      </c>
      <c r="I505" t="s">
        <v>55</v>
      </c>
      <c r="J505" t="s">
        <v>352</v>
      </c>
      <c r="K505" t="s">
        <v>394</v>
      </c>
      <c r="M505" t="s">
        <v>1414</v>
      </c>
    </row>
    <row r="506" spans="1:13">
      <c r="A506" s="4">
        <v>46164</v>
      </c>
      <c r="B506" t="s">
        <v>350</v>
      </c>
      <c r="C506" t="s">
        <v>1415</v>
      </c>
      <c r="D506" s="4">
        <v>46164</v>
      </c>
      <c r="E506" t="s">
        <v>3</v>
      </c>
      <c r="F506" t="s">
        <v>52</v>
      </c>
      <c r="G506" t="s">
        <v>311</v>
      </c>
      <c r="H506" t="s">
        <v>68</v>
      </c>
      <c r="I506" t="s">
        <v>13</v>
      </c>
      <c r="J506" t="s">
        <v>352</v>
      </c>
      <c r="K506" t="s">
        <v>394</v>
      </c>
      <c r="M506" t="s">
        <v>1416</v>
      </c>
    </row>
    <row r="507" spans="1:13">
      <c r="A507" s="4">
        <v>46164</v>
      </c>
      <c r="B507" t="s">
        <v>350</v>
      </c>
      <c r="C507" t="s">
        <v>1417</v>
      </c>
      <c r="D507" s="4">
        <v>46164</v>
      </c>
      <c r="E507" t="s">
        <v>3</v>
      </c>
      <c r="F507" t="s">
        <v>52</v>
      </c>
      <c r="G507" t="s">
        <v>317</v>
      </c>
      <c r="H507" t="s">
        <v>68</v>
      </c>
      <c r="I507" t="s">
        <v>29</v>
      </c>
      <c r="J507" t="s">
        <v>352</v>
      </c>
      <c r="K507" t="s">
        <v>394</v>
      </c>
      <c r="M507" t="s">
        <v>1418</v>
      </c>
    </row>
    <row r="508" spans="1:13">
      <c r="A508" s="4">
        <v>46164</v>
      </c>
      <c r="B508" t="s">
        <v>350</v>
      </c>
      <c r="C508" t="s">
        <v>1419</v>
      </c>
      <c r="D508" s="4">
        <v>46164</v>
      </c>
      <c r="E508" t="s">
        <v>3</v>
      </c>
      <c r="F508" t="s">
        <v>52</v>
      </c>
      <c r="G508" t="s">
        <v>311</v>
      </c>
      <c r="H508" t="s">
        <v>68</v>
      </c>
      <c r="I508" t="s">
        <v>13</v>
      </c>
      <c r="J508" t="s">
        <v>352</v>
      </c>
      <c r="K508" t="s">
        <v>394</v>
      </c>
      <c r="M508" t="s">
        <v>1420</v>
      </c>
    </row>
    <row r="509" spans="1:13">
      <c r="A509" s="4">
        <v>46164</v>
      </c>
      <c r="B509" t="s">
        <v>350</v>
      </c>
      <c r="C509" t="s">
        <v>1421</v>
      </c>
      <c r="D509" s="4">
        <v>46164</v>
      </c>
      <c r="E509" t="s">
        <v>3</v>
      </c>
      <c r="F509" t="s">
        <v>52</v>
      </c>
      <c r="G509" t="s">
        <v>114</v>
      </c>
      <c r="H509" t="s">
        <v>68</v>
      </c>
      <c r="I509" t="s">
        <v>55</v>
      </c>
      <c r="J509" t="s">
        <v>352</v>
      </c>
      <c r="K509" t="s">
        <v>394</v>
      </c>
      <c r="M509" t="s">
        <v>1422</v>
      </c>
    </row>
    <row r="510" spans="1:13">
      <c r="A510" s="4">
        <v>46164</v>
      </c>
      <c r="B510" t="s">
        <v>350</v>
      </c>
      <c r="C510" t="s">
        <v>1423</v>
      </c>
      <c r="D510" s="4">
        <v>46164</v>
      </c>
      <c r="E510" t="s">
        <v>3</v>
      </c>
      <c r="F510" t="s">
        <v>52</v>
      </c>
      <c r="G510" t="s">
        <v>327</v>
      </c>
      <c r="H510" t="s">
        <v>68</v>
      </c>
      <c r="I510" t="s">
        <v>13</v>
      </c>
      <c r="J510" t="s">
        <v>352</v>
      </c>
      <c r="K510" t="s">
        <v>394</v>
      </c>
      <c r="M510" t="s">
        <v>1424</v>
      </c>
    </row>
    <row r="511" spans="1:13">
      <c r="A511" s="4">
        <v>46164</v>
      </c>
      <c r="B511" t="s">
        <v>350</v>
      </c>
      <c r="C511" t="s">
        <v>1425</v>
      </c>
      <c r="D511" s="4">
        <v>46164</v>
      </c>
      <c r="E511" t="s">
        <v>3</v>
      </c>
      <c r="F511" t="s">
        <v>52</v>
      </c>
      <c r="G511" t="s">
        <v>229</v>
      </c>
      <c r="H511" t="s">
        <v>70</v>
      </c>
      <c r="I511" t="s">
        <v>55</v>
      </c>
      <c r="J511" t="s">
        <v>352</v>
      </c>
      <c r="K511" t="s">
        <v>397</v>
      </c>
      <c r="M511" t="s">
        <v>1426</v>
      </c>
    </row>
    <row r="512" spans="1:13">
      <c r="A512" s="4">
        <v>46164</v>
      </c>
      <c r="B512" t="s">
        <v>350</v>
      </c>
      <c r="C512" t="s">
        <v>1427</v>
      </c>
      <c r="D512" s="4">
        <v>46164</v>
      </c>
      <c r="E512" t="s">
        <v>3</v>
      </c>
      <c r="F512" t="s">
        <v>52</v>
      </c>
      <c r="G512" t="s">
        <v>300</v>
      </c>
      <c r="H512" t="s">
        <v>68</v>
      </c>
      <c r="I512" t="s">
        <v>29</v>
      </c>
      <c r="J512" t="s">
        <v>352</v>
      </c>
      <c r="K512" t="s">
        <v>405</v>
      </c>
      <c r="M512" t="s">
        <v>1428</v>
      </c>
    </row>
    <row r="513" spans="1:13">
      <c r="A513" s="4">
        <v>46164</v>
      </c>
      <c r="B513" t="s">
        <v>350</v>
      </c>
      <c r="C513" t="s">
        <v>1429</v>
      </c>
      <c r="D513" s="4">
        <v>46164</v>
      </c>
      <c r="E513" t="s">
        <v>3</v>
      </c>
      <c r="F513" t="s">
        <v>52</v>
      </c>
      <c r="G513" t="s">
        <v>296</v>
      </c>
      <c r="H513" t="s">
        <v>68</v>
      </c>
      <c r="I513" t="s">
        <v>13</v>
      </c>
      <c r="J513" t="s">
        <v>352</v>
      </c>
      <c r="K513" t="s">
        <v>405</v>
      </c>
      <c r="M513" t="s">
        <v>1430</v>
      </c>
    </row>
    <row r="514" spans="1:13">
      <c r="A514" s="4">
        <v>46164</v>
      </c>
      <c r="B514" t="s">
        <v>350</v>
      </c>
      <c r="C514" t="s">
        <v>1431</v>
      </c>
      <c r="D514" s="4">
        <v>46164</v>
      </c>
      <c r="E514" t="s">
        <v>4</v>
      </c>
      <c r="F514" t="s">
        <v>52</v>
      </c>
      <c r="G514" t="s">
        <v>297</v>
      </c>
      <c r="H514" t="s">
        <v>68</v>
      </c>
      <c r="I514" t="s">
        <v>13</v>
      </c>
      <c r="J514" t="s">
        <v>352</v>
      </c>
      <c r="K514" t="s">
        <v>405</v>
      </c>
      <c r="M514" t="s">
        <v>1432</v>
      </c>
    </row>
    <row r="515" spans="1:13">
      <c r="A515" s="4">
        <v>46164</v>
      </c>
      <c r="B515" t="s">
        <v>350</v>
      </c>
      <c r="C515" t="s">
        <v>1433</v>
      </c>
      <c r="D515" s="4">
        <v>46160</v>
      </c>
      <c r="E515" t="s">
        <v>6</v>
      </c>
      <c r="F515" t="s">
        <v>52</v>
      </c>
      <c r="G515" t="s">
        <v>207</v>
      </c>
      <c r="H515" t="s">
        <v>68</v>
      </c>
      <c r="I515" t="s">
        <v>13</v>
      </c>
      <c r="J515" t="s">
        <v>352</v>
      </c>
      <c r="K515" t="s">
        <v>417</v>
      </c>
      <c r="M515" t="s">
        <v>1434</v>
      </c>
    </row>
    <row r="516" spans="1:13">
      <c r="A516" s="4">
        <v>46164</v>
      </c>
      <c r="B516" t="s">
        <v>350</v>
      </c>
      <c r="C516" t="s">
        <v>1435</v>
      </c>
      <c r="D516" s="4">
        <v>46161</v>
      </c>
      <c r="E516" t="s">
        <v>6</v>
      </c>
      <c r="F516" t="s">
        <v>52</v>
      </c>
      <c r="G516" t="s">
        <v>229</v>
      </c>
      <c r="H516" t="s">
        <v>70</v>
      </c>
      <c r="I516" t="s">
        <v>55</v>
      </c>
      <c r="J516" t="s">
        <v>352</v>
      </c>
      <c r="K516" t="s">
        <v>417</v>
      </c>
      <c r="M516" t="s">
        <v>1436</v>
      </c>
    </row>
    <row r="517" spans="1:13">
      <c r="A517" s="4">
        <v>46164</v>
      </c>
      <c r="B517" t="s">
        <v>350</v>
      </c>
      <c r="C517" t="s">
        <v>1437</v>
      </c>
      <c r="D517" s="4">
        <v>46162</v>
      </c>
      <c r="E517" t="s">
        <v>6</v>
      </c>
      <c r="F517" t="s">
        <v>52</v>
      </c>
      <c r="G517" t="s">
        <v>190</v>
      </c>
      <c r="H517" t="s">
        <v>68</v>
      </c>
      <c r="I517" t="s">
        <v>13</v>
      </c>
      <c r="J517" t="s">
        <v>352</v>
      </c>
      <c r="K517" t="s">
        <v>417</v>
      </c>
      <c r="M517" t="s">
        <v>1438</v>
      </c>
    </row>
    <row r="518" spans="1:13">
      <c r="A518" s="4">
        <v>46164</v>
      </c>
      <c r="B518" t="s">
        <v>350</v>
      </c>
      <c r="C518" t="s">
        <v>1439</v>
      </c>
      <c r="D518" s="4">
        <v>46164</v>
      </c>
      <c r="E518" t="s">
        <v>3</v>
      </c>
      <c r="F518" t="s">
        <v>10</v>
      </c>
      <c r="G518" t="s">
        <v>27</v>
      </c>
      <c r="H518" t="s">
        <v>20</v>
      </c>
      <c r="I518" t="s">
        <v>13</v>
      </c>
      <c r="J518" t="s">
        <v>352</v>
      </c>
      <c r="K518" t="s">
        <v>1017</v>
      </c>
      <c r="M518" t="s">
        <v>1440</v>
      </c>
    </row>
    <row r="519" spans="1:13">
      <c r="A519" s="4">
        <v>46164</v>
      </c>
      <c r="B519" t="s">
        <v>350</v>
      </c>
      <c r="C519" t="s">
        <v>1441</v>
      </c>
      <c r="D519" s="4">
        <v>46163</v>
      </c>
      <c r="E519" t="s">
        <v>6</v>
      </c>
      <c r="F519" t="s">
        <v>52</v>
      </c>
      <c r="G519" t="s">
        <v>59</v>
      </c>
      <c r="H519" t="s">
        <v>54</v>
      </c>
      <c r="I519" t="s">
        <v>13</v>
      </c>
      <c r="J519" t="s">
        <v>352</v>
      </c>
      <c r="K519" t="s">
        <v>402</v>
      </c>
      <c r="M519" t="s">
        <v>1442</v>
      </c>
    </row>
    <row r="520" spans="1:13">
      <c r="A520" s="4">
        <v>46164</v>
      </c>
      <c r="B520" t="s">
        <v>350</v>
      </c>
      <c r="C520" t="s">
        <v>1443</v>
      </c>
      <c r="D520" s="4">
        <v>46163</v>
      </c>
      <c r="E520" t="s">
        <v>6</v>
      </c>
      <c r="F520" t="s">
        <v>52</v>
      </c>
      <c r="G520" t="s">
        <v>60</v>
      </c>
      <c r="H520" t="s">
        <v>54</v>
      </c>
      <c r="I520" t="s">
        <v>13</v>
      </c>
      <c r="J520" t="s">
        <v>352</v>
      </c>
      <c r="K520" t="s">
        <v>402</v>
      </c>
      <c r="M520" t="s">
        <v>1444</v>
      </c>
    </row>
    <row r="521" spans="1:13">
      <c r="A521" s="4">
        <v>46164</v>
      </c>
      <c r="B521" t="s">
        <v>350</v>
      </c>
      <c r="C521" t="s">
        <v>1445</v>
      </c>
      <c r="D521" s="4">
        <v>46162</v>
      </c>
      <c r="E521" t="s">
        <v>3</v>
      </c>
      <c r="F521" t="s">
        <v>52</v>
      </c>
      <c r="G521" t="s">
        <v>133</v>
      </c>
      <c r="H521" t="s">
        <v>70</v>
      </c>
      <c r="I521" t="s">
        <v>55</v>
      </c>
      <c r="J521" t="s">
        <v>352</v>
      </c>
      <c r="K521" t="s">
        <v>1446</v>
      </c>
      <c r="M521" t="s">
        <v>1447</v>
      </c>
    </row>
    <row r="522" spans="1:13">
      <c r="A522" s="4">
        <v>46164</v>
      </c>
      <c r="B522" t="s">
        <v>350</v>
      </c>
      <c r="C522" t="s">
        <v>1448</v>
      </c>
      <c r="D522" s="4">
        <v>46156</v>
      </c>
      <c r="E522" t="s">
        <v>6</v>
      </c>
      <c r="F522" t="s">
        <v>10</v>
      </c>
      <c r="G522" t="s">
        <v>37</v>
      </c>
      <c r="H522" t="s">
        <v>15</v>
      </c>
      <c r="I522" t="s">
        <v>13</v>
      </c>
      <c r="J522" t="s">
        <v>352</v>
      </c>
      <c r="K522" t="s">
        <v>422</v>
      </c>
      <c r="M522" t="s">
        <v>1449</v>
      </c>
    </row>
    <row r="523" spans="1:13">
      <c r="A523" s="4">
        <v>46164</v>
      </c>
      <c r="B523" t="s">
        <v>350</v>
      </c>
      <c r="C523" t="s">
        <v>1450</v>
      </c>
      <c r="D523" s="4">
        <v>46164</v>
      </c>
      <c r="E523" t="s">
        <v>3</v>
      </c>
      <c r="F523" t="s">
        <v>52</v>
      </c>
      <c r="G523" t="s">
        <v>107</v>
      </c>
      <c r="H523" t="s">
        <v>68</v>
      </c>
      <c r="I523" t="s">
        <v>29</v>
      </c>
      <c r="J523" t="s">
        <v>352</v>
      </c>
      <c r="K523" t="s">
        <v>422</v>
      </c>
      <c r="M523" t="s">
        <v>1451</v>
      </c>
    </row>
    <row r="524" spans="1:13">
      <c r="A524" s="4">
        <v>46164</v>
      </c>
      <c r="B524" t="s">
        <v>350</v>
      </c>
      <c r="C524" t="s">
        <v>1452</v>
      </c>
      <c r="D524" s="4">
        <v>46153</v>
      </c>
      <c r="E524" t="s">
        <v>6</v>
      </c>
      <c r="F524" t="s">
        <v>52</v>
      </c>
      <c r="G524" t="s">
        <v>259</v>
      </c>
      <c r="H524" t="s">
        <v>70</v>
      </c>
      <c r="I524" t="s">
        <v>13</v>
      </c>
      <c r="J524" t="s">
        <v>352</v>
      </c>
      <c r="K524" t="s">
        <v>430</v>
      </c>
      <c r="M524" t="s">
        <v>1453</v>
      </c>
    </row>
    <row r="525" spans="1:13">
      <c r="A525" s="4">
        <v>46164</v>
      </c>
      <c r="B525" t="s">
        <v>350</v>
      </c>
      <c r="C525" t="s">
        <v>1454</v>
      </c>
      <c r="D525" s="4">
        <v>46164</v>
      </c>
      <c r="E525" t="s">
        <v>3</v>
      </c>
      <c r="F525" t="s">
        <v>52</v>
      </c>
      <c r="G525" t="s">
        <v>192</v>
      </c>
      <c r="H525" t="s">
        <v>68</v>
      </c>
      <c r="I525" t="s">
        <v>29</v>
      </c>
      <c r="J525" t="s">
        <v>352</v>
      </c>
      <c r="K525" t="s">
        <v>435</v>
      </c>
      <c r="M525" t="s">
        <v>1455</v>
      </c>
    </row>
    <row r="526" spans="1:13">
      <c r="A526" s="4">
        <v>46165</v>
      </c>
      <c r="B526" t="s">
        <v>350</v>
      </c>
      <c r="C526" t="s">
        <v>1456</v>
      </c>
      <c r="D526" s="4">
        <v>46165</v>
      </c>
      <c r="E526" t="s">
        <v>3</v>
      </c>
      <c r="F526" t="s">
        <v>52</v>
      </c>
      <c r="G526" t="s">
        <v>177</v>
      </c>
      <c r="H526" t="s">
        <v>68</v>
      </c>
      <c r="I526" t="s">
        <v>13</v>
      </c>
      <c r="J526" t="s">
        <v>352</v>
      </c>
      <c r="K526" t="s">
        <v>353</v>
      </c>
      <c r="M526" t="s">
        <v>1457</v>
      </c>
    </row>
    <row r="527" spans="1:13">
      <c r="A527" s="4">
        <v>46165</v>
      </c>
      <c r="B527" t="s">
        <v>350</v>
      </c>
      <c r="C527" t="s">
        <v>1458</v>
      </c>
      <c r="D527" s="4">
        <v>46165</v>
      </c>
      <c r="E527" t="s">
        <v>3</v>
      </c>
      <c r="F527" t="s">
        <v>52</v>
      </c>
      <c r="G527" t="s">
        <v>214</v>
      </c>
      <c r="H527" t="s">
        <v>68</v>
      </c>
      <c r="I527" t="s">
        <v>13</v>
      </c>
      <c r="J527" t="s">
        <v>352</v>
      </c>
      <c r="K527" t="s">
        <v>353</v>
      </c>
      <c r="M527" t="s">
        <v>1459</v>
      </c>
    </row>
    <row r="528" spans="1:13">
      <c r="A528" s="4">
        <v>46165</v>
      </c>
      <c r="B528" t="s">
        <v>350</v>
      </c>
      <c r="C528" t="s">
        <v>1460</v>
      </c>
      <c r="D528" s="4">
        <v>46165</v>
      </c>
      <c r="E528" t="s">
        <v>3</v>
      </c>
      <c r="F528" t="s">
        <v>52</v>
      </c>
      <c r="G528" t="s">
        <v>177</v>
      </c>
      <c r="H528" t="s">
        <v>68</v>
      </c>
      <c r="I528" t="s">
        <v>13</v>
      </c>
      <c r="J528" t="s">
        <v>352</v>
      </c>
      <c r="K528" t="s">
        <v>353</v>
      </c>
      <c r="M528" t="s">
        <v>1461</v>
      </c>
    </row>
    <row r="529" spans="1:13">
      <c r="A529" s="4">
        <v>46165</v>
      </c>
      <c r="B529" t="s">
        <v>350</v>
      </c>
      <c r="C529" t="s">
        <v>1462</v>
      </c>
      <c r="D529" s="4">
        <v>46165</v>
      </c>
      <c r="E529" t="s">
        <v>3</v>
      </c>
      <c r="F529" t="s">
        <v>52</v>
      </c>
      <c r="G529" t="s">
        <v>194</v>
      </c>
      <c r="H529" t="s">
        <v>68</v>
      </c>
      <c r="I529" t="s">
        <v>29</v>
      </c>
      <c r="J529" t="s">
        <v>352</v>
      </c>
      <c r="K529" t="s">
        <v>353</v>
      </c>
      <c r="M529" t="s">
        <v>1463</v>
      </c>
    </row>
    <row r="530" spans="1:13">
      <c r="A530" s="4">
        <v>46165</v>
      </c>
      <c r="B530" t="s">
        <v>350</v>
      </c>
      <c r="C530" t="s">
        <v>1464</v>
      </c>
      <c r="D530" s="4">
        <v>46165</v>
      </c>
      <c r="E530" t="s">
        <v>3</v>
      </c>
      <c r="F530" t="s">
        <v>52</v>
      </c>
      <c r="G530" t="s">
        <v>168</v>
      </c>
      <c r="H530" t="s">
        <v>68</v>
      </c>
      <c r="I530" t="s">
        <v>13</v>
      </c>
      <c r="J530" t="s">
        <v>352</v>
      </c>
      <c r="K530" t="s">
        <v>373</v>
      </c>
      <c r="M530" t="s">
        <v>1465</v>
      </c>
    </row>
    <row r="531" spans="1:13">
      <c r="A531" s="4">
        <v>46165</v>
      </c>
      <c r="B531" t="s">
        <v>350</v>
      </c>
      <c r="C531" t="s">
        <v>1464</v>
      </c>
      <c r="D531" s="4">
        <v>46165</v>
      </c>
      <c r="E531" t="s">
        <v>3</v>
      </c>
      <c r="F531" t="s">
        <v>52</v>
      </c>
      <c r="G531" t="s">
        <v>266</v>
      </c>
      <c r="H531" t="s">
        <v>68</v>
      </c>
      <c r="I531" t="s">
        <v>13</v>
      </c>
      <c r="J531" t="s">
        <v>352</v>
      </c>
      <c r="K531" t="s">
        <v>373</v>
      </c>
      <c r="M531" t="s">
        <v>1465</v>
      </c>
    </row>
    <row r="532" spans="1:13">
      <c r="A532" s="4">
        <v>46165</v>
      </c>
      <c r="B532" t="s">
        <v>350</v>
      </c>
      <c r="C532" t="s">
        <v>1466</v>
      </c>
      <c r="D532" s="4">
        <v>46165</v>
      </c>
      <c r="E532" t="s">
        <v>3</v>
      </c>
      <c r="F532" t="s">
        <v>52</v>
      </c>
      <c r="G532" t="s">
        <v>168</v>
      </c>
      <c r="H532" t="s">
        <v>68</v>
      </c>
      <c r="I532" t="s">
        <v>13</v>
      </c>
      <c r="J532" t="s">
        <v>352</v>
      </c>
      <c r="K532" t="s">
        <v>1062</v>
      </c>
      <c r="M532" t="s">
        <v>1467</v>
      </c>
    </row>
    <row r="533" spans="1:13">
      <c r="A533" s="4">
        <v>46165</v>
      </c>
      <c r="B533" t="s">
        <v>350</v>
      </c>
      <c r="C533" t="s">
        <v>1468</v>
      </c>
      <c r="D533" s="4">
        <v>46165</v>
      </c>
      <c r="E533" t="s">
        <v>3</v>
      </c>
      <c r="F533" t="s">
        <v>52</v>
      </c>
      <c r="G533" t="s">
        <v>221</v>
      </c>
      <c r="H533" t="s">
        <v>68</v>
      </c>
      <c r="I533" t="s">
        <v>13</v>
      </c>
      <c r="J533" t="s">
        <v>352</v>
      </c>
      <c r="K533" t="s">
        <v>470</v>
      </c>
      <c r="M533" t="s">
        <v>1469</v>
      </c>
    </row>
    <row r="534" spans="1:13">
      <c r="A534" s="4">
        <v>46165</v>
      </c>
      <c r="B534" t="s">
        <v>350</v>
      </c>
      <c r="C534" t="s">
        <v>1470</v>
      </c>
      <c r="D534" s="4">
        <v>46165</v>
      </c>
      <c r="E534" t="s">
        <v>3</v>
      </c>
      <c r="F534" t="s">
        <v>52</v>
      </c>
      <c r="G534" t="s">
        <v>293</v>
      </c>
      <c r="H534" t="s">
        <v>68</v>
      </c>
      <c r="I534" t="s">
        <v>13</v>
      </c>
      <c r="J534" t="s">
        <v>352</v>
      </c>
      <c r="K534" t="s">
        <v>470</v>
      </c>
      <c r="M534" t="s">
        <v>1471</v>
      </c>
    </row>
    <row r="535" spans="1:13">
      <c r="A535" s="4">
        <v>46165</v>
      </c>
      <c r="B535" t="s">
        <v>350</v>
      </c>
      <c r="C535" t="s">
        <v>1472</v>
      </c>
      <c r="D535" s="4">
        <v>46165</v>
      </c>
      <c r="E535" t="s">
        <v>3</v>
      </c>
      <c r="F535" t="s">
        <v>52</v>
      </c>
      <c r="G535" t="s">
        <v>238</v>
      </c>
      <c r="H535" t="s">
        <v>68</v>
      </c>
      <c r="I535" t="s">
        <v>13</v>
      </c>
      <c r="J535" t="s">
        <v>352</v>
      </c>
      <c r="K535" t="s">
        <v>470</v>
      </c>
      <c r="M535" t="s">
        <v>1473</v>
      </c>
    </row>
    <row r="536" spans="1:13">
      <c r="A536" s="4">
        <v>46165</v>
      </c>
      <c r="B536" t="s">
        <v>350</v>
      </c>
      <c r="C536" t="s">
        <v>1474</v>
      </c>
      <c r="D536" s="4">
        <v>46165</v>
      </c>
      <c r="E536" t="s">
        <v>3</v>
      </c>
      <c r="F536" t="s">
        <v>52</v>
      </c>
      <c r="G536" t="s">
        <v>237</v>
      </c>
      <c r="H536" t="s">
        <v>68</v>
      </c>
      <c r="I536" t="s">
        <v>13</v>
      </c>
      <c r="J536" t="s">
        <v>352</v>
      </c>
      <c r="K536" t="s">
        <v>470</v>
      </c>
      <c r="M536" t="s">
        <v>1475</v>
      </c>
    </row>
    <row r="537" spans="1:13">
      <c r="A537" s="4">
        <v>46165</v>
      </c>
      <c r="B537" t="s">
        <v>350</v>
      </c>
      <c r="C537" t="s">
        <v>1476</v>
      </c>
      <c r="D537" s="4">
        <v>46165</v>
      </c>
      <c r="E537" t="s">
        <v>3</v>
      </c>
      <c r="F537" t="s">
        <v>52</v>
      </c>
      <c r="G537" t="s">
        <v>168</v>
      </c>
      <c r="H537" t="s">
        <v>68</v>
      </c>
      <c r="I537" t="s">
        <v>13</v>
      </c>
      <c r="J537" t="s">
        <v>352</v>
      </c>
      <c r="K537" t="s">
        <v>476</v>
      </c>
      <c r="M537" t="s">
        <v>1477</v>
      </c>
    </row>
    <row r="538" spans="1:13">
      <c r="A538" s="4">
        <v>46165</v>
      </c>
      <c r="B538" t="s">
        <v>350</v>
      </c>
      <c r="C538" t="s">
        <v>1478</v>
      </c>
      <c r="D538" s="4">
        <v>46165</v>
      </c>
      <c r="E538" t="s">
        <v>4</v>
      </c>
      <c r="F538" t="s">
        <v>52</v>
      </c>
      <c r="G538" t="s">
        <v>61</v>
      </c>
      <c r="H538" t="s">
        <v>54</v>
      </c>
      <c r="I538" t="s">
        <v>29</v>
      </c>
      <c r="J538" t="s">
        <v>352</v>
      </c>
      <c r="K538" t="s">
        <v>476</v>
      </c>
      <c r="M538" t="s">
        <v>1479</v>
      </c>
    </row>
    <row r="539" spans="1:13">
      <c r="A539" s="4">
        <v>46165</v>
      </c>
      <c r="B539" t="s">
        <v>350</v>
      </c>
      <c r="C539" t="s">
        <v>1480</v>
      </c>
      <c r="D539" s="4">
        <v>46165</v>
      </c>
      <c r="E539" t="s">
        <v>3</v>
      </c>
      <c r="F539" t="s">
        <v>52</v>
      </c>
      <c r="G539" t="s">
        <v>312</v>
      </c>
      <c r="H539" t="s">
        <v>68</v>
      </c>
      <c r="I539" t="s">
        <v>29</v>
      </c>
      <c r="J539" t="s">
        <v>352</v>
      </c>
      <c r="K539" t="s">
        <v>394</v>
      </c>
      <c r="M539" t="s">
        <v>1481</v>
      </c>
    </row>
    <row r="540" spans="1:13">
      <c r="A540" s="4">
        <v>46165</v>
      </c>
      <c r="B540" t="s">
        <v>350</v>
      </c>
      <c r="C540" t="s">
        <v>1482</v>
      </c>
      <c r="D540" s="4">
        <v>46165</v>
      </c>
      <c r="E540" t="s">
        <v>3</v>
      </c>
      <c r="F540" t="s">
        <v>52</v>
      </c>
      <c r="G540" t="s">
        <v>150</v>
      </c>
      <c r="H540" t="s">
        <v>54</v>
      </c>
      <c r="I540" t="s">
        <v>13</v>
      </c>
      <c r="J540" t="s">
        <v>352</v>
      </c>
      <c r="K540" t="s">
        <v>397</v>
      </c>
      <c r="M540" t="s">
        <v>1483</v>
      </c>
    </row>
    <row r="541" spans="1:13">
      <c r="A541" s="4">
        <v>46165</v>
      </c>
      <c r="B541" t="s">
        <v>350</v>
      </c>
      <c r="C541" t="s">
        <v>1484</v>
      </c>
      <c r="D541" s="4">
        <v>46165</v>
      </c>
      <c r="E541" t="s">
        <v>3</v>
      </c>
      <c r="F541" t="s">
        <v>52</v>
      </c>
      <c r="G541" t="s">
        <v>192</v>
      </c>
      <c r="H541" t="s">
        <v>68</v>
      </c>
      <c r="I541" t="s">
        <v>29</v>
      </c>
      <c r="J541" t="s">
        <v>352</v>
      </c>
      <c r="K541" t="s">
        <v>397</v>
      </c>
      <c r="M541" t="s">
        <v>1485</v>
      </c>
    </row>
    <row r="542" spans="1:13">
      <c r="A542" s="4">
        <v>46165</v>
      </c>
      <c r="B542" t="s">
        <v>350</v>
      </c>
      <c r="C542" t="s">
        <v>1486</v>
      </c>
      <c r="D542" s="4">
        <v>46165</v>
      </c>
      <c r="E542" t="s">
        <v>3</v>
      </c>
      <c r="F542" t="s">
        <v>52</v>
      </c>
      <c r="G542" t="s">
        <v>248</v>
      </c>
      <c r="H542" t="s">
        <v>68</v>
      </c>
      <c r="I542" t="s">
        <v>13</v>
      </c>
      <c r="J542" t="s">
        <v>352</v>
      </c>
      <c r="K542" t="s">
        <v>397</v>
      </c>
      <c r="M542" t="s">
        <v>1487</v>
      </c>
    </row>
    <row r="543" spans="1:13">
      <c r="A543" s="4">
        <v>46165</v>
      </c>
      <c r="B543" t="s">
        <v>350</v>
      </c>
      <c r="C543" t="s">
        <v>1488</v>
      </c>
      <c r="D543" s="4">
        <v>46165</v>
      </c>
      <c r="E543" t="s">
        <v>3</v>
      </c>
      <c r="F543" t="s">
        <v>52</v>
      </c>
      <c r="G543" t="s">
        <v>168</v>
      </c>
      <c r="H543" t="s">
        <v>68</v>
      </c>
      <c r="I543" t="s">
        <v>13</v>
      </c>
      <c r="J543" t="s">
        <v>352</v>
      </c>
      <c r="K543" t="s">
        <v>397</v>
      </c>
      <c r="M543" t="s">
        <v>1489</v>
      </c>
    </row>
    <row r="544" spans="1:13">
      <c r="A544" s="4">
        <v>46165</v>
      </c>
      <c r="B544" t="s">
        <v>350</v>
      </c>
      <c r="C544" t="s">
        <v>1490</v>
      </c>
      <c r="D544" s="4">
        <v>46165</v>
      </c>
      <c r="E544" t="s">
        <v>3</v>
      </c>
      <c r="F544" t="s">
        <v>52</v>
      </c>
      <c r="G544" t="s">
        <v>228</v>
      </c>
      <c r="H544" t="s">
        <v>68</v>
      </c>
      <c r="I544" t="s">
        <v>55</v>
      </c>
      <c r="J544" t="s">
        <v>352</v>
      </c>
      <c r="K544" t="s">
        <v>1491</v>
      </c>
      <c r="M544" t="s">
        <v>1492</v>
      </c>
    </row>
    <row r="545" spans="1:13">
      <c r="A545" s="4">
        <v>46165</v>
      </c>
      <c r="B545" t="s">
        <v>350</v>
      </c>
      <c r="C545" t="s">
        <v>1493</v>
      </c>
      <c r="D545" s="4">
        <v>46165</v>
      </c>
      <c r="E545" t="s">
        <v>3</v>
      </c>
      <c r="F545" t="s">
        <v>52</v>
      </c>
      <c r="G545" t="s">
        <v>249</v>
      </c>
      <c r="H545" t="s">
        <v>68</v>
      </c>
      <c r="I545" t="s">
        <v>13</v>
      </c>
      <c r="J545" t="s">
        <v>352</v>
      </c>
      <c r="K545" t="s">
        <v>675</v>
      </c>
      <c r="M545" t="s">
        <v>1494</v>
      </c>
    </row>
    <row r="546" spans="1:13">
      <c r="A546" s="4">
        <v>46165</v>
      </c>
      <c r="B546" t="s">
        <v>350</v>
      </c>
      <c r="C546" t="s">
        <v>1495</v>
      </c>
      <c r="D546" s="4">
        <v>46165</v>
      </c>
      <c r="E546" t="s">
        <v>4</v>
      </c>
      <c r="F546" t="s">
        <v>52</v>
      </c>
      <c r="G546" t="s">
        <v>157</v>
      </c>
      <c r="H546" t="s">
        <v>54</v>
      </c>
      <c r="I546" t="s">
        <v>29</v>
      </c>
      <c r="J546" t="s">
        <v>352</v>
      </c>
      <c r="K546" t="s">
        <v>691</v>
      </c>
      <c r="M546" t="s">
        <v>1496</v>
      </c>
    </row>
    <row r="547" spans="1:13">
      <c r="A547" s="4">
        <v>46165</v>
      </c>
      <c r="B547" t="s">
        <v>350</v>
      </c>
      <c r="C547" t="s">
        <v>1497</v>
      </c>
      <c r="D547" s="4">
        <v>46165</v>
      </c>
      <c r="E547" t="s">
        <v>3</v>
      </c>
      <c r="F547" t="s">
        <v>52</v>
      </c>
      <c r="G547" t="s">
        <v>250</v>
      </c>
      <c r="H547" t="s">
        <v>68</v>
      </c>
      <c r="I547" t="s">
        <v>13</v>
      </c>
      <c r="J547" t="s">
        <v>352</v>
      </c>
      <c r="K547" t="s">
        <v>1212</v>
      </c>
      <c r="M547" t="s">
        <v>1498</v>
      </c>
    </row>
    <row r="548" spans="1:13">
      <c r="A548" s="4">
        <v>46165</v>
      </c>
      <c r="B548" t="s">
        <v>350</v>
      </c>
      <c r="C548" t="s">
        <v>1499</v>
      </c>
      <c r="D548" s="4">
        <v>46165</v>
      </c>
      <c r="E548" t="s">
        <v>3</v>
      </c>
      <c r="F548" t="s">
        <v>52</v>
      </c>
      <c r="G548" t="s">
        <v>150</v>
      </c>
      <c r="H548" t="s">
        <v>54</v>
      </c>
      <c r="I548" t="s">
        <v>13</v>
      </c>
      <c r="J548" t="s">
        <v>352</v>
      </c>
      <c r="K548" t="s">
        <v>427</v>
      </c>
      <c r="M548" t="s">
        <v>1500</v>
      </c>
    </row>
    <row r="549" spans="1:13">
      <c r="A549" s="4">
        <v>46165</v>
      </c>
      <c r="B549" t="s">
        <v>350</v>
      </c>
      <c r="C549" t="s">
        <v>1501</v>
      </c>
      <c r="D549" s="4">
        <v>46165</v>
      </c>
      <c r="E549" t="s">
        <v>3</v>
      </c>
      <c r="F549" t="s">
        <v>52</v>
      </c>
      <c r="G549" t="s">
        <v>168</v>
      </c>
      <c r="H549" t="s">
        <v>68</v>
      </c>
      <c r="I549" t="s">
        <v>13</v>
      </c>
      <c r="J549" t="s">
        <v>352</v>
      </c>
      <c r="K549" t="s">
        <v>1502</v>
      </c>
      <c r="M549" t="s">
        <v>1503</v>
      </c>
    </row>
    <row r="550" spans="1:13">
      <c r="A550" s="4">
        <v>46165</v>
      </c>
      <c r="B550" t="s">
        <v>350</v>
      </c>
      <c r="C550" t="s">
        <v>1504</v>
      </c>
      <c r="D550" s="4">
        <v>46165</v>
      </c>
      <c r="E550" t="s">
        <v>3</v>
      </c>
      <c r="F550" t="s">
        <v>52</v>
      </c>
      <c r="G550" t="s">
        <v>125</v>
      </c>
      <c r="H550" t="s">
        <v>68</v>
      </c>
      <c r="I550" t="s">
        <v>13</v>
      </c>
      <c r="J550" t="s">
        <v>352</v>
      </c>
      <c r="K550" t="s">
        <v>976</v>
      </c>
      <c r="M550" t="s">
        <v>1505</v>
      </c>
    </row>
    <row r="551" spans="1:13">
      <c r="A551" s="4">
        <v>46165</v>
      </c>
      <c r="B551" t="s">
        <v>350</v>
      </c>
      <c r="C551" t="s">
        <v>1506</v>
      </c>
      <c r="D551" s="4">
        <v>46165</v>
      </c>
      <c r="E551" t="s">
        <v>3</v>
      </c>
      <c r="F551" t="s">
        <v>52</v>
      </c>
      <c r="G551" t="s">
        <v>134</v>
      </c>
      <c r="H551" t="s">
        <v>68</v>
      </c>
      <c r="I551" t="s">
        <v>13</v>
      </c>
      <c r="J551" t="s">
        <v>352</v>
      </c>
      <c r="K551" t="s">
        <v>511</v>
      </c>
      <c r="M551" t="s">
        <v>1507</v>
      </c>
    </row>
    <row r="552" spans="1:13">
      <c r="A552" s="4">
        <v>46165</v>
      </c>
      <c r="B552" t="s">
        <v>350</v>
      </c>
      <c r="C552" t="s">
        <v>1508</v>
      </c>
      <c r="D552" s="4">
        <v>46165</v>
      </c>
      <c r="E552" t="s">
        <v>3</v>
      </c>
      <c r="F552" t="s">
        <v>52</v>
      </c>
      <c r="G552" t="s">
        <v>137</v>
      </c>
      <c r="H552" t="s">
        <v>68</v>
      </c>
      <c r="I552" t="s">
        <v>13</v>
      </c>
      <c r="J552" t="s">
        <v>352</v>
      </c>
      <c r="K552" t="s">
        <v>511</v>
      </c>
      <c r="M552" t="s">
        <v>1509</v>
      </c>
    </row>
    <row r="553" spans="1:13">
      <c r="A553" s="4">
        <v>46165</v>
      </c>
      <c r="B553" t="s">
        <v>350</v>
      </c>
      <c r="C553" t="s">
        <v>1510</v>
      </c>
      <c r="D553" s="4">
        <v>46165</v>
      </c>
      <c r="E553" t="s">
        <v>3</v>
      </c>
      <c r="F553" t="s">
        <v>52</v>
      </c>
      <c r="G553" t="s">
        <v>125</v>
      </c>
      <c r="H553" t="s">
        <v>68</v>
      </c>
      <c r="I553" t="s">
        <v>13</v>
      </c>
      <c r="J553" t="s">
        <v>352</v>
      </c>
      <c r="K553" t="s">
        <v>511</v>
      </c>
      <c r="M553" t="s">
        <v>1511</v>
      </c>
    </row>
    <row r="554" spans="1:13">
      <c r="A554" s="4">
        <v>46165</v>
      </c>
      <c r="B554" t="s">
        <v>350</v>
      </c>
      <c r="C554" t="s">
        <v>1512</v>
      </c>
      <c r="D554" s="4">
        <v>46165</v>
      </c>
      <c r="E554" t="s">
        <v>3</v>
      </c>
      <c r="F554" t="s">
        <v>52</v>
      </c>
      <c r="G554" t="s">
        <v>125</v>
      </c>
      <c r="H554" t="s">
        <v>68</v>
      </c>
      <c r="I554" t="s">
        <v>13</v>
      </c>
      <c r="J554" t="s">
        <v>352</v>
      </c>
      <c r="K554" t="s">
        <v>511</v>
      </c>
      <c r="M554" t="s">
        <v>1513</v>
      </c>
    </row>
    <row r="555" spans="1:13">
      <c r="A555" s="4">
        <v>46165</v>
      </c>
      <c r="B555" t="s">
        <v>350</v>
      </c>
      <c r="C555" t="s">
        <v>1514</v>
      </c>
      <c r="D555" s="4">
        <v>46165</v>
      </c>
      <c r="E555" t="s">
        <v>3</v>
      </c>
      <c r="F555" t="s">
        <v>52</v>
      </c>
      <c r="G555" t="s">
        <v>74</v>
      </c>
      <c r="H555" t="s">
        <v>68</v>
      </c>
      <c r="I555" t="s">
        <v>13</v>
      </c>
      <c r="J555" t="s">
        <v>352</v>
      </c>
      <c r="K555" t="s">
        <v>514</v>
      </c>
      <c r="M555" t="s">
        <v>1515</v>
      </c>
    </row>
    <row r="556" spans="1:13">
      <c r="A556" s="4">
        <v>46165</v>
      </c>
      <c r="B556" t="s">
        <v>350</v>
      </c>
      <c r="C556" t="s">
        <v>1516</v>
      </c>
      <c r="D556" s="4">
        <v>46165</v>
      </c>
      <c r="E556" t="s">
        <v>3</v>
      </c>
      <c r="F556" t="s">
        <v>52</v>
      </c>
      <c r="G556" t="s">
        <v>80</v>
      </c>
      <c r="H556" t="s">
        <v>68</v>
      </c>
      <c r="I556" t="s">
        <v>1517</v>
      </c>
      <c r="J556" t="s">
        <v>352</v>
      </c>
      <c r="K556" t="s">
        <v>514</v>
      </c>
      <c r="M556" t="s">
        <v>1518</v>
      </c>
    </row>
    <row r="557" spans="1:13">
      <c r="A557" s="4">
        <v>46165</v>
      </c>
      <c r="B557" t="s">
        <v>350</v>
      </c>
      <c r="C557" t="s">
        <v>1519</v>
      </c>
      <c r="D557" s="4">
        <v>46165</v>
      </c>
      <c r="E557" t="s">
        <v>3</v>
      </c>
      <c r="F557" t="s">
        <v>52</v>
      </c>
      <c r="G557" t="s">
        <v>81</v>
      </c>
      <c r="H557" t="s">
        <v>68</v>
      </c>
      <c r="I557" t="s">
        <v>13</v>
      </c>
      <c r="J557" t="s">
        <v>352</v>
      </c>
      <c r="K557" t="s">
        <v>514</v>
      </c>
      <c r="M557" t="s">
        <v>1520</v>
      </c>
    </row>
    <row r="558" spans="1:13">
      <c r="A558" s="4">
        <v>46165</v>
      </c>
      <c r="B558" t="s">
        <v>350</v>
      </c>
      <c r="C558" t="s">
        <v>1521</v>
      </c>
      <c r="D558" s="4">
        <v>46165</v>
      </c>
      <c r="E558" t="s">
        <v>3</v>
      </c>
      <c r="F558" t="s">
        <v>52</v>
      </c>
      <c r="G558" t="s">
        <v>72</v>
      </c>
      <c r="H558" t="s">
        <v>68</v>
      </c>
      <c r="I558" t="s">
        <v>13</v>
      </c>
      <c r="J558" t="s">
        <v>352</v>
      </c>
      <c r="K558" t="s">
        <v>514</v>
      </c>
      <c r="M558" t="s">
        <v>1522</v>
      </c>
    </row>
    <row r="559" spans="1:13">
      <c r="A559" s="4">
        <v>46165</v>
      </c>
      <c r="B559" t="s">
        <v>350</v>
      </c>
      <c r="C559" t="s">
        <v>1523</v>
      </c>
      <c r="D559" s="4">
        <v>46165</v>
      </c>
      <c r="E559" t="s">
        <v>3</v>
      </c>
      <c r="F559" t="s">
        <v>52</v>
      </c>
      <c r="G559" t="s">
        <v>81</v>
      </c>
      <c r="H559" t="s">
        <v>68</v>
      </c>
      <c r="I559" t="s">
        <v>13</v>
      </c>
      <c r="J559" t="s">
        <v>352</v>
      </c>
      <c r="K559" t="s">
        <v>514</v>
      </c>
      <c r="M559" t="s">
        <v>1524</v>
      </c>
    </row>
    <row r="560" spans="1:13">
      <c r="A560" s="4">
        <v>46165</v>
      </c>
      <c r="B560" t="s">
        <v>350</v>
      </c>
      <c r="C560" t="s">
        <v>1525</v>
      </c>
      <c r="D560" s="4">
        <v>46165</v>
      </c>
      <c r="E560" t="s">
        <v>3</v>
      </c>
      <c r="F560" t="s">
        <v>52</v>
      </c>
      <c r="G560" t="s">
        <v>209</v>
      </c>
      <c r="H560" t="s">
        <v>68</v>
      </c>
      <c r="I560" t="s">
        <v>13</v>
      </c>
      <c r="J560" t="s">
        <v>352</v>
      </c>
      <c r="K560" t="s">
        <v>582</v>
      </c>
      <c r="M560" t="s">
        <v>1526</v>
      </c>
    </row>
    <row r="561" spans="1:13">
      <c r="A561" s="4">
        <v>46167</v>
      </c>
      <c r="B561" t="s">
        <v>350</v>
      </c>
      <c r="C561" t="s">
        <v>1527</v>
      </c>
      <c r="D561" s="4">
        <v>46164</v>
      </c>
      <c r="E561" t="s">
        <v>5</v>
      </c>
      <c r="F561" t="s">
        <v>52</v>
      </c>
      <c r="G561" t="s">
        <v>225</v>
      </c>
      <c r="H561" t="s">
        <v>70</v>
      </c>
      <c r="I561" t="s">
        <v>55</v>
      </c>
      <c r="J561" t="s">
        <v>352</v>
      </c>
      <c r="K561" t="s">
        <v>402</v>
      </c>
      <c r="M561" t="s">
        <v>1528</v>
      </c>
    </row>
    <row r="562" spans="1:13">
      <c r="A562" s="4">
        <v>46167</v>
      </c>
      <c r="B562" t="s">
        <v>350</v>
      </c>
      <c r="C562" t="s">
        <v>1529</v>
      </c>
      <c r="D562" s="4">
        <v>46167</v>
      </c>
      <c r="E562" t="s">
        <v>3</v>
      </c>
      <c r="F562" t="s">
        <v>52</v>
      </c>
      <c r="G562" t="s">
        <v>196</v>
      </c>
      <c r="H562" t="s">
        <v>68</v>
      </c>
      <c r="I562" t="s">
        <v>29</v>
      </c>
      <c r="J562" t="s">
        <v>352</v>
      </c>
      <c r="K562" t="s">
        <v>365</v>
      </c>
      <c r="M562" t="s">
        <v>1530</v>
      </c>
    </row>
    <row r="563" spans="1:13">
      <c r="A563" s="4">
        <v>46167</v>
      </c>
      <c r="B563" t="s">
        <v>350</v>
      </c>
      <c r="C563" t="s">
        <v>1531</v>
      </c>
      <c r="D563" s="4">
        <v>46167</v>
      </c>
      <c r="E563" t="s">
        <v>3</v>
      </c>
      <c r="F563" t="s">
        <v>52</v>
      </c>
      <c r="G563" t="s">
        <v>168</v>
      </c>
      <c r="H563" t="s">
        <v>68</v>
      </c>
      <c r="I563" t="s">
        <v>13</v>
      </c>
      <c r="J563" t="s">
        <v>352</v>
      </c>
      <c r="K563" t="s">
        <v>365</v>
      </c>
      <c r="M563" t="s">
        <v>1532</v>
      </c>
    </row>
    <row r="564" spans="1:13">
      <c r="A564" s="4">
        <v>46167</v>
      </c>
      <c r="B564" t="s">
        <v>350</v>
      </c>
      <c r="C564" t="s">
        <v>1533</v>
      </c>
      <c r="D564" s="4">
        <v>46167</v>
      </c>
      <c r="E564" t="s">
        <v>3</v>
      </c>
      <c r="F564" t="s">
        <v>52</v>
      </c>
      <c r="G564" t="s">
        <v>313</v>
      </c>
      <c r="H564" t="s">
        <v>68</v>
      </c>
      <c r="I564" t="s">
        <v>29</v>
      </c>
      <c r="J564" t="s">
        <v>352</v>
      </c>
      <c r="K564" t="s">
        <v>640</v>
      </c>
      <c r="M564" t="s">
        <v>1534</v>
      </c>
    </row>
    <row r="565" spans="1:13">
      <c r="A565" s="4">
        <v>46167</v>
      </c>
      <c r="B565" t="s">
        <v>350</v>
      </c>
      <c r="C565" t="s">
        <v>1535</v>
      </c>
      <c r="D565" s="4">
        <v>46167</v>
      </c>
      <c r="E565" t="s">
        <v>3</v>
      </c>
      <c r="F565" t="s">
        <v>52</v>
      </c>
      <c r="G565" t="s">
        <v>196</v>
      </c>
      <c r="H565" t="s">
        <v>68</v>
      </c>
      <c r="I565" t="s">
        <v>29</v>
      </c>
      <c r="J565" t="s">
        <v>352</v>
      </c>
      <c r="K565" t="s">
        <v>1062</v>
      </c>
      <c r="M565" t="s">
        <v>1536</v>
      </c>
    </row>
    <row r="566" spans="1:13">
      <c r="A566" s="4">
        <v>46167</v>
      </c>
      <c r="B566" t="s">
        <v>350</v>
      </c>
      <c r="C566" t="s">
        <v>1537</v>
      </c>
      <c r="D566" s="4">
        <v>46167</v>
      </c>
      <c r="E566" t="s">
        <v>5</v>
      </c>
      <c r="F566" t="s">
        <v>52</v>
      </c>
      <c r="G566" t="s">
        <v>219</v>
      </c>
      <c r="H566" t="s">
        <v>68</v>
      </c>
      <c r="I566" t="s">
        <v>13</v>
      </c>
      <c r="J566" t="s">
        <v>352</v>
      </c>
      <c r="K566" t="s">
        <v>1014</v>
      </c>
      <c r="M566" t="s">
        <v>1538</v>
      </c>
    </row>
    <row r="567" spans="1:13">
      <c r="A567" s="4">
        <v>46167</v>
      </c>
      <c r="B567" t="s">
        <v>350</v>
      </c>
      <c r="C567" t="s">
        <v>1539</v>
      </c>
      <c r="D567" s="4">
        <v>46167</v>
      </c>
      <c r="E567" t="s">
        <v>3</v>
      </c>
      <c r="F567" t="s">
        <v>52</v>
      </c>
      <c r="G567" t="s">
        <v>177</v>
      </c>
      <c r="H567" t="s">
        <v>68</v>
      </c>
      <c r="I567" t="s">
        <v>13</v>
      </c>
      <c r="J567" t="s">
        <v>352</v>
      </c>
      <c r="K567" t="s">
        <v>388</v>
      </c>
      <c r="M567" t="s">
        <v>1540</v>
      </c>
    </row>
    <row r="568" spans="1:13">
      <c r="A568" s="4">
        <v>46167</v>
      </c>
      <c r="B568" t="s">
        <v>350</v>
      </c>
      <c r="C568" t="s">
        <v>1541</v>
      </c>
      <c r="D568" s="4">
        <v>46167</v>
      </c>
      <c r="E568" t="s">
        <v>3</v>
      </c>
      <c r="F568" t="s">
        <v>52</v>
      </c>
      <c r="G568" t="s">
        <v>184</v>
      </c>
      <c r="H568" t="s">
        <v>68</v>
      </c>
      <c r="I568" t="s">
        <v>13</v>
      </c>
      <c r="J568" t="s">
        <v>352</v>
      </c>
      <c r="K568" t="s">
        <v>391</v>
      </c>
      <c r="M568" t="s">
        <v>1542</v>
      </c>
    </row>
    <row r="569" spans="1:13">
      <c r="A569" s="4">
        <v>46167</v>
      </c>
      <c r="B569" t="s">
        <v>350</v>
      </c>
      <c r="C569" t="s">
        <v>1543</v>
      </c>
      <c r="D569" s="4">
        <v>46167</v>
      </c>
      <c r="E569" t="s">
        <v>3</v>
      </c>
      <c r="F569" t="s">
        <v>52</v>
      </c>
      <c r="G569" t="s">
        <v>184</v>
      </c>
      <c r="H569" t="s">
        <v>68</v>
      </c>
      <c r="I569" t="s">
        <v>13</v>
      </c>
      <c r="J569" t="s">
        <v>352</v>
      </c>
      <c r="K569" t="s">
        <v>391</v>
      </c>
      <c r="M569" t="s">
        <v>1544</v>
      </c>
    </row>
    <row r="570" spans="1:13">
      <c r="A570" s="4">
        <v>46167</v>
      </c>
      <c r="B570" t="s">
        <v>350</v>
      </c>
      <c r="C570" t="s">
        <v>1545</v>
      </c>
      <c r="D570" s="4">
        <v>46167</v>
      </c>
      <c r="E570" t="s">
        <v>3</v>
      </c>
      <c r="F570" t="s">
        <v>52</v>
      </c>
      <c r="G570" t="s">
        <v>148</v>
      </c>
      <c r="H570" t="s">
        <v>68</v>
      </c>
      <c r="I570" t="s">
        <v>29</v>
      </c>
      <c r="J570" t="s">
        <v>352</v>
      </c>
      <c r="K570" t="s">
        <v>391</v>
      </c>
      <c r="M570" t="s">
        <v>1546</v>
      </c>
    </row>
    <row r="571" spans="1:13">
      <c r="A571" s="4">
        <v>46167</v>
      </c>
      <c r="B571" t="s">
        <v>350</v>
      </c>
      <c r="C571" t="s">
        <v>1547</v>
      </c>
      <c r="D571" s="4">
        <v>46167</v>
      </c>
      <c r="E571" t="s">
        <v>3</v>
      </c>
      <c r="F571" t="s">
        <v>52</v>
      </c>
      <c r="G571" t="s">
        <v>311</v>
      </c>
      <c r="H571" t="s">
        <v>68</v>
      </c>
      <c r="I571" t="s">
        <v>13</v>
      </c>
      <c r="J571" t="s">
        <v>352</v>
      </c>
      <c r="K571" t="s">
        <v>394</v>
      </c>
      <c r="M571" t="s">
        <v>1548</v>
      </c>
    </row>
    <row r="572" spans="1:13">
      <c r="A572" s="4">
        <v>46167</v>
      </c>
      <c r="B572" t="s">
        <v>350</v>
      </c>
      <c r="C572" t="s">
        <v>1549</v>
      </c>
      <c r="D572" s="4">
        <v>46167</v>
      </c>
      <c r="E572" t="s">
        <v>3</v>
      </c>
      <c r="F572" t="s">
        <v>52</v>
      </c>
      <c r="G572" t="s">
        <v>309</v>
      </c>
      <c r="H572" t="s">
        <v>54</v>
      </c>
      <c r="I572" t="s">
        <v>13</v>
      </c>
      <c r="J572" t="s">
        <v>352</v>
      </c>
      <c r="K572" t="s">
        <v>394</v>
      </c>
      <c r="M572" t="s">
        <v>1550</v>
      </c>
    </row>
    <row r="573" spans="1:13">
      <c r="A573" s="4">
        <v>46167</v>
      </c>
      <c r="B573" t="s">
        <v>350</v>
      </c>
      <c r="C573" t="s">
        <v>1551</v>
      </c>
      <c r="D573" s="4">
        <v>46167</v>
      </c>
      <c r="E573" t="s">
        <v>3</v>
      </c>
      <c r="F573" t="s">
        <v>52</v>
      </c>
      <c r="G573" t="s">
        <v>311</v>
      </c>
      <c r="H573" t="s">
        <v>68</v>
      </c>
      <c r="I573" t="s">
        <v>13</v>
      </c>
      <c r="J573" t="s">
        <v>352</v>
      </c>
      <c r="K573" t="s">
        <v>394</v>
      </c>
      <c r="M573" t="s">
        <v>1552</v>
      </c>
    </row>
    <row r="574" spans="1:13">
      <c r="A574" s="4">
        <v>46167</v>
      </c>
      <c r="B574" t="s">
        <v>350</v>
      </c>
      <c r="C574" t="s">
        <v>1553</v>
      </c>
      <c r="D574" s="4">
        <v>46167</v>
      </c>
      <c r="E574" t="s">
        <v>3</v>
      </c>
      <c r="F574" t="s">
        <v>52</v>
      </c>
      <c r="G574" t="s">
        <v>149</v>
      </c>
      <c r="H574" t="s">
        <v>54</v>
      </c>
      <c r="I574" t="s">
        <v>55</v>
      </c>
      <c r="J574" t="s">
        <v>352</v>
      </c>
      <c r="K574" t="s">
        <v>394</v>
      </c>
      <c r="M574" t="s">
        <v>1554</v>
      </c>
    </row>
    <row r="575" spans="1:13">
      <c r="A575" s="4">
        <v>46167</v>
      </c>
      <c r="B575" t="s">
        <v>350</v>
      </c>
      <c r="C575" t="s">
        <v>1555</v>
      </c>
      <c r="D575" s="4">
        <v>46162</v>
      </c>
      <c r="E575" t="s">
        <v>5</v>
      </c>
      <c r="F575" t="s">
        <v>52</v>
      </c>
      <c r="G575" t="s">
        <v>203</v>
      </c>
      <c r="H575" t="s">
        <v>70</v>
      </c>
      <c r="I575" t="s">
        <v>55</v>
      </c>
      <c r="J575" t="s">
        <v>352</v>
      </c>
      <c r="K575" t="s">
        <v>605</v>
      </c>
      <c r="M575" t="s">
        <v>1556</v>
      </c>
    </row>
    <row r="576" spans="1:13">
      <c r="A576" s="4">
        <v>46167</v>
      </c>
      <c r="B576" t="s">
        <v>350</v>
      </c>
      <c r="C576" t="s">
        <v>1557</v>
      </c>
      <c r="D576" s="4">
        <v>46167</v>
      </c>
      <c r="E576" t="s">
        <v>3</v>
      </c>
      <c r="F576" t="s">
        <v>52</v>
      </c>
      <c r="G576" t="s">
        <v>303</v>
      </c>
      <c r="H576" t="s">
        <v>68</v>
      </c>
      <c r="I576" t="s">
        <v>13</v>
      </c>
      <c r="J576" t="s">
        <v>352</v>
      </c>
      <c r="K576" t="s">
        <v>405</v>
      </c>
      <c r="M576" t="s">
        <v>1558</v>
      </c>
    </row>
    <row r="577" spans="1:13">
      <c r="A577" s="4">
        <v>46167</v>
      </c>
      <c r="B577" t="s">
        <v>350</v>
      </c>
      <c r="C577" t="s">
        <v>1559</v>
      </c>
      <c r="D577" s="4">
        <v>46167</v>
      </c>
      <c r="E577" t="s">
        <v>3</v>
      </c>
      <c r="F577" t="s">
        <v>52</v>
      </c>
      <c r="G577" t="s">
        <v>298</v>
      </c>
      <c r="H577" t="s">
        <v>68</v>
      </c>
      <c r="I577" t="s">
        <v>13</v>
      </c>
      <c r="J577" t="s">
        <v>352</v>
      </c>
      <c r="K577" t="s">
        <v>405</v>
      </c>
      <c r="M577" t="s">
        <v>1560</v>
      </c>
    </row>
    <row r="578" spans="1:13">
      <c r="A578" s="4">
        <v>46167</v>
      </c>
      <c r="B578" t="s">
        <v>350</v>
      </c>
      <c r="C578" t="s">
        <v>1561</v>
      </c>
      <c r="D578" s="4">
        <v>46167</v>
      </c>
      <c r="E578" t="s">
        <v>3</v>
      </c>
      <c r="F578" t="s">
        <v>52</v>
      </c>
      <c r="G578" t="s">
        <v>302</v>
      </c>
      <c r="H578" t="s">
        <v>54</v>
      </c>
      <c r="I578" t="s">
        <v>13</v>
      </c>
      <c r="J578" t="s">
        <v>352</v>
      </c>
      <c r="K578" t="s">
        <v>405</v>
      </c>
      <c r="M578" t="s">
        <v>1562</v>
      </c>
    </row>
    <row r="579" spans="1:13">
      <c r="A579" s="4">
        <v>46167</v>
      </c>
      <c r="B579" t="s">
        <v>350</v>
      </c>
      <c r="C579" t="s">
        <v>1563</v>
      </c>
      <c r="D579" s="4">
        <v>46167</v>
      </c>
      <c r="E579" t="s">
        <v>3</v>
      </c>
      <c r="F579" t="s">
        <v>52</v>
      </c>
      <c r="G579" t="s">
        <v>297</v>
      </c>
      <c r="H579" t="s">
        <v>68</v>
      </c>
      <c r="I579" t="s">
        <v>13</v>
      </c>
      <c r="J579" t="s">
        <v>352</v>
      </c>
      <c r="K579" t="s">
        <v>405</v>
      </c>
      <c r="M579" t="s">
        <v>1564</v>
      </c>
    </row>
    <row r="580" spans="1:13">
      <c r="A580" s="4">
        <v>46167</v>
      </c>
      <c r="B580" t="s">
        <v>350</v>
      </c>
      <c r="C580" t="s">
        <v>1565</v>
      </c>
      <c r="D580" s="4">
        <v>46167</v>
      </c>
      <c r="E580" t="s">
        <v>3</v>
      </c>
      <c r="F580" t="s">
        <v>52</v>
      </c>
      <c r="G580" t="s">
        <v>297</v>
      </c>
      <c r="H580" t="s">
        <v>68</v>
      </c>
      <c r="I580" t="s">
        <v>13</v>
      </c>
      <c r="J580" t="s">
        <v>352</v>
      </c>
      <c r="K580" t="s">
        <v>405</v>
      </c>
      <c r="M580" t="s">
        <v>1566</v>
      </c>
    </row>
    <row r="581" spans="1:13">
      <c r="A581" s="4">
        <v>46167</v>
      </c>
      <c r="B581" t="s">
        <v>350</v>
      </c>
      <c r="C581" t="s">
        <v>1567</v>
      </c>
      <c r="D581" s="4">
        <v>46167</v>
      </c>
      <c r="E581" t="s">
        <v>4</v>
      </c>
      <c r="F581" t="s">
        <v>52</v>
      </c>
      <c r="G581" t="s">
        <v>164</v>
      </c>
      <c r="H581" t="s">
        <v>54</v>
      </c>
      <c r="I581" t="s">
        <v>55</v>
      </c>
      <c r="J581" t="s">
        <v>352</v>
      </c>
      <c r="K581" t="s">
        <v>553</v>
      </c>
      <c r="M581" t="s">
        <v>1568</v>
      </c>
    </row>
    <row r="582" spans="1:13">
      <c r="A582" s="4">
        <v>46167</v>
      </c>
      <c r="B582" t="s">
        <v>350</v>
      </c>
      <c r="C582" t="s">
        <v>1569</v>
      </c>
      <c r="D582" s="4">
        <v>46167</v>
      </c>
      <c r="E582" t="s">
        <v>3</v>
      </c>
      <c r="F582" t="s">
        <v>52</v>
      </c>
      <c r="G582" t="s">
        <v>175</v>
      </c>
      <c r="H582" t="s">
        <v>68</v>
      </c>
      <c r="I582" t="s">
        <v>13</v>
      </c>
      <c r="J582" t="s">
        <v>352</v>
      </c>
      <c r="K582" t="s">
        <v>553</v>
      </c>
      <c r="M582" t="s">
        <v>1570</v>
      </c>
    </row>
    <row r="583" spans="1:13">
      <c r="A583" s="4">
        <v>46167</v>
      </c>
      <c r="B583" t="s">
        <v>350</v>
      </c>
      <c r="C583" t="s">
        <v>1571</v>
      </c>
      <c r="D583" s="4">
        <v>46165</v>
      </c>
      <c r="E583" t="s">
        <v>5</v>
      </c>
      <c r="F583" t="s">
        <v>52</v>
      </c>
      <c r="G583" t="s">
        <v>215</v>
      </c>
      <c r="H583" t="s">
        <v>70</v>
      </c>
      <c r="I583" t="s">
        <v>13</v>
      </c>
      <c r="J583" t="s">
        <v>352</v>
      </c>
      <c r="K583" t="s">
        <v>499</v>
      </c>
      <c r="M583" t="s">
        <v>1572</v>
      </c>
    </row>
    <row r="584" spans="1:13">
      <c r="A584" s="4">
        <v>46167</v>
      </c>
      <c r="B584" t="s">
        <v>350</v>
      </c>
      <c r="C584" t="s">
        <v>1573</v>
      </c>
      <c r="D584" s="4">
        <v>46167</v>
      </c>
      <c r="E584" t="s">
        <v>3</v>
      </c>
      <c r="F584" t="s">
        <v>52</v>
      </c>
      <c r="G584" t="s">
        <v>215</v>
      </c>
      <c r="H584" t="s">
        <v>68</v>
      </c>
      <c r="I584" t="s">
        <v>13</v>
      </c>
      <c r="J584" t="s">
        <v>352</v>
      </c>
      <c r="K584" t="s">
        <v>499</v>
      </c>
      <c r="M584" t="s">
        <v>1574</v>
      </c>
    </row>
    <row r="585" spans="1:13">
      <c r="A585" s="4">
        <v>46167</v>
      </c>
      <c r="B585" t="s">
        <v>350</v>
      </c>
      <c r="C585" t="s">
        <v>1575</v>
      </c>
      <c r="D585" s="4">
        <v>46167</v>
      </c>
      <c r="E585" t="s">
        <v>3</v>
      </c>
      <c r="F585" t="s">
        <v>52</v>
      </c>
      <c r="G585" t="s">
        <v>86</v>
      </c>
      <c r="H585" t="s">
        <v>68</v>
      </c>
      <c r="I585" t="s">
        <v>13</v>
      </c>
      <c r="J585" t="s">
        <v>352</v>
      </c>
      <c r="K585" t="s">
        <v>502</v>
      </c>
      <c r="M585" t="s">
        <v>1576</v>
      </c>
    </row>
    <row r="586" spans="1:13">
      <c r="A586" s="4">
        <v>46167</v>
      </c>
      <c r="B586" t="s">
        <v>350</v>
      </c>
      <c r="C586" t="s">
        <v>1577</v>
      </c>
      <c r="D586" s="4">
        <v>46167</v>
      </c>
      <c r="E586" t="s">
        <v>5</v>
      </c>
      <c r="F586" t="s">
        <v>52</v>
      </c>
      <c r="G586" t="s">
        <v>196</v>
      </c>
      <c r="H586" t="s">
        <v>68</v>
      </c>
      <c r="I586" t="s">
        <v>29</v>
      </c>
      <c r="J586" t="s">
        <v>352</v>
      </c>
      <c r="K586" t="s">
        <v>1502</v>
      </c>
      <c r="M586" t="s">
        <v>1578</v>
      </c>
    </row>
    <row r="587" spans="1:13">
      <c r="A587" s="4">
        <v>46167</v>
      </c>
      <c r="B587" t="s">
        <v>350</v>
      </c>
      <c r="C587" t="s">
        <v>1579</v>
      </c>
      <c r="D587" s="4">
        <v>46163</v>
      </c>
      <c r="E587" t="s">
        <v>5</v>
      </c>
      <c r="F587" t="s">
        <v>52</v>
      </c>
      <c r="G587" t="s">
        <v>258</v>
      </c>
      <c r="H587" t="s">
        <v>68</v>
      </c>
      <c r="I587" t="s">
        <v>13</v>
      </c>
      <c r="J587" t="s">
        <v>352</v>
      </c>
      <c r="K587" t="s">
        <v>430</v>
      </c>
      <c r="M587" t="s">
        <v>1580</v>
      </c>
    </row>
    <row r="588" spans="1:13">
      <c r="A588" s="4">
        <v>46167</v>
      </c>
      <c r="B588" t="s">
        <v>350</v>
      </c>
      <c r="C588" t="s">
        <v>1581</v>
      </c>
      <c r="D588" s="4">
        <v>46167</v>
      </c>
      <c r="E588" t="s">
        <v>3</v>
      </c>
      <c r="F588" t="s">
        <v>52</v>
      </c>
      <c r="G588" t="s">
        <v>192</v>
      </c>
      <c r="H588" t="s">
        <v>68</v>
      </c>
      <c r="I588" t="s">
        <v>29</v>
      </c>
      <c r="J588" t="s">
        <v>352</v>
      </c>
      <c r="K588" t="s">
        <v>435</v>
      </c>
      <c r="M588" t="s">
        <v>1582</v>
      </c>
    </row>
    <row r="589" spans="1:13">
      <c r="A589" s="4">
        <v>46167</v>
      </c>
      <c r="B589" t="s">
        <v>350</v>
      </c>
      <c r="C589" t="s">
        <v>1583</v>
      </c>
      <c r="D589" s="4">
        <v>46167</v>
      </c>
      <c r="E589" t="s">
        <v>3</v>
      </c>
      <c r="F589" t="s">
        <v>52</v>
      </c>
      <c r="G589" t="s">
        <v>58</v>
      </c>
      <c r="H589" t="s">
        <v>54</v>
      </c>
      <c r="I589" t="s">
        <v>13</v>
      </c>
      <c r="J589" t="s">
        <v>352</v>
      </c>
      <c r="K589" t="s">
        <v>576</v>
      </c>
      <c r="M589" t="s">
        <v>1584</v>
      </c>
    </row>
    <row r="590" spans="1:13">
      <c r="A590" s="4">
        <v>46167</v>
      </c>
      <c r="B590" t="s">
        <v>350</v>
      </c>
      <c r="C590" t="s">
        <v>1585</v>
      </c>
      <c r="D590" s="4">
        <v>46167</v>
      </c>
      <c r="E590" t="s">
        <v>3</v>
      </c>
      <c r="F590" t="s">
        <v>52</v>
      </c>
      <c r="G590" t="s">
        <v>85</v>
      </c>
      <c r="H590" t="s">
        <v>68</v>
      </c>
      <c r="I590" t="s">
        <v>13</v>
      </c>
      <c r="J590" t="s">
        <v>352</v>
      </c>
      <c r="K590" t="s">
        <v>576</v>
      </c>
      <c r="M590" t="s">
        <v>1586</v>
      </c>
    </row>
    <row r="591" spans="1:13">
      <c r="A591" s="4">
        <v>46167</v>
      </c>
      <c r="B591" t="s">
        <v>350</v>
      </c>
      <c r="C591" t="s">
        <v>1587</v>
      </c>
      <c r="D591" s="4">
        <v>46167</v>
      </c>
      <c r="E591" t="s">
        <v>3</v>
      </c>
      <c r="F591" t="s">
        <v>52</v>
      </c>
      <c r="G591" t="s">
        <v>90</v>
      </c>
      <c r="H591" t="s">
        <v>68</v>
      </c>
      <c r="I591" t="s">
        <v>13</v>
      </c>
      <c r="J591" t="s">
        <v>352</v>
      </c>
      <c r="K591" t="s">
        <v>576</v>
      </c>
      <c r="M591" t="s">
        <v>1588</v>
      </c>
    </row>
    <row r="592" spans="1:13">
      <c r="A592" s="4">
        <v>46167</v>
      </c>
      <c r="B592" t="s">
        <v>350</v>
      </c>
      <c r="C592" t="s">
        <v>1589</v>
      </c>
      <c r="D592" s="4">
        <v>46167</v>
      </c>
      <c r="E592" t="s">
        <v>3</v>
      </c>
      <c r="F592" t="s">
        <v>52</v>
      </c>
      <c r="G592" t="s">
        <v>85</v>
      </c>
      <c r="H592" t="s">
        <v>68</v>
      </c>
      <c r="I592" t="s">
        <v>13</v>
      </c>
      <c r="J592" t="s">
        <v>352</v>
      </c>
      <c r="K592" t="s">
        <v>576</v>
      </c>
      <c r="M592" t="s">
        <v>1590</v>
      </c>
    </row>
    <row r="593" spans="1:13">
      <c r="A593" s="4">
        <v>46167</v>
      </c>
      <c r="B593" t="s">
        <v>350</v>
      </c>
      <c r="C593" t="s">
        <v>1591</v>
      </c>
      <c r="D593" s="4">
        <v>46167</v>
      </c>
      <c r="E593" t="s">
        <v>3</v>
      </c>
      <c r="F593" t="s">
        <v>52</v>
      </c>
      <c r="G593" t="s">
        <v>85</v>
      </c>
      <c r="H593" t="s">
        <v>68</v>
      </c>
      <c r="I593" t="s">
        <v>13</v>
      </c>
      <c r="J593" t="s">
        <v>352</v>
      </c>
      <c r="K593" t="s">
        <v>576</v>
      </c>
      <c r="M593" t="s">
        <v>1592</v>
      </c>
    </row>
    <row r="594" spans="1:13">
      <c r="A594" s="4">
        <v>46167</v>
      </c>
      <c r="B594" t="s">
        <v>350</v>
      </c>
      <c r="C594" t="s">
        <v>443</v>
      </c>
      <c r="D594" s="4">
        <v>46163</v>
      </c>
      <c r="E594" t="s">
        <v>5</v>
      </c>
      <c r="F594" t="s">
        <v>52</v>
      </c>
      <c r="G594" t="s">
        <v>228</v>
      </c>
      <c r="H594" t="s">
        <v>68</v>
      </c>
      <c r="I594" t="s">
        <v>55</v>
      </c>
      <c r="J594" t="s">
        <v>352</v>
      </c>
      <c r="K594" t="s">
        <v>444</v>
      </c>
      <c r="M594" t="s">
        <v>1593</v>
      </c>
    </row>
    <row r="595" spans="1:13">
      <c r="A595" s="4">
        <v>46167</v>
      </c>
      <c r="B595" t="s">
        <v>350</v>
      </c>
      <c r="C595" t="s">
        <v>1594</v>
      </c>
      <c r="D595" s="4">
        <v>46162</v>
      </c>
      <c r="E595" t="s">
        <v>3</v>
      </c>
      <c r="F595" t="s">
        <v>52</v>
      </c>
      <c r="G595" t="s">
        <v>166</v>
      </c>
      <c r="H595" t="s">
        <v>68</v>
      </c>
      <c r="I595" t="s">
        <v>13</v>
      </c>
      <c r="J595" t="s">
        <v>352</v>
      </c>
      <c r="K595" t="s">
        <v>582</v>
      </c>
      <c r="M595" t="s">
        <v>1595</v>
      </c>
    </row>
    <row r="596" spans="1:13">
      <c r="A596" s="4">
        <v>46167</v>
      </c>
      <c r="B596" t="s">
        <v>350</v>
      </c>
      <c r="C596" t="s">
        <v>1596</v>
      </c>
      <c r="D596" s="4">
        <v>46162</v>
      </c>
      <c r="E596" t="s">
        <v>3</v>
      </c>
      <c r="F596" t="s">
        <v>52</v>
      </c>
      <c r="G596" t="s">
        <v>156</v>
      </c>
      <c r="H596" t="s">
        <v>54</v>
      </c>
      <c r="I596" t="s">
        <v>13</v>
      </c>
      <c r="J596" t="s">
        <v>352</v>
      </c>
      <c r="K596" t="s">
        <v>582</v>
      </c>
      <c r="M596" t="s">
        <v>1597</v>
      </c>
    </row>
    <row r="597" spans="1:13">
      <c r="A597" s="4">
        <v>46167</v>
      </c>
      <c r="B597" t="s">
        <v>350</v>
      </c>
      <c r="C597" t="s">
        <v>1598</v>
      </c>
      <c r="D597" s="4">
        <v>46162</v>
      </c>
      <c r="E597" t="s">
        <v>3</v>
      </c>
      <c r="F597" t="s">
        <v>52</v>
      </c>
      <c r="G597" t="s">
        <v>146</v>
      </c>
      <c r="H597" t="s">
        <v>54</v>
      </c>
      <c r="I597" t="s">
        <v>13</v>
      </c>
      <c r="J597" t="s">
        <v>352</v>
      </c>
      <c r="K597" t="s">
        <v>582</v>
      </c>
      <c r="M597" t="s">
        <v>1599</v>
      </c>
    </row>
    <row r="598" spans="1:13">
      <c r="A598" s="4">
        <v>46168</v>
      </c>
      <c r="B598" t="s">
        <v>350</v>
      </c>
      <c r="C598" t="s">
        <v>1600</v>
      </c>
      <c r="D598" s="4">
        <v>46167</v>
      </c>
      <c r="E598" t="s">
        <v>5</v>
      </c>
      <c r="F598" t="s">
        <v>52</v>
      </c>
      <c r="G598" t="s">
        <v>228</v>
      </c>
      <c r="H598" t="s">
        <v>70</v>
      </c>
      <c r="I598" t="s">
        <v>29</v>
      </c>
      <c r="J598" t="s">
        <v>352</v>
      </c>
      <c r="K598" t="s">
        <v>525</v>
      </c>
      <c r="M598" t="s">
        <v>1601</v>
      </c>
    </row>
    <row r="599" spans="1:13">
      <c r="A599" s="4">
        <v>46168</v>
      </c>
      <c r="B599" t="s">
        <v>350</v>
      </c>
      <c r="C599" t="s">
        <v>1600</v>
      </c>
      <c r="D599" s="4">
        <v>46167</v>
      </c>
      <c r="E599" t="s">
        <v>5</v>
      </c>
      <c r="F599" t="s">
        <v>52</v>
      </c>
      <c r="G599" t="s">
        <v>260</v>
      </c>
      <c r="H599" t="s">
        <v>70</v>
      </c>
      <c r="I599" t="s">
        <v>29</v>
      </c>
      <c r="J599" t="s">
        <v>352</v>
      </c>
      <c r="K599" t="s">
        <v>525</v>
      </c>
      <c r="M599" t="s">
        <v>1601</v>
      </c>
    </row>
    <row r="600" spans="1:13">
      <c r="A600" s="4">
        <v>46168</v>
      </c>
      <c r="B600" t="s">
        <v>350</v>
      </c>
      <c r="C600" t="s">
        <v>1602</v>
      </c>
      <c r="D600" s="4">
        <v>46167</v>
      </c>
      <c r="E600" t="s">
        <v>3</v>
      </c>
      <c r="F600" t="s">
        <v>52</v>
      </c>
      <c r="G600" t="s">
        <v>281</v>
      </c>
      <c r="H600" t="s">
        <v>68</v>
      </c>
      <c r="I600" t="s">
        <v>29</v>
      </c>
      <c r="J600" t="s">
        <v>352</v>
      </c>
      <c r="K600" t="s">
        <v>362</v>
      </c>
      <c r="M600" t="s">
        <v>1603</v>
      </c>
    </row>
    <row r="601" spans="1:13">
      <c r="A601" s="4">
        <v>46168</v>
      </c>
      <c r="B601" t="s">
        <v>350</v>
      </c>
      <c r="C601" t="s">
        <v>1604</v>
      </c>
      <c r="D601" s="4">
        <v>46168</v>
      </c>
      <c r="E601" t="s">
        <v>3</v>
      </c>
      <c r="F601" t="s">
        <v>52</v>
      </c>
      <c r="G601" t="s">
        <v>196</v>
      </c>
      <c r="H601" t="s">
        <v>68</v>
      </c>
      <c r="I601" t="s">
        <v>29</v>
      </c>
      <c r="J601" t="s">
        <v>352</v>
      </c>
      <c r="K601" t="s">
        <v>365</v>
      </c>
      <c r="M601" t="s">
        <v>1605</v>
      </c>
    </row>
    <row r="602" spans="1:13">
      <c r="A602" s="4">
        <v>46168</v>
      </c>
      <c r="B602" t="s">
        <v>350</v>
      </c>
      <c r="C602" t="s">
        <v>1606</v>
      </c>
      <c r="D602" s="4">
        <v>46168</v>
      </c>
      <c r="E602" t="s">
        <v>5</v>
      </c>
      <c r="F602" t="s">
        <v>52</v>
      </c>
      <c r="G602" t="s">
        <v>274</v>
      </c>
      <c r="H602" t="s">
        <v>54</v>
      </c>
      <c r="I602" t="s">
        <v>29</v>
      </c>
      <c r="J602" t="s">
        <v>352</v>
      </c>
      <c r="K602" t="s">
        <v>368</v>
      </c>
      <c r="M602" t="s">
        <v>1607</v>
      </c>
    </row>
    <row r="603" spans="1:13">
      <c r="A603" s="4">
        <v>46168</v>
      </c>
      <c r="B603" t="s">
        <v>350</v>
      </c>
      <c r="C603" t="s">
        <v>1608</v>
      </c>
      <c r="D603" s="4">
        <v>46168</v>
      </c>
      <c r="E603" t="s">
        <v>3</v>
      </c>
      <c r="F603" t="s">
        <v>52</v>
      </c>
      <c r="G603" t="s">
        <v>310</v>
      </c>
      <c r="H603" t="s">
        <v>68</v>
      </c>
      <c r="I603" t="s">
        <v>29</v>
      </c>
      <c r="J603" t="s">
        <v>352</v>
      </c>
      <c r="K603" t="s">
        <v>640</v>
      </c>
      <c r="M603" t="s">
        <v>1609</v>
      </c>
    </row>
    <row r="604" spans="1:13">
      <c r="A604" s="4">
        <v>46168</v>
      </c>
      <c r="B604" t="s">
        <v>350</v>
      </c>
      <c r="C604" t="s">
        <v>1610</v>
      </c>
      <c r="D604" s="4">
        <v>46168</v>
      </c>
      <c r="E604" t="s">
        <v>3</v>
      </c>
      <c r="F604" t="s">
        <v>52</v>
      </c>
      <c r="G604" t="s">
        <v>320</v>
      </c>
      <c r="H604" t="s">
        <v>68</v>
      </c>
      <c r="I604" t="s">
        <v>55</v>
      </c>
      <c r="J604" t="s">
        <v>352</v>
      </c>
      <c r="K604" t="s">
        <v>640</v>
      </c>
      <c r="M604" t="s">
        <v>1611</v>
      </c>
    </row>
    <row r="605" spans="1:13">
      <c r="A605" s="4">
        <v>46168</v>
      </c>
      <c r="B605" t="s">
        <v>350</v>
      </c>
      <c r="C605" t="s">
        <v>1612</v>
      </c>
      <c r="D605" s="4">
        <v>46168</v>
      </c>
      <c r="E605" t="s">
        <v>3</v>
      </c>
      <c r="F605" t="s">
        <v>52</v>
      </c>
      <c r="G605" t="s">
        <v>326</v>
      </c>
      <c r="H605" t="s">
        <v>68</v>
      </c>
      <c r="I605" t="s">
        <v>13</v>
      </c>
      <c r="J605" t="s">
        <v>352</v>
      </c>
      <c r="K605" t="s">
        <v>640</v>
      </c>
      <c r="M605" t="s">
        <v>1613</v>
      </c>
    </row>
    <row r="606" spans="1:13">
      <c r="A606" s="4">
        <v>46168</v>
      </c>
      <c r="B606" t="s">
        <v>350</v>
      </c>
      <c r="C606" t="s">
        <v>1614</v>
      </c>
      <c r="D606" s="4">
        <v>46168</v>
      </c>
      <c r="E606" t="s">
        <v>5</v>
      </c>
      <c r="F606" t="s">
        <v>52</v>
      </c>
      <c r="G606" t="s">
        <v>321</v>
      </c>
      <c r="H606" t="s">
        <v>70</v>
      </c>
      <c r="I606" t="s">
        <v>55</v>
      </c>
      <c r="J606" t="s">
        <v>352</v>
      </c>
      <c r="K606" t="s">
        <v>640</v>
      </c>
      <c r="M606" t="s">
        <v>1615</v>
      </c>
    </row>
    <row r="607" spans="1:13">
      <c r="A607" s="4">
        <v>46168</v>
      </c>
      <c r="B607" t="s">
        <v>350</v>
      </c>
      <c r="C607" t="s">
        <v>1616</v>
      </c>
      <c r="D607" s="4">
        <v>46168</v>
      </c>
      <c r="E607" t="s">
        <v>3</v>
      </c>
      <c r="F607" t="s">
        <v>52</v>
      </c>
      <c r="G607" t="s">
        <v>314</v>
      </c>
      <c r="H607" t="s">
        <v>68</v>
      </c>
      <c r="I607" t="s">
        <v>29</v>
      </c>
      <c r="J607" t="s">
        <v>352</v>
      </c>
      <c r="K607" t="s">
        <v>640</v>
      </c>
      <c r="M607" t="s">
        <v>1617</v>
      </c>
    </row>
    <row r="608" spans="1:13">
      <c r="A608" s="4">
        <v>46168</v>
      </c>
      <c r="B608" t="s">
        <v>350</v>
      </c>
      <c r="C608" t="s">
        <v>1618</v>
      </c>
      <c r="D608" s="4">
        <v>46168</v>
      </c>
      <c r="E608" t="s">
        <v>3</v>
      </c>
      <c r="F608" t="s">
        <v>52</v>
      </c>
      <c r="G608" t="s">
        <v>268</v>
      </c>
      <c r="H608" t="s">
        <v>68</v>
      </c>
      <c r="I608" t="s">
        <v>13</v>
      </c>
      <c r="J608" t="s">
        <v>352</v>
      </c>
      <c r="K608" t="s">
        <v>376</v>
      </c>
      <c r="M608" t="s">
        <v>1619</v>
      </c>
    </row>
    <row r="609" spans="1:13">
      <c r="A609" s="4">
        <v>46168</v>
      </c>
      <c r="B609" t="s">
        <v>350</v>
      </c>
      <c r="C609" t="s">
        <v>1620</v>
      </c>
      <c r="D609" s="4">
        <v>46168</v>
      </c>
      <c r="E609" t="s">
        <v>5</v>
      </c>
      <c r="F609" t="s">
        <v>52</v>
      </c>
      <c r="G609" t="s">
        <v>142</v>
      </c>
      <c r="H609" t="s">
        <v>54</v>
      </c>
      <c r="I609" t="s">
        <v>13</v>
      </c>
      <c r="J609" t="s">
        <v>352</v>
      </c>
      <c r="K609" t="s">
        <v>379</v>
      </c>
      <c r="M609" t="s">
        <v>1621</v>
      </c>
    </row>
    <row r="610" spans="1:13">
      <c r="A610" s="4">
        <v>46168</v>
      </c>
      <c r="B610" t="s">
        <v>350</v>
      </c>
      <c r="C610" t="s">
        <v>1622</v>
      </c>
      <c r="D610" s="4">
        <v>46168</v>
      </c>
      <c r="E610" t="s">
        <v>6</v>
      </c>
      <c r="F610" t="s">
        <v>52</v>
      </c>
      <c r="G610" t="s">
        <v>244</v>
      </c>
      <c r="H610" t="s">
        <v>68</v>
      </c>
      <c r="I610" t="s">
        <v>13</v>
      </c>
      <c r="J610" t="s">
        <v>352</v>
      </c>
      <c r="K610" t="s">
        <v>1623</v>
      </c>
      <c r="M610" t="s">
        <v>1624</v>
      </c>
    </row>
    <row r="611" spans="1:13">
      <c r="A611" s="4">
        <v>46168</v>
      </c>
      <c r="B611" t="s">
        <v>350</v>
      </c>
      <c r="C611" t="s">
        <v>1625</v>
      </c>
      <c r="D611" s="4">
        <v>46168</v>
      </c>
      <c r="E611" t="s">
        <v>6</v>
      </c>
      <c r="F611" t="s">
        <v>10</v>
      </c>
      <c r="G611" t="s">
        <v>25</v>
      </c>
      <c r="H611" t="s">
        <v>20</v>
      </c>
      <c r="I611" t="s">
        <v>13</v>
      </c>
      <c r="J611" t="s">
        <v>352</v>
      </c>
      <c r="K611" t="s">
        <v>391</v>
      </c>
      <c r="M611" t="s">
        <v>1626</v>
      </c>
    </row>
    <row r="612" spans="1:13">
      <c r="A612" s="4">
        <v>46168</v>
      </c>
      <c r="B612" t="s">
        <v>350</v>
      </c>
      <c r="C612" t="s">
        <v>1627</v>
      </c>
      <c r="D612" s="4">
        <v>46168</v>
      </c>
      <c r="E612" t="s">
        <v>6</v>
      </c>
      <c r="F612" t="s">
        <v>10</v>
      </c>
      <c r="G612" t="s">
        <v>21</v>
      </c>
      <c r="H612" t="s">
        <v>17</v>
      </c>
      <c r="I612" t="s">
        <v>13</v>
      </c>
      <c r="J612" t="s">
        <v>352</v>
      </c>
      <c r="K612" t="s">
        <v>391</v>
      </c>
      <c r="M612" t="s">
        <v>1628</v>
      </c>
    </row>
    <row r="613" spans="1:13">
      <c r="A613" s="4">
        <v>46168</v>
      </c>
      <c r="B613" t="s">
        <v>350</v>
      </c>
      <c r="C613" t="s">
        <v>1629</v>
      </c>
      <c r="D613" s="4">
        <v>46168</v>
      </c>
      <c r="E613" t="s">
        <v>3</v>
      </c>
      <c r="F613" t="s">
        <v>52</v>
      </c>
      <c r="G613" t="s">
        <v>296</v>
      </c>
      <c r="H613" t="s">
        <v>68</v>
      </c>
      <c r="I613" t="s">
        <v>13</v>
      </c>
      <c r="J613" t="s">
        <v>352</v>
      </c>
      <c r="K613" t="s">
        <v>405</v>
      </c>
      <c r="M613" t="s">
        <v>1630</v>
      </c>
    </row>
    <row r="614" spans="1:13">
      <c r="A614" s="4">
        <v>46168</v>
      </c>
      <c r="B614" t="s">
        <v>350</v>
      </c>
      <c r="C614" t="s">
        <v>1631</v>
      </c>
      <c r="D614" s="4">
        <v>46168</v>
      </c>
      <c r="E614" t="s">
        <v>3</v>
      </c>
      <c r="F614" t="s">
        <v>52</v>
      </c>
      <c r="G614" t="s">
        <v>296</v>
      </c>
      <c r="H614" t="s">
        <v>68</v>
      </c>
      <c r="I614" t="s">
        <v>13</v>
      </c>
      <c r="J614" t="s">
        <v>352</v>
      </c>
      <c r="K614" t="s">
        <v>405</v>
      </c>
      <c r="M614" t="s">
        <v>1632</v>
      </c>
    </row>
    <row r="615" spans="1:13">
      <c r="A615" s="4">
        <v>46168</v>
      </c>
      <c r="B615" t="s">
        <v>350</v>
      </c>
      <c r="C615" t="s">
        <v>1633</v>
      </c>
      <c r="D615" s="4">
        <v>46168</v>
      </c>
      <c r="E615" t="s">
        <v>3</v>
      </c>
      <c r="F615" t="s">
        <v>52</v>
      </c>
      <c r="G615" t="s">
        <v>300</v>
      </c>
      <c r="H615" t="s">
        <v>68</v>
      </c>
      <c r="I615" t="s">
        <v>29</v>
      </c>
      <c r="J615" t="s">
        <v>352</v>
      </c>
      <c r="K615" t="s">
        <v>405</v>
      </c>
      <c r="M615" t="s">
        <v>1634</v>
      </c>
    </row>
    <row r="616" spans="1:13">
      <c r="A616" s="4">
        <v>46168</v>
      </c>
      <c r="B616" t="s">
        <v>350</v>
      </c>
      <c r="C616" t="s">
        <v>1635</v>
      </c>
      <c r="D616" s="4">
        <v>46168</v>
      </c>
      <c r="E616" t="s">
        <v>3</v>
      </c>
      <c r="F616" t="s">
        <v>52</v>
      </c>
      <c r="G616" t="s">
        <v>297</v>
      </c>
      <c r="H616" t="s">
        <v>68</v>
      </c>
      <c r="I616" t="s">
        <v>13</v>
      </c>
      <c r="J616" t="s">
        <v>352</v>
      </c>
      <c r="K616" t="s">
        <v>405</v>
      </c>
      <c r="M616" t="s">
        <v>1636</v>
      </c>
    </row>
    <row r="617" spans="1:13">
      <c r="A617" s="4">
        <v>46168</v>
      </c>
      <c r="B617" t="s">
        <v>350</v>
      </c>
      <c r="C617" t="s">
        <v>1637</v>
      </c>
      <c r="D617" s="4">
        <v>46168</v>
      </c>
      <c r="E617" t="s">
        <v>3</v>
      </c>
      <c r="F617" t="s">
        <v>52</v>
      </c>
      <c r="G617" t="s">
        <v>303</v>
      </c>
      <c r="H617" t="s">
        <v>68</v>
      </c>
      <c r="I617" t="s">
        <v>13</v>
      </c>
      <c r="J617" t="s">
        <v>352</v>
      </c>
      <c r="K617" t="s">
        <v>405</v>
      </c>
      <c r="M617" t="s">
        <v>1638</v>
      </c>
    </row>
    <row r="618" spans="1:13">
      <c r="A618" s="4">
        <v>46168</v>
      </c>
      <c r="B618" t="s">
        <v>350</v>
      </c>
      <c r="C618" t="s">
        <v>1639</v>
      </c>
      <c r="D618" s="4">
        <v>46168</v>
      </c>
      <c r="E618" t="s">
        <v>3</v>
      </c>
      <c r="F618" t="s">
        <v>52</v>
      </c>
      <c r="G618" t="s">
        <v>176</v>
      </c>
      <c r="H618" t="s">
        <v>68</v>
      </c>
      <c r="I618" t="s">
        <v>13</v>
      </c>
      <c r="J618" t="s">
        <v>352</v>
      </c>
      <c r="K618" t="s">
        <v>605</v>
      </c>
      <c r="M618" t="s">
        <v>1640</v>
      </c>
    </row>
    <row r="619" spans="1:13">
      <c r="A619" s="4">
        <v>46168</v>
      </c>
      <c r="B619" t="s">
        <v>350</v>
      </c>
      <c r="C619" t="s">
        <v>1641</v>
      </c>
      <c r="D619" s="4">
        <v>46168</v>
      </c>
      <c r="E619" t="s">
        <v>3</v>
      </c>
      <c r="F619" t="s">
        <v>52</v>
      </c>
      <c r="G619" t="s">
        <v>241</v>
      </c>
      <c r="H619" t="s">
        <v>68</v>
      </c>
      <c r="I619" t="s">
        <v>13</v>
      </c>
      <c r="J619" t="s">
        <v>352</v>
      </c>
      <c r="K619" t="s">
        <v>605</v>
      </c>
      <c r="M619" t="s">
        <v>1642</v>
      </c>
    </row>
    <row r="620" spans="1:13">
      <c r="A620" s="4">
        <v>46168</v>
      </c>
      <c r="B620" t="s">
        <v>350</v>
      </c>
      <c r="C620" t="s">
        <v>1643</v>
      </c>
      <c r="D620" s="4">
        <v>46161</v>
      </c>
      <c r="E620" t="s">
        <v>6</v>
      </c>
      <c r="F620" t="s">
        <v>10</v>
      </c>
      <c r="G620" t="s">
        <v>23</v>
      </c>
      <c r="H620" t="s">
        <v>12</v>
      </c>
      <c r="I620" t="s">
        <v>13</v>
      </c>
      <c r="J620" t="s">
        <v>352</v>
      </c>
      <c r="K620" t="s">
        <v>417</v>
      </c>
      <c r="M620" t="s">
        <v>1644</v>
      </c>
    </row>
    <row r="621" spans="1:13">
      <c r="A621" s="4">
        <v>46168</v>
      </c>
      <c r="B621" t="s">
        <v>350</v>
      </c>
      <c r="C621" t="s">
        <v>1645</v>
      </c>
      <c r="D621" s="4">
        <v>46164</v>
      </c>
      <c r="E621" t="s">
        <v>3</v>
      </c>
      <c r="F621" t="s">
        <v>52</v>
      </c>
      <c r="G621" t="s">
        <v>260</v>
      </c>
      <c r="H621" t="s">
        <v>70</v>
      </c>
      <c r="I621" t="s">
        <v>13</v>
      </c>
      <c r="J621" t="s">
        <v>352</v>
      </c>
      <c r="K621" t="s">
        <v>427</v>
      </c>
      <c r="M621" t="s">
        <v>1646</v>
      </c>
    </row>
    <row r="622" spans="1:13">
      <c r="A622" s="4">
        <v>46168</v>
      </c>
      <c r="B622" t="s">
        <v>350</v>
      </c>
      <c r="C622" t="s">
        <v>1647</v>
      </c>
      <c r="D622" s="4">
        <v>46168</v>
      </c>
      <c r="E622" t="s">
        <v>5</v>
      </c>
      <c r="F622" t="s">
        <v>52</v>
      </c>
      <c r="G622" t="s">
        <v>168</v>
      </c>
      <c r="H622" t="s">
        <v>68</v>
      </c>
      <c r="I622" t="s">
        <v>13</v>
      </c>
      <c r="J622" t="s">
        <v>352</v>
      </c>
      <c r="K622" t="s">
        <v>427</v>
      </c>
      <c r="M622" t="s">
        <v>1648</v>
      </c>
    </row>
    <row r="623" spans="1:13">
      <c r="A623" s="4">
        <v>46168</v>
      </c>
      <c r="B623" t="s">
        <v>350</v>
      </c>
      <c r="C623" t="s">
        <v>1649</v>
      </c>
      <c r="D623" s="4">
        <v>46156</v>
      </c>
      <c r="E623" t="s">
        <v>6</v>
      </c>
      <c r="F623" t="s">
        <v>10</v>
      </c>
      <c r="G623" t="s">
        <v>31</v>
      </c>
      <c r="H623" t="s">
        <v>15</v>
      </c>
      <c r="I623" t="s">
        <v>13</v>
      </c>
      <c r="J623" t="s">
        <v>352</v>
      </c>
      <c r="K623" t="s">
        <v>1650</v>
      </c>
      <c r="M623" t="s">
        <v>1651</v>
      </c>
    </row>
    <row r="624" spans="1:13">
      <c r="A624" s="4">
        <v>46168</v>
      </c>
      <c r="B624" t="s">
        <v>350</v>
      </c>
      <c r="C624" t="s">
        <v>1652</v>
      </c>
      <c r="D624" s="4">
        <v>46163</v>
      </c>
      <c r="E624" t="s">
        <v>6</v>
      </c>
      <c r="F624" t="s">
        <v>10</v>
      </c>
      <c r="G624" t="s">
        <v>36</v>
      </c>
      <c r="H624" t="s">
        <v>15</v>
      </c>
      <c r="I624" t="s">
        <v>13</v>
      </c>
      <c r="J624" t="s">
        <v>352</v>
      </c>
      <c r="K624" t="s">
        <v>1650</v>
      </c>
      <c r="M624" t="s">
        <v>1653</v>
      </c>
    </row>
    <row r="625" spans="1:13">
      <c r="A625" s="4">
        <v>46168</v>
      </c>
      <c r="B625" t="s">
        <v>350</v>
      </c>
      <c r="C625" t="s">
        <v>1654</v>
      </c>
      <c r="D625" s="4">
        <v>46168</v>
      </c>
      <c r="E625" t="s">
        <v>5</v>
      </c>
      <c r="F625" t="s">
        <v>52</v>
      </c>
      <c r="G625" t="s">
        <v>283</v>
      </c>
      <c r="H625" t="s">
        <v>68</v>
      </c>
      <c r="I625" t="s">
        <v>13</v>
      </c>
      <c r="J625" t="s">
        <v>352</v>
      </c>
      <c r="K625" t="s">
        <v>430</v>
      </c>
      <c r="M625" t="s">
        <v>1655</v>
      </c>
    </row>
    <row r="626" spans="1:13">
      <c r="A626" s="4">
        <v>46168</v>
      </c>
      <c r="B626" t="s">
        <v>350</v>
      </c>
      <c r="C626" t="s">
        <v>1656</v>
      </c>
      <c r="D626" s="4">
        <v>46168</v>
      </c>
      <c r="E626" t="s">
        <v>3</v>
      </c>
      <c r="F626" t="s">
        <v>52</v>
      </c>
      <c r="G626" t="s">
        <v>168</v>
      </c>
      <c r="H626" t="s">
        <v>68</v>
      </c>
      <c r="I626" t="s">
        <v>13</v>
      </c>
      <c r="J626" t="s">
        <v>352</v>
      </c>
      <c r="K626" t="s">
        <v>435</v>
      </c>
      <c r="M626" t="s">
        <v>1657</v>
      </c>
    </row>
    <row r="627" spans="1:13">
      <c r="A627" s="4">
        <v>46168</v>
      </c>
      <c r="B627" t="s">
        <v>350</v>
      </c>
      <c r="C627" t="s">
        <v>1658</v>
      </c>
      <c r="D627" s="4">
        <v>46163</v>
      </c>
      <c r="E627" t="s">
        <v>5</v>
      </c>
      <c r="F627" t="s">
        <v>10</v>
      </c>
      <c r="G627" t="s">
        <v>19</v>
      </c>
      <c r="H627" t="s">
        <v>20</v>
      </c>
      <c r="I627" t="s">
        <v>13</v>
      </c>
      <c r="J627" t="s">
        <v>352</v>
      </c>
      <c r="K627" t="s">
        <v>576</v>
      </c>
      <c r="M627" t="s">
        <v>1659</v>
      </c>
    </row>
    <row r="628" spans="1:13">
      <c r="A628" s="4">
        <v>46168</v>
      </c>
      <c r="B628" t="s">
        <v>350</v>
      </c>
      <c r="C628" t="s">
        <v>1660</v>
      </c>
      <c r="D628" s="4">
        <v>46168</v>
      </c>
      <c r="E628" t="s">
        <v>3</v>
      </c>
      <c r="F628" t="s">
        <v>52</v>
      </c>
      <c r="G628" t="s">
        <v>265</v>
      </c>
      <c r="H628" t="s">
        <v>68</v>
      </c>
      <c r="I628" t="s">
        <v>29</v>
      </c>
      <c r="J628" t="s">
        <v>352</v>
      </c>
      <c r="K628" t="s">
        <v>894</v>
      </c>
      <c r="M628" t="s">
        <v>1661</v>
      </c>
    </row>
    <row r="629" spans="1:13">
      <c r="A629" s="4">
        <v>46168</v>
      </c>
      <c r="B629" t="s">
        <v>350</v>
      </c>
      <c r="C629" t="s">
        <v>1662</v>
      </c>
      <c r="D629" s="4">
        <v>46168</v>
      </c>
      <c r="E629" t="s">
        <v>3</v>
      </c>
      <c r="F629" t="s">
        <v>52</v>
      </c>
      <c r="G629" t="s">
        <v>200</v>
      </c>
      <c r="H629" t="s">
        <v>68</v>
      </c>
      <c r="I629" t="s">
        <v>29</v>
      </c>
      <c r="J629" t="s">
        <v>352</v>
      </c>
      <c r="K629" t="s">
        <v>894</v>
      </c>
      <c r="M629" t="s">
        <v>1663</v>
      </c>
    </row>
    <row r="630" spans="1:13">
      <c r="A630" s="4">
        <v>46169</v>
      </c>
      <c r="B630" t="s">
        <v>350</v>
      </c>
      <c r="C630" t="s">
        <v>1664</v>
      </c>
      <c r="D630" s="4">
        <v>46169</v>
      </c>
      <c r="E630" t="s">
        <v>3</v>
      </c>
      <c r="F630" t="s">
        <v>52</v>
      </c>
      <c r="G630" t="s">
        <v>64</v>
      </c>
      <c r="H630" t="s">
        <v>54</v>
      </c>
      <c r="I630" t="s">
        <v>13</v>
      </c>
      <c r="J630" t="s">
        <v>352</v>
      </c>
      <c r="K630" t="s">
        <v>362</v>
      </c>
      <c r="M630" t="s">
        <v>1665</v>
      </c>
    </row>
    <row r="631" spans="1:13">
      <c r="A631" s="4">
        <v>46169</v>
      </c>
      <c r="B631" t="s">
        <v>350</v>
      </c>
      <c r="C631" t="s">
        <v>1666</v>
      </c>
      <c r="D631" s="4">
        <v>46169</v>
      </c>
      <c r="E631" t="s">
        <v>3</v>
      </c>
      <c r="F631" t="s">
        <v>52</v>
      </c>
      <c r="G631" t="s">
        <v>266</v>
      </c>
      <c r="H631" t="s">
        <v>68</v>
      </c>
      <c r="I631" t="s">
        <v>13</v>
      </c>
      <c r="J631" t="s">
        <v>352</v>
      </c>
      <c r="K631" t="s">
        <v>373</v>
      </c>
      <c r="M631" t="s">
        <v>1667</v>
      </c>
    </row>
    <row r="632" spans="1:13">
      <c r="A632" s="4">
        <v>46169</v>
      </c>
      <c r="B632" t="s">
        <v>350</v>
      </c>
      <c r="C632" t="s">
        <v>1668</v>
      </c>
      <c r="D632" s="4">
        <v>46169</v>
      </c>
      <c r="E632" t="s">
        <v>3</v>
      </c>
      <c r="F632" t="s">
        <v>52</v>
      </c>
      <c r="G632" t="s">
        <v>168</v>
      </c>
      <c r="H632" t="s">
        <v>68</v>
      </c>
      <c r="I632" t="s">
        <v>13</v>
      </c>
      <c r="J632" t="s">
        <v>352</v>
      </c>
      <c r="K632" t="s">
        <v>373</v>
      </c>
      <c r="M632" t="s">
        <v>1669</v>
      </c>
    </row>
    <row r="633" spans="1:13">
      <c r="A633" s="4">
        <v>46169</v>
      </c>
      <c r="B633" t="s">
        <v>350</v>
      </c>
      <c r="C633" t="s">
        <v>1670</v>
      </c>
      <c r="D633" s="4">
        <v>46169</v>
      </c>
      <c r="E633" t="s">
        <v>3</v>
      </c>
      <c r="F633" t="s">
        <v>52</v>
      </c>
      <c r="G633" t="s">
        <v>179</v>
      </c>
      <c r="H633" t="s">
        <v>68</v>
      </c>
      <c r="I633" t="s">
        <v>13</v>
      </c>
      <c r="J633" t="s">
        <v>352</v>
      </c>
      <c r="K633" t="s">
        <v>373</v>
      </c>
      <c r="M633" t="s">
        <v>1671</v>
      </c>
    </row>
    <row r="634" spans="1:13">
      <c r="A634" s="4">
        <v>46169</v>
      </c>
      <c r="B634" t="s">
        <v>350</v>
      </c>
      <c r="C634" t="s">
        <v>1672</v>
      </c>
      <c r="D634" s="4">
        <v>46169</v>
      </c>
      <c r="E634" t="s">
        <v>3</v>
      </c>
      <c r="F634" t="s">
        <v>52</v>
      </c>
      <c r="G634" t="s">
        <v>196</v>
      </c>
      <c r="H634" t="s">
        <v>68</v>
      </c>
      <c r="I634" t="s">
        <v>29</v>
      </c>
      <c r="J634" t="s">
        <v>352</v>
      </c>
      <c r="K634" t="s">
        <v>373</v>
      </c>
      <c r="M634" t="s">
        <v>1673</v>
      </c>
    </row>
    <row r="635" spans="1:13">
      <c r="A635" s="4">
        <v>46169</v>
      </c>
      <c r="B635" t="s">
        <v>350</v>
      </c>
      <c r="C635" t="s">
        <v>1674</v>
      </c>
      <c r="D635" s="4">
        <v>46169</v>
      </c>
      <c r="E635" t="s">
        <v>3</v>
      </c>
      <c r="F635" t="s">
        <v>52</v>
      </c>
      <c r="G635" t="s">
        <v>168</v>
      </c>
      <c r="H635" t="s">
        <v>68</v>
      </c>
      <c r="I635" t="s">
        <v>13</v>
      </c>
      <c r="J635" t="s">
        <v>352</v>
      </c>
      <c r="K635" t="s">
        <v>373</v>
      </c>
      <c r="M635" t="s">
        <v>1675</v>
      </c>
    </row>
    <row r="636" spans="1:13">
      <c r="A636" s="4">
        <v>46169</v>
      </c>
      <c r="B636" t="s">
        <v>350</v>
      </c>
      <c r="C636" t="s">
        <v>1674</v>
      </c>
      <c r="D636" s="4">
        <v>46169</v>
      </c>
      <c r="E636" t="s">
        <v>3</v>
      </c>
      <c r="F636" t="s">
        <v>52</v>
      </c>
      <c r="G636" t="s">
        <v>242</v>
      </c>
      <c r="H636" t="s">
        <v>68</v>
      </c>
      <c r="I636" t="s">
        <v>13</v>
      </c>
      <c r="J636" t="s">
        <v>352</v>
      </c>
      <c r="K636" t="s">
        <v>373</v>
      </c>
      <c r="M636" t="s">
        <v>1675</v>
      </c>
    </row>
    <row r="637" spans="1:13">
      <c r="A637" s="4">
        <v>46169</v>
      </c>
      <c r="B637" t="s">
        <v>350</v>
      </c>
      <c r="C637" t="s">
        <v>1676</v>
      </c>
      <c r="D637" s="4">
        <v>46169</v>
      </c>
      <c r="E637" t="s">
        <v>3</v>
      </c>
      <c r="F637" t="s">
        <v>52</v>
      </c>
      <c r="G637" t="s">
        <v>168</v>
      </c>
      <c r="H637" t="s">
        <v>68</v>
      </c>
      <c r="I637" t="s">
        <v>13</v>
      </c>
      <c r="J637" t="s">
        <v>352</v>
      </c>
      <c r="K637" t="s">
        <v>373</v>
      </c>
      <c r="M637" t="s">
        <v>1677</v>
      </c>
    </row>
    <row r="638" spans="1:13">
      <c r="A638" s="4">
        <v>46169</v>
      </c>
      <c r="B638" t="s">
        <v>350</v>
      </c>
      <c r="C638" t="s">
        <v>1678</v>
      </c>
      <c r="D638" s="4">
        <v>46169</v>
      </c>
      <c r="E638" t="s">
        <v>3</v>
      </c>
      <c r="F638" t="s">
        <v>52</v>
      </c>
      <c r="G638" t="s">
        <v>143</v>
      </c>
      <c r="H638" t="s">
        <v>54</v>
      </c>
      <c r="I638" t="s">
        <v>55</v>
      </c>
      <c r="J638" t="s">
        <v>352</v>
      </c>
      <c r="K638" t="s">
        <v>373</v>
      </c>
      <c r="M638" t="s">
        <v>1679</v>
      </c>
    </row>
    <row r="639" spans="1:13">
      <c r="A639" s="4">
        <v>46169</v>
      </c>
      <c r="B639" t="s">
        <v>350</v>
      </c>
      <c r="C639" t="s">
        <v>1680</v>
      </c>
      <c r="D639" s="4">
        <v>46169</v>
      </c>
      <c r="E639" t="s">
        <v>3</v>
      </c>
      <c r="F639" t="s">
        <v>52</v>
      </c>
      <c r="G639" t="s">
        <v>168</v>
      </c>
      <c r="H639" t="s">
        <v>68</v>
      </c>
      <c r="I639" t="s">
        <v>13</v>
      </c>
      <c r="J639" t="s">
        <v>352</v>
      </c>
      <c r="K639" t="s">
        <v>373</v>
      </c>
      <c r="M639" t="s">
        <v>1681</v>
      </c>
    </row>
    <row r="640" spans="1:13">
      <c r="A640" s="4">
        <v>46169</v>
      </c>
      <c r="B640" t="s">
        <v>350</v>
      </c>
      <c r="C640" t="s">
        <v>1682</v>
      </c>
      <c r="D640" s="4">
        <v>46169</v>
      </c>
      <c r="E640" t="s">
        <v>3</v>
      </c>
      <c r="F640" t="s">
        <v>52</v>
      </c>
      <c r="G640" t="s">
        <v>243</v>
      </c>
      <c r="H640" t="s">
        <v>68</v>
      </c>
      <c r="I640" t="s">
        <v>13</v>
      </c>
      <c r="J640" t="s">
        <v>352</v>
      </c>
      <c r="K640" t="s">
        <v>373</v>
      </c>
      <c r="M640" t="s">
        <v>1683</v>
      </c>
    </row>
    <row r="641" spans="1:13">
      <c r="A641" s="4">
        <v>46169</v>
      </c>
      <c r="B641" t="s">
        <v>350</v>
      </c>
      <c r="C641" t="s">
        <v>1684</v>
      </c>
      <c r="D641" s="4">
        <v>46169</v>
      </c>
      <c r="E641" t="s">
        <v>4</v>
      </c>
      <c r="F641" t="s">
        <v>52</v>
      </c>
      <c r="G641" t="s">
        <v>168</v>
      </c>
      <c r="H641" t="s">
        <v>68</v>
      </c>
      <c r="I641" t="s">
        <v>13</v>
      </c>
      <c r="J641" t="s">
        <v>352</v>
      </c>
      <c r="K641" t="s">
        <v>476</v>
      </c>
      <c r="M641" t="s">
        <v>1685</v>
      </c>
    </row>
    <row r="642" spans="1:13">
      <c r="A642" s="4">
        <v>46169</v>
      </c>
      <c r="B642" t="s">
        <v>350</v>
      </c>
      <c r="C642" t="s">
        <v>1686</v>
      </c>
      <c r="D642" s="4">
        <v>46169</v>
      </c>
      <c r="E642" t="s">
        <v>3</v>
      </c>
      <c r="F642" t="s">
        <v>52</v>
      </c>
      <c r="G642" t="s">
        <v>184</v>
      </c>
      <c r="H642" t="s">
        <v>68</v>
      </c>
      <c r="I642" t="s">
        <v>13</v>
      </c>
      <c r="J642" t="s">
        <v>352</v>
      </c>
      <c r="K642" t="s">
        <v>391</v>
      </c>
      <c r="M642" t="s">
        <v>1687</v>
      </c>
    </row>
    <row r="643" spans="1:13">
      <c r="A643" s="4">
        <v>46169</v>
      </c>
      <c r="B643" t="s">
        <v>350</v>
      </c>
      <c r="C643" t="s">
        <v>1688</v>
      </c>
      <c r="D643" s="4">
        <v>46169</v>
      </c>
      <c r="E643" t="s">
        <v>3</v>
      </c>
      <c r="F643" t="s">
        <v>52</v>
      </c>
      <c r="G643" t="s">
        <v>184</v>
      </c>
      <c r="H643" t="s">
        <v>68</v>
      </c>
      <c r="I643" t="s">
        <v>13</v>
      </c>
      <c r="J643" t="s">
        <v>352</v>
      </c>
      <c r="K643" t="s">
        <v>391</v>
      </c>
      <c r="M643" t="s">
        <v>1689</v>
      </c>
    </row>
    <row r="644" spans="1:13">
      <c r="A644" s="4">
        <v>46169</v>
      </c>
      <c r="B644" t="s">
        <v>350</v>
      </c>
      <c r="C644" t="s">
        <v>1690</v>
      </c>
      <c r="D644" s="4">
        <v>46169</v>
      </c>
      <c r="E644" t="s">
        <v>6</v>
      </c>
      <c r="F644" t="s">
        <v>52</v>
      </c>
      <c r="G644" t="s">
        <v>328</v>
      </c>
      <c r="H644" t="s">
        <v>68</v>
      </c>
      <c r="I644" t="s">
        <v>13</v>
      </c>
      <c r="J644" t="s">
        <v>352</v>
      </c>
      <c r="K644" t="s">
        <v>394</v>
      </c>
      <c r="M644" t="s">
        <v>1691</v>
      </c>
    </row>
    <row r="645" spans="1:13">
      <c r="A645" s="4">
        <v>46169</v>
      </c>
      <c r="B645" t="s">
        <v>350</v>
      </c>
      <c r="C645" t="s">
        <v>1692</v>
      </c>
      <c r="D645" s="4">
        <v>46169</v>
      </c>
      <c r="E645" t="s">
        <v>6</v>
      </c>
      <c r="F645" t="s">
        <v>52</v>
      </c>
      <c r="G645" t="s">
        <v>325</v>
      </c>
      <c r="H645" t="s">
        <v>68</v>
      </c>
      <c r="I645" t="s">
        <v>13</v>
      </c>
      <c r="J645" t="s">
        <v>352</v>
      </c>
      <c r="K645" t="s">
        <v>394</v>
      </c>
      <c r="M645" t="s">
        <v>1693</v>
      </c>
    </row>
    <row r="646" spans="1:13">
      <c r="A646" s="4">
        <v>46169</v>
      </c>
      <c r="B646" t="s">
        <v>350</v>
      </c>
      <c r="C646" t="s">
        <v>1694</v>
      </c>
      <c r="D646" s="4">
        <v>46169</v>
      </c>
      <c r="E646" t="s">
        <v>3</v>
      </c>
      <c r="F646" t="s">
        <v>52</v>
      </c>
      <c r="G646" t="s">
        <v>316</v>
      </c>
      <c r="H646" t="s">
        <v>70</v>
      </c>
      <c r="I646" t="s">
        <v>29</v>
      </c>
      <c r="J646" t="s">
        <v>352</v>
      </c>
      <c r="K646" t="s">
        <v>394</v>
      </c>
      <c r="M646" t="s">
        <v>1695</v>
      </c>
    </row>
    <row r="647" spans="1:13">
      <c r="A647" s="4">
        <v>46169</v>
      </c>
      <c r="B647" t="s">
        <v>350</v>
      </c>
      <c r="C647" t="s">
        <v>1696</v>
      </c>
      <c r="D647" s="4">
        <v>46169</v>
      </c>
      <c r="E647" t="s">
        <v>4</v>
      </c>
      <c r="F647" t="s">
        <v>52</v>
      </c>
      <c r="G647" t="s">
        <v>167</v>
      </c>
      <c r="H647" t="s">
        <v>54</v>
      </c>
      <c r="I647" t="s">
        <v>55</v>
      </c>
      <c r="J647" t="s">
        <v>352</v>
      </c>
      <c r="K647" t="s">
        <v>796</v>
      </c>
      <c r="M647" t="s">
        <v>1697</v>
      </c>
    </row>
    <row r="648" spans="1:13">
      <c r="A648" s="4">
        <v>46169</v>
      </c>
      <c r="B648" t="s">
        <v>350</v>
      </c>
      <c r="C648" t="s">
        <v>1698</v>
      </c>
      <c r="D648" s="4">
        <v>46169</v>
      </c>
      <c r="E648" t="s">
        <v>3</v>
      </c>
      <c r="F648" t="s">
        <v>52</v>
      </c>
      <c r="G648" t="s">
        <v>138</v>
      </c>
      <c r="H648" t="s">
        <v>68</v>
      </c>
      <c r="I648" t="s">
        <v>13</v>
      </c>
      <c r="J648" t="s">
        <v>352</v>
      </c>
      <c r="K648" t="s">
        <v>405</v>
      </c>
      <c r="M648" t="s">
        <v>1699</v>
      </c>
    </row>
    <row r="649" spans="1:13">
      <c r="A649" s="4">
        <v>46169</v>
      </c>
      <c r="B649" t="s">
        <v>350</v>
      </c>
      <c r="C649" t="s">
        <v>1700</v>
      </c>
      <c r="D649" s="4">
        <v>46169</v>
      </c>
      <c r="E649" t="s">
        <v>3</v>
      </c>
      <c r="F649" t="s">
        <v>52</v>
      </c>
      <c r="G649" t="s">
        <v>136</v>
      </c>
      <c r="H649" t="s">
        <v>68</v>
      </c>
      <c r="I649" t="s">
        <v>13</v>
      </c>
      <c r="J649" t="s">
        <v>352</v>
      </c>
      <c r="K649" t="s">
        <v>405</v>
      </c>
      <c r="M649" t="s">
        <v>1701</v>
      </c>
    </row>
    <row r="650" spans="1:13">
      <c r="A650" s="4">
        <v>46169</v>
      </c>
      <c r="B650" t="s">
        <v>350</v>
      </c>
      <c r="C650" t="s">
        <v>1702</v>
      </c>
      <c r="D650" s="4">
        <v>46169</v>
      </c>
      <c r="E650" t="s">
        <v>3</v>
      </c>
      <c r="F650" t="s">
        <v>52</v>
      </c>
      <c r="G650" t="s">
        <v>223</v>
      </c>
      <c r="H650" t="s">
        <v>68</v>
      </c>
      <c r="I650" t="s">
        <v>13</v>
      </c>
      <c r="J650" t="s">
        <v>352</v>
      </c>
      <c r="K650" t="s">
        <v>605</v>
      </c>
      <c r="M650" t="s">
        <v>1703</v>
      </c>
    </row>
    <row r="651" spans="1:13">
      <c r="A651" s="4">
        <v>46169</v>
      </c>
      <c r="B651" t="s">
        <v>350</v>
      </c>
      <c r="C651" t="s">
        <v>1704</v>
      </c>
      <c r="D651" s="4">
        <v>46169</v>
      </c>
      <c r="E651" t="s">
        <v>3</v>
      </c>
      <c r="F651" t="s">
        <v>10</v>
      </c>
      <c r="G651" t="s">
        <v>16</v>
      </c>
      <c r="H651" t="s">
        <v>17</v>
      </c>
      <c r="I651" t="s">
        <v>13</v>
      </c>
      <c r="J651" t="s">
        <v>352</v>
      </c>
      <c r="K651" t="s">
        <v>1705</v>
      </c>
      <c r="M651" t="s">
        <v>1706</v>
      </c>
    </row>
    <row r="652" spans="1:13">
      <c r="A652" s="4">
        <v>46169</v>
      </c>
      <c r="B652" t="s">
        <v>350</v>
      </c>
      <c r="C652" t="s">
        <v>1707</v>
      </c>
      <c r="D652" s="4">
        <v>46169</v>
      </c>
      <c r="E652" t="s">
        <v>3</v>
      </c>
      <c r="F652" t="s">
        <v>52</v>
      </c>
      <c r="G652" t="s">
        <v>175</v>
      </c>
      <c r="H652" t="s">
        <v>68</v>
      </c>
      <c r="I652" t="s">
        <v>13</v>
      </c>
      <c r="J652" t="s">
        <v>352</v>
      </c>
      <c r="K652" t="s">
        <v>553</v>
      </c>
      <c r="M652" t="s">
        <v>1708</v>
      </c>
    </row>
    <row r="653" spans="1:13">
      <c r="A653" s="4">
        <v>46169</v>
      </c>
      <c r="B653" t="s">
        <v>350</v>
      </c>
      <c r="C653" t="s">
        <v>1709</v>
      </c>
      <c r="D653" s="4">
        <v>46169</v>
      </c>
      <c r="E653" t="s">
        <v>3</v>
      </c>
      <c r="F653" t="s">
        <v>52</v>
      </c>
      <c r="G653" t="s">
        <v>105</v>
      </c>
      <c r="H653" t="s">
        <v>68</v>
      </c>
      <c r="I653" t="s">
        <v>13</v>
      </c>
      <c r="J653" t="s">
        <v>352</v>
      </c>
      <c r="K653" t="s">
        <v>746</v>
      </c>
      <c r="M653" t="s">
        <v>1710</v>
      </c>
    </row>
    <row r="654" spans="1:13">
      <c r="A654" s="4">
        <v>46169</v>
      </c>
      <c r="B654" t="s">
        <v>350</v>
      </c>
      <c r="C654" t="s">
        <v>1711</v>
      </c>
      <c r="D654" s="4">
        <v>46169</v>
      </c>
      <c r="E654" t="s">
        <v>3</v>
      </c>
      <c r="F654" t="s">
        <v>52</v>
      </c>
      <c r="G654" t="s">
        <v>224</v>
      </c>
      <c r="H654" t="s">
        <v>68</v>
      </c>
      <c r="I654" t="s">
        <v>29</v>
      </c>
      <c r="J654" t="s">
        <v>352</v>
      </c>
      <c r="K654" t="s">
        <v>691</v>
      </c>
      <c r="M654" t="s">
        <v>1712</v>
      </c>
    </row>
    <row r="655" spans="1:13">
      <c r="A655" s="4">
        <v>46169</v>
      </c>
      <c r="B655" t="s">
        <v>350</v>
      </c>
      <c r="C655" t="s">
        <v>1713</v>
      </c>
      <c r="D655" s="4">
        <v>46168</v>
      </c>
      <c r="E655" t="s">
        <v>5</v>
      </c>
      <c r="F655" t="s">
        <v>52</v>
      </c>
      <c r="G655" t="s">
        <v>152</v>
      </c>
      <c r="H655" t="s">
        <v>54</v>
      </c>
      <c r="I655" t="s">
        <v>55</v>
      </c>
      <c r="J655" t="s">
        <v>352</v>
      </c>
      <c r="K655" t="s">
        <v>1212</v>
      </c>
      <c r="M655" t="s">
        <v>1714</v>
      </c>
    </row>
    <row r="656" spans="1:13">
      <c r="A656" s="4">
        <v>46169</v>
      </c>
      <c r="B656" t="s">
        <v>350</v>
      </c>
      <c r="C656" t="s">
        <v>1715</v>
      </c>
      <c r="D656" s="4">
        <v>46169</v>
      </c>
      <c r="E656" t="s">
        <v>3</v>
      </c>
      <c r="F656" t="s">
        <v>52</v>
      </c>
      <c r="G656" t="s">
        <v>168</v>
      </c>
      <c r="H656" t="s">
        <v>68</v>
      </c>
      <c r="I656" t="s">
        <v>13</v>
      </c>
      <c r="J656" t="s">
        <v>352</v>
      </c>
      <c r="K656" t="s">
        <v>1212</v>
      </c>
      <c r="M656" t="s">
        <v>1716</v>
      </c>
    </row>
    <row r="657" spans="1:13">
      <c r="A657" s="4">
        <v>46169</v>
      </c>
      <c r="B657" t="s">
        <v>350</v>
      </c>
      <c r="C657" t="s">
        <v>1717</v>
      </c>
      <c r="D657" s="4">
        <v>46169</v>
      </c>
      <c r="E657" t="s">
        <v>3</v>
      </c>
      <c r="F657" t="s">
        <v>52</v>
      </c>
      <c r="G657" t="s">
        <v>87</v>
      </c>
      <c r="H657" t="s">
        <v>68</v>
      </c>
      <c r="I657" t="s">
        <v>13</v>
      </c>
      <c r="J657" t="s">
        <v>352</v>
      </c>
      <c r="K657" t="s">
        <v>502</v>
      </c>
      <c r="M657" t="s">
        <v>1718</v>
      </c>
    </row>
    <row r="658" spans="1:13">
      <c r="A658" s="4">
        <v>46169</v>
      </c>
      <c r="B658" t="s">
        <v>350</v>
      </c>
      <c r="C658" t="s">
        <v>1719</v>
      </c>
      <c r="D658" s="4">
        <v>46169</v>
      </c>
      <c r="E658" t="s">
        <v>3</v>
      </c>
      <c r="F658" t="s">
        <v>52</v>
      </c>
      <c r="G658" t="s">
        <v>94</v>
      </c>
      <c r="H658" t="s">
        <v>68</v>
      </c>
      <c r="I658" t="s">
        <v>13</v>
      </c>
      <c r="J658" t="s">
        <v>352</v>
      </c>
      <c r="K658" t="s">
        <v>502</v>
      </c>
      <c r="M658" t="s">
        <v>1720</v>
      </c>
    </row>
    <row r="659" spans="1:13">
      <c r="A659" s="4">
        <v>46169</v>
      </c>
      <c r="B659" t="s">
        <v>350</v>
      </c>
      <c r="C659" t="s">
        <v>1721</v>
      </c>
      <c r="D659" s="4">
        <v>46169</v>
      </c>
      <c r="E659" t="s">
        <v>3</v>
      </c>
      <c r="F659" t="s">
        <v>52</v>
      </c>
      <c r="G659" t="s">
        <v>87</v>
      </c>
      <c r="H659" t="s">
        <v>68</v>
      </c>
      <c r="I659" t="s">
        <v>13</v>
      </c>
      <c r="J659" t="s">
        <v>352</v>
      </c>
      <c r="K659" t="s">
        <v>502</v>
      </c>
      <c r="M659" t="s">
        <v>1722</v>
      </c>
    </row>
    <row r="660" spans="1:13">
      <c r="A660" s="4">
        <v>46169</v>
      </c>
      <c r="B660" t="s">
        <v>350</v>
      </c>
      <c r="C660" t="s">
        <v>1723</v>
      </c>
      <c r="D660" s="4">
        <v>46169</v>
      </c>
      <c r="E660" t="s">
        <v>3</v>
      </c>
      <c r="F660" t="s">
        <v>52</v>
      </c>
      <c r="G660" t="s">
        <v>94</v>
      </c>
      <c r="H660" t="s">
        <v>68</v>
      </c>
      <c r="I660" t="s">
        <v>13</v>
      </c>
      <c r="J660" t="s">
        <v>352</v>
      </c>
      <c r="K660" t="s">
        <v>502</v>
      </c>
      <c r="M660" t="s">
        <v>1724</v>
      </c>
    </row>
    <row r="661" spans="1:13">
      <c r="A661" s="4">
        <v>46169</v>
      </c>
      <c r="B661" t="s">
        <v>350</v>
      </c>
      <c r="C661" t="s">
        <v>1725</v>
      </c>
      <c r="D661" s="4">
        <v>46169</v>
      </c>
      <c r="E661" t="s">
        <v>3</v>
      </c>
      <c r="F661" t="s">
        <v>52</v>
      </c>
      <c r="G661" t="s">
        <v>287</v>
      </c>
      <c r="H661" t="s">
        <v>68</v>
      </c>
      <c r="I661" t="s">
        <v>13</v>
      </c>
      <c r="J661" t="s">
        <v>352</v>
      </c>
      <c r="K661" t="s">
        <v>430</v>
      </c>
      <c r="M661" t="s">
        <v>1726</v>
      </c>
    </row>
    <row r="662" spans="1:13">
      <c r="A662" s="4">
        <v>46169</v>
      </c>
      <c r="B662" t="s">
        <v>350</v>
      </c>
      <c r="C662" t="s">
        <v>1727</v>
      </c>
      <c r="D662" s="4">
        <v>46169</v>
      </c>
      <c r="E662" t="s">
        <v>3</v>
      </c>
      <c r="F662" t="s">
        <v>52</v>
      </c>
      <c r="G662" t="s">
        <v>226</v>
      </c>
      <c r="H662" t="s">
        <v>68</v>
      </c>
      <c r="I662" t="s">
        <v>13</v>
      </c>
      <c r="J662" t="s">
        <v>352</v>
      </c>
      <c r="K662" t="s">
        <v>435</v>
      </c>
      <c r="M662" t="s">
        <v>1728</v>
      </c>
    </row>
    <row r="663" spans="1:13">
      <c r="A663" s="4">
        <v>46169</v>
      </c>
      <c r="B663" t="s">
        <v>350</v>
      </c>
      <c r="C663" t="s">
        <v>1729</v>
      </c>
      <c r="D663" s="4">
        <v>46169</v>
      </c>
      <c r="E663" t="s">
        <v>3</v>
      </c>
      <c r="F663" t="s">
        <v>52</v>
      </c>
      <c r="G663" t="s">
        <v>295</v>
      </c>
      <c r="H663" t="s">
        <v>68</v>
      </c>
      <c r="I663" t="s">
        <v>29</v>
      </c>
      <c r="J663" t="s">
        <v>352</v>
      </c>
      <c r="K663" t="s">
        <v>435</v>
      </c>
      <c r="M663" t="s">
        <v>1730</v>
      </c>
    </row>
    <row r="664" spans="1:13">
      <c r="A664" s="4">
        <v>46169</v>
      </c>
      <c r="B664" t="s">
        <v>350</v>
      </c>
      <c r="C664" t="s">
        <v>1731</v>
      </c>
      <c r="D664" s="4">
        <v>46169</v>
      </c>
      <c r="E664" t="s">
        <v>3</v>
      </c>
      <c r="F664" t="s">
        <v>52</v>
      </c>
      <c r="G664" t="s">
        <v>295</v>
      </c>
      <c r="H664" t="s">
        <v>68</v>
      </c>
      <c r="I664" t="s">
        <v>29</v>
      </c>
      <c r="J664" t="s">
        <v>352</v>
      </c>
      <c r="K664" t="s">
        <v>435</v>
      </c>
      <c r="M664" t="s">
        <v>1732</v>
      </c>
    </row>
    <row r="665" spans="1:13">
      <c r="A665" s="4">
        <v>46169</v>
      </c>
      <c r="B665" t="s">
        <v>350</v>
      </c>
      <c r="C665" t="s">
        <v>1733</v>
      </c>
      <c r="D665" s="4">
        <v>46169</v>
      </c>
      <c r="E665" t="s">
        <v>3</v>
      </c>
      <c r="F665" t="s">
        <v>52</v>
      </c>
      <c r="G665" t="s">
        <v>153</v>
      </c>
      <c r="H665" t="s">
        <v>54</v>
      </c>
      <c r="I665" t="s">
        <v>13</v>
      </c>
      <c r="J665" t="s">
        <v>352</v>
      </c>
      <c r="K665" t="s">
        <v>435</v>
      </c>
      <c r="M665" t="s">
        <v>1734</v>
      </c>
    </row>
    <row r="666" spans="1:13">
      <c r="A666" s="4">
        <v>46169</v>
      </c>
      <c r="B666" t="s">
        <v>350</v>
      </c>
      <c r="C666" t="s">
        <v>1735</v>
      </c>
      <c r="D666" s="4">
        <v>46169</v>
      </c>
      <c r="E666" t="s">
        <v>3</v>
      </c>
      <c r="F666" t="s">
        <v>52</v>
      </c>
      <c r="G666" t="s">
        <v>100</v>
      </c>
      <c r="H666" t="s">
        <v>68</v>
      </c>
      <c r="I666" t="s">
        <v>13</v>
      </c>
      <c r="J666" t="s">
        <v>352</v>
      </c>
      <c r="K666" t="s">
        <v>576</v>
      </c>
      <c r="M666" t="s">
        <v>1736</v>
      </c>
    </row>
    <row r="667" spans="1:13">
      <c r="A667" s="4">
        <v>46169</v>
      </c>
      <c r="B667" t="s">
        <v>350</v>
      </c>
      <c r="C667" t="s">
        <v>1737</v>
      </c>
      <c r="D667" s="4">
        <v>46169</v>
      </c>
      <c r="E667" t="s">
        <v>3</v>
      </c>
      <c r="F667" t="s">
        <v>52</v>
      </c>
      <c r="G667" t="s">
        <v>89</v>
      </c>
      <c r="H667" t="s">
        <v>68</v>
      </c>
      <c r="I667" t="s">
        <v>29</v>
      </c>
      <c r="J667" t="s">
        <v>352</v>
      </c>
      <c r="K667" t="s">
        <v>576</v>
      </c>
      <c r="M667" t="s">
        <v>1738</v>
      </c>
    </row>
    <row r="668" spans="1:13">
      <c r="A668" s="4">
        <v>46169</v>
      </c>
      <c r="B668" t="s">
        <v>350</v>
      </c>
      <c r="C668" t="s">
        <v>1739</v>
      </c>
      <c r="D668" s="4">
        <v>46169</v>
      </c>
      <c r="E668" t="s">
        <v>3</v>
      </c>
      <c r="F668" t="s">
        <v>52</v>
      </c>
      <c r="G668" t="s">
        <v>100</v>
      </c>
      <c r="H668" t="s">
        <v>68</v>
      </c>
      <c r="I668" t="s">
        <v>13</v>
      </c>
      <c r="J668" t="s">
        <v>352</v>
      </c>
      <c r="K668" t="s">
        <v>576</v>
      </c>
      <c r="M668" t="s">
        <v>1740</v>
      </c>
    </row>
    <row r="669" spans="1:13">
      <c r="A669" s="4">
        <v>46169</v>
      </c>
      <c r="B669" t="s">
        <v>350</v>
      </c>
      <c r="C669" t="s">
        <v>1741</v>
      </c>
      <c r="D669" s="4">
        <v>46169</v>
      </c>
      <c r="E669" t="s">
        <v>3</v>
      </c>
      <c r="F669" t="s">
        <v>52</v>
      </c>
      <c r="G669" t="s">
        <v>166</v>
      </c>
      <c r="H669" t="s">
        <v>68</v>
      </c>
      <c r="I669" t="s">
        <v>13</v>
      </c>
      <c r="J669" t="s">
        <v>352</v>
      </c>
      <c r="K669" t="s">
        <v>582</v>
      </c>
      <c r="M669" t="s">
        <v>1742</v>
      </c>
    </row>
    <row r="670" spans="1:13">
      <c r="A670" s="4">
        <v>46169</v>
      </c>
      <c r="B670" t="s">
        <v>350</v>
      </c>
      <c r="C670" t="s">
        <v>1743</v>
      </c>
      <c r="D670" s="4">
        <v>46169</v>
      </c>
      <c r="E670" t="s">
        <v>3</v>
      </c>
      <c r="F670" t="s">
        <v>52</v>
      </c>
      <c r="G670" t="s">
        <v>166</v>
      </c>
      <c r="H670" t="s">
        <v>68</v>
      </c>
      <c r="I670" t="s">
        <v>13</v>
      </c>
      <c r="J670" t="s">
        <v>352</v>
      </c>
      <c r="K670" t="s">
        <v>582</v>
      </c>
      <c r="M670" t="s">
        <v>1744</v>
      </c>
    </row>
    <row r="671" spans="1:13">
      <c r="A671" s="4">
        <v>46169</v>
      </c>
      <c r="B671" t="s">
        <v>350</v>
      </c>
      <c r="C671" t="s">
        <v>1745</v>
      </c>
      <c r="D671" s="4">
        <v>46169</v>
      </c>
      <c r="E671" t="s">
        <v>3</v>
      </c>
      <c r="F671" t="s">
        <v>52</v>
      </c>
      <c r="G671" t="s">
        <v>211</v>
      </c>
      <c r="H671" t="s">
        <v>68</v>
      </c>
      <c r="I671" t="s">
        <v>13</v>
      </c>
      <c r="J671" t="s">
        <v>352</v>
      </c>
      <c r="K671" t="s">
        <v>582</v>
      </c>
      <c r="M671" t="s">
        <v>1746</v>
      </c>
    </row>
    <row r="672" spans="1:13">
      <c r="A672" s="4">
        <v>46169</v>
      </c>
      <c r="B672" t="s">
        <v>350</v>
      </c>
      <c r="C672" t="s">
        <v>1747</v>
      </c>
      <c r="D672" s="4">
        <v>46169</v>
      </c>
      <c r="E672" t="s">
        <v>3</v>
      </c>
      <c r="F672" t="s">
        <v>52</v>
      </c>
      <c r="G672" t="s">
        <v>191</v>
      </c>
      <c r="H672" t="s">
        <v>68</v>
      </c>
      <c r="I672" t="s">
        <v>29</v>
      </c>
      <c r="J672" t="s">
        <v>352</v>
      </c>
      <c r="K672" t="s">
        <v>582</v>
      </c>
      <c r="M672" t="s">
        <v>1748</v>
      </c>
    </row>
    <row r="673" spans="1:13">
      <c r="A673" s="4">
        <v>46170</v>
      </c>
      <c r="B673" t="s">
        <v>350</v>
      </c>
      <c r="C673" t="s">
        <v>1749</v>
      </c>
      <c r="D673" s="4">
        <v>46160</v>
      </c>
      <c r="E673" t="s">
        <v>6</v>
      </c>
      <c r="F673" t="s">
        <v>10</v>
      </c>
      <c r="G673" t="s">
        <v>51</v>
      </c>
      <c r="H673" t="s">
        <v>12</v>
      </c>
      <c r="I673" t="s">
        <v>13</v>
      </c>
      <c r="J673" t="s">
        <v>352</v>
      </c>
      <c r="K673" t="s">
        <v>353</v>
      </c>
      <c r="M673" t="s">
        <v>1750</v>
      </c>
    </row>
    <row r="674" spans="1:13">
      <c r="A674" s="4">
        <v>46170</v>
      </c>
      <c r="B674" t="s">
        <v>350</v>
      </c>
      <c r="C674" t="s">
        <v>1751</v>
      </c>
      <c r="D674" s="4">
        <v>46169</v>
      </c>
      <c r="E674" t="s">
        <v>3</v>
      </c>
      <c r="F674" t="s">
        <v>52</v>
      </c>
      <c r="G674" t="s">
        <v>257</v>
      </c>
      <c r="H674" t="s">
        <v>68</v>
      </c>
      <c r="I674" t="s">
        <v>29</v>
      </c>
      <c r="J674" t="s">
        <v>352</v>
      </c>
      <c r="K674" t="s">
        <v>353</v>
      </c>
      <c r="M674" t="s">
        <v>1752</v>
      </c>
    </row>
    <row r="675" spans="1:13">
      <c r="A675" s="4">
        <v>46170</v>
      </c>
      <c r="B675" t="s">
        <v>350</v>
      </c>
      <c r="C675" t="s">
        <v>1753</v>
      </c>
      <c r="D675" s="4">
        <v>46167</v>
      </c>
      <c r="E675" t="s">
        <v>6</v>
      </c>
      <c r="F675" t="s">
        <v>52</v>
      </c>
      <c r="G675" t="s">
        <v>197</v>
      </c>
      <c r="H675" t="s">
        <v>70</v>
      </c>
      <c r="I675" t="s">
        <v>29</v>
      </c>
      <c r="J675" t="s">
        <v>352</v>
      </c>
      <c r="K675" t="s">
        <v>402</v>
      </c>
      <c r="M675" t="s">
        <v>1754</v>
      </c>
    </row>
    <row r="676" spans="1:13">
      <c r="A676" s="4">
        <v>46170</v>
      </c>
      <c r="B676" t="s">
        <v>350</v>
      </c>
      <c r="C676" t="s">
        <v>1755</v>
      </c>
      <c r="D676" s="4">
        <v>46169</v>
      </c>
      <c r="E676" t="s">
        <v>5</v>
      </c>
      <c r="F676" t="s">
        <v>52</v>
      </c>
      <c r="G676" t="s">
        <v>234</v>
      </c>
      <c r="H676" t="s">
        <v>70</v>
      </c>
      <c r="I676" t="s">
        <v>55</v>
      </c>
      <c r="J676" t="s">
        <v>352</v>
      </c>
      <c r="K676" t="s">
        <v>373</v>
      </c>
      <c r="M676" t="s">
        <v>1756</v>
      </c>
    </row>
    <row r="677" spans="1:13">
      <c r="A677" s="4">
        <v>46170</v>
      </c>
      <c r="B677" t="s">
        <v>350</v>
      </c>
      <c r="C677" t="s">
        <v>1757</v>
      </c>
      <c r="D677" s="4">
        <v>46169</v>
      </c>
      <c r="E677" t="s">
        <v>5</v>
      </c>
      <c r="F677" t="s">
        <v>52</v>
      </c>
      <c r="G677" t="s">
        <v>229</v>
      </c>
      <c r="H677" t="s">
        <v>70</v>
      </c>
      <c r="I677" t="s">
        <v>55</v>
      </c>
      <c r="J677" t="s">
        <v>352</v>
      </c>
      <c r="K677" t="s">
        <v>373</v>
      </c>
      <c r="M677" t="s">
        <v>1758</v>
      </c>
    </row>
    <row r="678" spans="1:13">
      <c r="A678" s="4">
        <v>46170</v>
      </c>
      <c r="B678" t="s">
        <v>350</v>
      </c>
      <c r="C678" t="s">
        <v>1759</v>
      </c>
      <c r="D678" s="4">
        <v>46170</v>
      </c>
      <c r="E678" t="s">
        <v>3</v>
      </c>
      <c r="F678" t="s">
        <v>52</v>
      </c>
      <c r="G678" t="s">
        <v>199</v>
      </c>
      <c r="H678" t="s">
        <v>68</v>
      </c>
      <c r="I678" t="s">
        <v>29</v>
      </c>
      <c r="J678" t="s">
        <v>352</v>
      </c>
      <c r="K678" t="s">
        <v>376</v>
      </c>
      <c r="M678" t="s">
        <v>1760</v>
      </c>
    </row>
    <row r="679" spans="1:13">
      <c r="A679" s="4">
        <v>46170</v>
      </c>
      <c r="B679" t="s">
        <v>350</v>
      </c>
      <c r="C679" t="s">
        <v>1761</v>
      </c>
      <c r="D679" s="4">
        <v>46170</v>
      </c>
      <c r="E679" t="s">
        <v>5</v>
      </c>
      <c r="F679" t="s">
        <v>52</v>
      </c>
      <c r="G679" t="s">
        <v>180</v>
      </c>
      <c r="H679" t="s">
        <v>68</v>
      </c>
      <c r="I679" t="s">
        <v>13</v>
      </c>
      <c r="J679" t="s">
        <v>352</v>
      </c>
      <c r="K679" t="s">
        <v>391</v>
      </c>
      <c r="M679" t="s">
        <v>1762</v>
      </c>
    </row>
    <row r="680" spans="1:13">
      <c r="A680" s="4">
        <v>46170</v>
      </c>
      <c r="B680" t="s">
        <v>350</v>
      </c>
      <c r="C680" t="s">
        <v>1763</v>
      </c>
      <c r="D680" s="4">
        <v>46170</v>
      </c>
      <c r="E680" t="s">
        <v>5</v>
      </c>
      <c r="F680" t="s">
        <v>52</v>
      </c>
      <c r="G680" t="s">
        <v>202</v>
      </c>
      <c r="H680" t="s">
        <v>68</v>
      </c>
      <c r="I680" t="s">
        <v>29</v>
      </c>
      <c r="J680" t="s">
        <v>352</v>
      </c>
      <c r="K680" t="s">
        <v>391</v>
      </c>
      <c r="M680" t="s">
        <v>1764</v>
      </c>
    </row>
    <row r="681" spans="1:13">
      <c r="A681" s="4">
        <v>46170</v>
      </c>
      <c r="B681" t="s">
        <v>350</v>
      </c>
      <c r="C681" t="s">
        <v>1765</v>
      </c>
      <c r="D681" s="4">
        <v>46170</v>
      </c>
      <c r="E681" t="s">
        <v>3</v>
      </c>
      <c r="F681" t="s">
        <v>52</v>
      </c>
      <c r="G681" t="s">
        <v>246</v>
      </c>
      <c r="H681" t="s">
        <v>68</v>
      </c>
      <c r="I681" t="s">
        <v>13</v>
      </c>
      <c r="J681" t="s">
        <v>352</v>
      </c>
      <c r="K681" t="s">
        <v>391</v>
      </c>
      <c r="M681" t="s">
        <v>1766</v>
      </c>
    </row>
    <row r="682" spans="1:13">
      <c r="A682" s="4">
        <v>46170</v>
      </c>
      <c r="B682" t="s">
        <v>350</v>
      </c>
      <c r="C682" t="s">
        <v>1767</v>
      </c>
      <c r="D682" s="4">
        <v>46170</v>
      </c>
      <c r="E682" t="s">
        <v>3</v>
      </c>
      <c r="F682" t="s">
        <v>52</v>
      </c>
      <c r="G682" t="s">
        <v>177</v>
      </c>
      <c r="H682" t="s">
        <v>68</v>
      </c>
      <c r="I682" t="s">
        <v>13</v>
      </c>
      <c r="J682" t="s">
        <v>352</v>
      </c>
      <c r="K682" t="s">
        <v>388</v>
      </c>
      <c r="M682" t="s">
        <v>1768</v>
      </c>
    </row>
    <row r="683" spans="1:13">
      <c r="A683" s="4">
        <v>46170</v>
      </c>
      <c r="B683" t="s">
        <v>350</v>
      </c>
      <c r="C683" t="s">
        <v>1769</v>
      </c>
      <c r="D683" s="4">
        <v>46170</v>
      </c>
      <c r="E683" t="s">
        <v>3</v>
      </c>
      <c r="F683" t="s">
        <v>10</v>
      </c>
      <c r="G683" t="s">
        <v>41</v>
      </c>
      <c r="H683" t="s">
        <v>42</v>
      </c>
      <c r="I683" t="s">
        <v>13</v>
      </c>
      <c r="J683" t="s">
        <v>352</v>
      </c>
      <c r="K683" t="s">
        <v>394</v>
      </c>
      <c r="M683" t="s">
        <v>1770</v>
      </c>
    </row>
    <row r="684" spans="1:13">
      <c r="A684" s="4">
        <v>46170</v>
      </c>
      <c r="B684" t="s">
        <v>350</v>
      </c>
      <c r="C684" t="s">
        <v>1771</v>
      </c>
      <c r="D684" s="4">
        <v>46168</v>
      </c>
      <c r="E684" t="s">
        <v>5</v>
      </c>
      <c r="F684" t="s">
        <v>52</v>
      </c>
      <c r="G684" t="s">
        <v>196</v>
      </c>
      <c r="H684" t="s">
        <v>70</v>
      </c>
      <c r="I684" t="s">
        <v>29</v>
      </c>
      <c r="J684" t="s">
        <v>352</v>
      </c>
      <c r="K684" t="s">
        <v>397</v>
      </c>
      <c r="M684" t="s">
        <v>1772</v>
      </c>
    </row>
    <row r="685" spans="1:13">
      <c r="A685" s="4">
        <v>46170</v>
      </c>
      <c r="B685" t="s">
        <v>350</v>
      </c>
      <c r="C685" t="s">
        <v>1773</v>
      </c>
      <c r="D685" s="4">
        <v>46170</v>
      </c>
      <c r="E685" t="s">
        <v>3</v>
      </c>
      <c r="F685" t="s">
        <v>52</v>
      </c>
      <c r="G685" t="s">
        <v>175</v>
      </c>
      <c r="H685" t="s">
        <v>68</v>
      </c>
      <c r="I685" t="s">
        <v>13</v>
      </c>
      <c r="J685" t="s">
        <v>352</v>
      </c>
      <c r="K685" t="s">
        <v>553</v>
      </c>
      <c r="M685" t="s">
        <v>1774</v>
      </c>
    </row>
    <row r="686" spans="1:13">
      <c r="A686" s="4">
        <v>46170</v>
      </c>
      <c r="B686" t="s">
        <v>350</v>
      </c>
      <c r="C686" t="s">
        <v>1775</v>
      </c>
      <c r="D686" s="4">
        <v>46169</v>
      </c>
      <c r="E686" t="s">
        <v>5</v>
      </c>
      <c r="F686" t="s">
        <v>52</v>
      </c>
      <c r="G686" t="s">
        <v>140</v>
      </c>
      <c r="H686" t="s">
        <v>70</v>
      </c>
      <c r="I686" t="s">
        <v>55</v>
      </c>
      <c r="J686" t="s">
        <v>352</v>
      </c>
      <c r="K686" t="s">
        <v>746</v>
      </c>
      <c r="M686" t="s">
        <v>1776</v>
      </c>
    </row>
    <row r="687" spans="1:13">
      <c r="A687" s="4">
        <v>46170</v>
      </c>
      <c r="B687" t="s">
        <v>350</v>
      </c>
      <c r="C687" t="s">
        <v>1777</v>
      </c>
      <c r="D687" s="4">
        <v>46170</v>
      </c>
      <c r="E687" t="s">
        <v>3</v>
      </c>
      <c r="F687" t="s">
        <v>52</v>
      </c>
      <c r="G687" t="s">
        <v>140</v>
      </c>
      <c r="H687" t="s">
        <v>70</v>
      </c>
      <c r="I687" t="s">
        <v>55</v>
      </c>
      <c r="J687" t="s">
        <v>352</v>
      </c>
      <c r="K687" t="s">
        <v>746</v>
      </c>
      <c r="M687" t="s">
        <v>1778</v>
      </c>
    </row>
    <row r="688" spans="1:13">
      <c r="A688" s="4">
        <v>46170</v>
      </c>
      <c r="B688" t="s">
        <v>350</v>
      </c>
      <c r="C688" t="s">
        <v>1779</v>
      </c>
      <c r="D688" s="4">
        <v>46161</v>
      </c>
      <c r="E688" t="s">
        <v>6</v>
      </c>
      <c r="F688" t="s">
        <v>10</v>
      </c>
      <c r="G688" t="s">
        <v>37</v>
      </c>
      <c r="H688" t="s">
        <v>12</v>
      </c>
      <c r="I688" t="s">
        <v>13</v>
      </c>
      <c r="J688" t="s">
        <v>352</v>
      </c>
      <c r="K688" t="s">
        <v>422</v>
      </c>
      <c r="M688" t="s">
        <v>1780</v>
      </c>
    </row>
    <row r="689" spans="1:13">
      <c r="A689" s="4">
        <v>46170</v>
      </c>
      <c r="B689" t="s">
        <v>350</v>
      </c>
      <c r="C689" t="s">
        <v>1781</v>
      </c>
      <c r="D689" s="4">
        <v>46162</v>
      </c>
      <c r="E689" t="s">
        <v>6</v>
      </c>
      <c r="F689" t="s">
        <v>10</v>
      </c>
      <c r="G689" t="s">
        <v>37</v>
      </c>
      <c r="H689" t="s">
        <v>15</v>
      </c>
      <c r="I689" t="s">
        <v>13</v>
      </c>
      <c r="J689" t="s">
        <v>352</v>
      </c>
      <c r="K689" t="s">
        <v>422</v>
      </c>
      <c r="M689" t="s">
        <v>1782</v>
      </c>
    </row>
    <row r="690" spans="1:13">
      <c r="A690" s="4">
        <v>46170</v>
      </c>
      <c r="B690" t="s">
        <v>350</v>
      </c>
      <c r="C690" t="s">
        <v>1783</v>
      </c>
      <c r="D690" s="4">
        <v>46169</v>
      </c>
      <c r="E690" t="s">
        <v>5</v>
      </c>
      <c r="F690" t="s">
        <v>52</v>
      </c>
      <c r="G690" t="s">
        <v>154</v>
      </c>
      <c r="H690" t="s">
        <v>54</v>
      </c>
      <c r="I690" t="s">
        <v>13</v>
      </c>
      <c r="J690" t="s">
        <v>352</v>
      </c>
      <c r="K690" t="s">
        <v>691</v>
      </c>
      <c r="M690" t="s">
        <v>1784</v>
      </c>
    </row>
    <row r="691" spans="1:13">
      <c r="A691" s="4">
        <v>46170</v>
      </c>
      <c r="B691" t="s">
        <v>350</v>
      </c>
      <c r="C691" t="s">
        <v>1785</v>
      </c>
      <c r="D691" s="4">
        <v>46170</v>
      </c>
      <c r="E691" t="s">
        <v>3</v>
      </c>
      <c r="F691" t="s">
        <v>52</v>
      </c>
      <c r="G691" t="s">
        <v>245</v>
      </c>
      <c r="H691" t="s">
        <v>68</v>
      </c>
      <c r="I691" t="s">
        <v>13</v>
      </c>
      <c r="J691" t="s">
        <v>352</v>
      </c>
      <c r="K691" t="s">
        <v>502</v>
      </c>
      <c r="M691" t="s">
        <v>1786</v>
      </c>
    </row>
    <row r="692" spans="1:13">
      <c r="A692" s="4">
        <v>46170</v>
      </c>
      <c r="B692" t="s">
        <v>350</v>
      </c>
      <c r="C692" t="s">
        <v>1787</v>
      </c>
      <c r="D692" s="4">
        <v>46170</v>
      </c>
      <c r="E692" t="s">
        <v>3</v>
      </c>
      <c r="F692" t="s">
        <v>52</v>
      </c>
      <c r="G692" t="s">
        <v>86</v>
      </c>
      <c r="H692" t="s">
        <v>68</v>
      </c>
      <c r="I692" t="s">
        <v>13</v>
      </c>
      <c r="J692" t="s">
        <v>352</v>
      </c>
      <c r="K692" t="s">
        <v>502</v>
      </c>
      <c r="M692" t="s">
        <v>1788</v>
      </c>
    </row>
    <row r="693" spans="1:13">
      <c r="A693" s="4">
        <v>46170</v>
      </c>
      <c r="B693" t="s">
        <v>350</v>
      </c>
      <c r="C693" t="s">
        <v>1789</v>
      </c>
      <c r="D693" s="4">
        <v>46170</v>
      </c>
      <c r="E693" t="s">
        <v>3</v>
      </c>
      <c r="F693" t="s">
        <v>52</v>
      </c>
      <c r="G693" t="s">
        <v>99</v>
      </c>
      <c r="H693" t="s">
        <v>68</v>
      </c>
      <c r="I693" t="s">
        <v>13</v>
      </c>
      <c r="J693" t="s">
        <v>352</v>
      </c>
      <c r="K693" t="s">
        <v>502</v>
      </c>
      <c r="M693" t="s">
        <v>1790</v>
      </c>
    </row>
    <row r="694" spans="1:13">
      <c r="A694" s="4">
        <v>46170</v>
      </c>
      <c r="B694" t="s">
        <v>350</v>
      </c>
      <c r="C694" t="s">
        <v>1791</v>
      </c>
      <c r="D694" s="4">
        <v>46170</v>
      </c>
      <c r="E694" t="s">
        <v>3</v>
      </c>
      <c r="F694" t="s">
        <v>52</v>
      </c>
      <c r="G694" t="s">
        <v>86</v>
      </c>
      <c r="H694" t="s">
        <v>68</v>
      </c>
      <c r="I694" t="s">
        <v>13</v>
      </c>
      <c r="J694" t="s">
        <v>352</v>
      </c>
      <c r="K694" t="s">
        <v>502</v>
      </c>
      <c r="M694" t="s">
        <v>1792</v>
      </c>
    </row>
    <row r="695" spans="1:13">
      <c r="A695" s="4">
        <v>46170</v>
      </c>
      <c r="B695" t="s">
        <v>350</v>
      </c>
      <c r="C695" t="s">
        <v>1793</v>
      </c>
      <c r="D695" s="4">
        <v>46169</v>
      </c>
      <c r="E695" t="s">
        <v>5</v>
      </c>
      <c r="F695" t="s">
        <v>52</v>
      </c>
      <c r="G695" t="s">
        <v>67</v>
      </c>
      <c r="H695" t="s">
        <v>54</v>
      </c>
      <c r="I695" t="s">
        <v>29</v>
      </c>
      <c r="J695" t="s">
        <v>352</v>
      </c>
      <c r="K695" t="s">
        <v>430</v>
      </c>
      <c r="M695" t="s">
        <v>1794</v>
      </c>
    </row>
    <row r="696" spans="1:13">
      <c r="A696" s="4">
        <v>46170</v>
      </c>
      <c r="B696" t="s">
        <v>350</v>
      </c>
      <c r="C696" t="s">
        <v>1795</v>
      </c>
      <c r="D696" s="4">
        <v>46169</v>
      </c>
      <c r="E696" t="s">
        <v>5</v>
      </c>
      <c r="F696" t="s">
        <v>52</v>
      </c>
      <c r="G696" t="s">
        <v>277</v>
      </c>
      <c r="H696" t="s">
        <v>68</v>
      </c>
      <c r="I696" t="s">
        <v>13</v>
      </c>
      <c r="J696" t="s">
        <v>352</v>
      </c>
      <c r="K696" t="s">
        <v>430</v>
      </c>
      <c r="M696" t="s">
        <v>1796</v>
      </c>
    </row>
    <row r="697" spans="1:13">
      <c r="A697" s="4">
        <v>46170</v>
      </c>
      <c r="B697" t="s">
        <v>350</v>
      </c>
      <c r="C697" t="s">
        <v>1797</v>
      </c>
      <c r="D697" s="4">
        <v>46170</v>
      </c>
      <c r="E697" t="s">
        <v>3</v>
      </c>
      <c r="F697" t="s">
        <v>52</v>
      </c>
      <c r="G697" t="s">
        <v>215</v>
      </c>
      <c r="H697" t="s">
        <v>68</v>
      </c>
      <c r="I697" t="s">
        <v>13</v>
      </c>
      <c r="J697" t="s">
        <v>352</v>
      </c>
      <c r="K697" t="s">
        <v>435</v>
      </c>
      <c r="M697" t="s">
        <v>1798</v>
      </c>
    </row>
    <row r="698" spans="1:13">
      <c r="A698" s="4">
        <v>46170</v>
      </c>
      <c r="B698" t="s">
        <v>350</v>
      </c>
      <c r="C698" t="s">
        <v>1799</v>
      </c>
      <c r="D698" s="4">
        <v>46170</v>
      </c>
      <c r="E698" t="s">
        <v>3</v>
      </c>
      <c r="F698" t="s">
        <v>52</v>
      </c>
      <c r="G698" t="s">
        <v>332</v>
      </c>
      <c r="H698" t="s">
        <v>68</v>
      </c>
      <c r="I698" t="s">
        <v>55</v>
      </c>
      <c r="J698" t="s">
        <v>352</v>
      </c>
      <c r="K698" t="s">
        <v>435</v>
      </c>
      <c r="M698" t="s">
        <v>1800</v>
      </c>
    </row>
    <row r="699" spans="1:13">
      <c r="A699" s="4">
        <v>46170</v>
      </c>
      <c r="B699" t="s">
        <v>350</v>
      </c>
      <c r="C699" t="s">
        <v>1801</v>
      </c>
      <c r="D699" s="4">
        <v>46170</v>
      </c>
      <c r="E699" t="s">
        <v>3</v>
      </c>
      <c r="F699" t="s">
        <v>52</v>
      </c>
      <c r="G699" t="s">
        <v>150</v>
      </c>
      <c r="H699" t="s">
        <v>54</v>
      </c>
      <c r="I699" t="s">
        <v>13</v>
      </c>
      <c r="J699" t="s">
        <v>352</v>
      </c>
      <c r="K699" t="s">
        <v>435</v>
      </c>
      <c r="M699" t="s">
        <v>1802</v>
      </c>
    </row>
    <row r="700" spans="1:13">
      <c r="A700" s="4">
        <v>46170</v>
      </c>
      <c r="B700" t="s">
        <v>350</v>
      </c>
      <c r="C700" t="s">
        <v>1803</v>
      </c>
      <c r="D700" s="4">
        <v>46170</v>
      </c>
      <c r="E700" t="s">
        <v>3</v>
      </c>
      <c r="F700" t="s">
        <v>52</v>
      </c>
      <c r="G700" t="s">
        <v>168</v>
      </c>
      <c r="H700" t="s">
        <v>68</v>
      </c>
      <c r="I700" t="s">
        <v>13</v>
      </c>
      <c r="J700" t="s">
        <v>352</v>
      </c>
      <c r="K700" t="s">
        <v>435</v>
      </c>
      <c r="M700" t="s">
        <v>1804</v>
      </c>
    </row>
    <row r="701" spans="1:13">
      <c r="A701" s="4">
        <v>46170</v>
      </c>
      <c r="B701" t="s">
        <v>350</v>
      </c>
      <c r="C701" t="s">
        <v>1805</v>
      </c>
      <c r="D701" s="4">
        <v>46170</v>
      </c>
      <c r="E701" t="s">
        <v>3</v>
      </c>
      <c r="F701" t="s">
        <v>52</v>
      </c>
      <c r="G701" t="s">
        <v>168</v>
      </c>
      <c r="H701" t="s">
        <v>68</v>
      </c>
      <c r="I701" t="s">
        <v>13</v>
      </c>
      <c r="J701" t="s">
        <v>352</v>
      </c>
      <c r="K701" t="s">
        <v>435</v>
      </c>
      <c r="M701" t="s">
        <v>1806</v>
      </c>
    </row>
    <row r="702" spans="1:13">
      <c r="A702" s="4">
        <v>46170</v>
      </c>
      <c r="B702" t="s">
        <v>350</v>
      </c>
      <c r="C702" t="s">
        <v>1807</v>
      </c>
      <c r="D702" s="4">
        <v>46170</v>
      </c>
      <c r="E702" t="s">
        <v>3</v>
      </c>
      <c r="F702" t="s">
        <v>52</v>
      </c>
      <c r="G702" t="s">
        <v>168</v>
      </c>
      <c r="H702" t="s">
        <v>68</v>
      </c>
      <c r="I702" t="s">
        <v>13</v>
      </c>
      <c r="J702" t="s">
        <v>352</v>
      </c>
      <c r="K702" t="s">
        <v>435</v>
      </c>
      <c r="M702" t="s">
        <v>1808</v>
      </c>
    </row>
    <row r="703" spans="1:13">
      <c r="A703" s="4">
        <v>46170</v>
      </c>
      <c r="B703" t="s">
        <v>350</v>
      </c>
      <c r="C703" t="s">
        <v>1809</v>
      </c>
      <c r="D703" s="4">
        <v>46170</v>
      </c>
      <c r="E703" t="s">
        <v>3</v>
      </c>
      <c r="F703" t="s">
        <v>52</v>
      </c>
      <c r="G703" t="s">
        <v>168</v>
      </c>
      <c r="H703" t="s">
        <v>68</v>
      </c>
      <c r="I703" t="s">
        <v>13</v>
      </c>
      <c r="J703" t="s">
        <v>352</v>
      </c>
      <c r="K703" t="s">
        <v>435</v>
      </c>
      <c r="M703" t="s">
        <v>1810</v>
      </c>
    </row>
    <row r="704" spans="1:13">
      <c r="A704" s="4">
        <v>46170</v>
      </c>
      <c r="B704" t="s">
        <v>350</v>
      </c>
      <c r="C704" t="s">
        <v>1811</v>
      </c>
      <c r="D704" s="4">
        <v>46169</v>
      </c>
      <c r="E704" t="s">
        <v>5</v>
      </c>
      <c r="F704" t="s">
        <v>52</v>
      </c>
      <c r="G704" t="s">
        <v>193</v>
      </c>
      <c r="H704" t="s">
        <v>68</v>
      </c>
      <c r="I704" t="s">
        <v>29</v>
      </c>
      <c r="J704" t="s">
        <v>352</v>
      </c>
      <c r="K704" t="s">
        <v>447</v>
      </c>
      <c r="M704" t="s">
        <v>1812</v>
      </c>
    </row>
    <row r="705" spans="1:13">
      <c r="A705" s="4">
        <v>46171</v>
      </c>
      <c r="B705" t="s">
        <v>350</v>
      </c>
      <c r="C705" t="s">
        <v>1813</v>
      </c>
      <c r="D705" s="4">
        <v>46163</v>
      </c>
      <c r="E705" t="s">
        <v>6</v>
      </c>
      <c r="F705" t="s">
        <v>10</v>
      </c>
      <c r="G705" t="s">
        <v>50</v>
      </c>
      <c r="H705" t="s">
        <v>12</v>
      </c>
      <c r="I705" t="s">
        <v>13</v>
      </c>
      <c r="J705" t="s">
        <v>352</v>
      </c>
      <c r="K705" t="s">
        <v>353</v>
      </c>
      <c r="M705" t="s">
        <v>1814</v>
      </c>
    </row>
    <row r="706" spans="1:13">
      <c r="A706" s="4">
        <v>46171</v>
      </c>
      <c r="B706" t="s">
        <v>350</v>
      </c>
      <c r="C706" t="s">
        <v>1815</v>
      </c>
      <c r="D706" s="4">
        <v>46169</v>
      </c>
      <c r="E706" t="s">
        <v>5</v>
      </c>
      <c r="F706" t="s">
        <v>52</v>
      </c>
      <c r="G706" t="s">
        <v>285</v>
      </c>
      <c r="H706" t="s">
        <v>68</v>
      </c>
      <c r="I706" t="s">
        <v>55</v>
      </c>
      <c r="J706" t="s">
        <v>352</v>
      </c>
      <c r="K706" t="s">
        <v>368</v>
      </c>
      <c r="M706" t="s">
        <v>1816</v>
      </c>
    </row>
    <row r="707" spans="1:13">
      <c r="A707" s="4">
        <v>46171</v>
      </c>
      <c r="B707" t="s">
        <v>350</v>
      </c>
      <c r="C707" t="s">
        <v>1817</v>
      </c>
      <c r="D707" s="4">
        <v>46171</v>
      </c>
      <c r="E707" t="s">
        <v>3</v>
      </c>
      <c r="F707" t="s">
        <v>52</v>
      </c>
      <c r="G707" t="s">
        <v>314</v>
      </c>
      <c r="H707" t="s">
        <v>68</v>
      </c>
      <c r="I707" t="s">
        <v>29</v>
      </c>
      <c r="J707" t="s">
        <v>352</v>
      </c>
      <c r="K707" t="s">
        <v>640</v>
      </c>
      <c r="M707" t="s">
        <v>1818</v>
      </c>
    </row>
    <row r="708" spans="1:13">
      <c r="A708" s="4">
        <v>46171</v>
      </c>
      <c r="B708" t="s">
        <v>350</v>
      </c>
      <c r="C708" t="s">
        <v>1819</v>
      </c>
      <c r="D708" s="4">
        <v>46170</v>
      </c>
      <c r="E708" t="s">
        <v>6</v>
      </c>
      <c r="F708" t="s">
        <v>52</v>
      </c>
      <c r="G708" t="s">
        <v>226</v>
      </c>
      <c r="H708" t="s">
        <v>70</v>
      </c>
      <c r="I708" t="s">
        <v>13</v>
      </c>
      <c r="J708" t="s">
        <v>352</v>
      </c>
      <c r="K708" t="s">
        <v>1623</v>
      </c>
      <c r="M708" t="s">
        <v>1820</v>
      </c>
    </row>
    <row r="709" spans="1:13">
      <c r="A709" s="4">
        <v>46171</v>
      </c>
      <c r="B709" t="s">
        <v>350</v>
      </c>
      <c r="C709" t="s">
        <v>1819</v>
      </c>
      <c r="D709" s="4">
        <v>46170</v>
      </c>
      <c r="E709" t="s">
        <v>6</v>
      </c>
      <c r="F709" t="s">
        <v>52</v>
      </c>
      <c r="G709" t="s">
        <v>260</v>
      </c>
      <c r="H709" t="s">
        <v>70</v>
      </c>
      <c r="I709" t="s">
        <v>29</v>
      </c>
      <c r="J709" t="s">
        <v>352</v>
      </c>
      <c r="K709" t="s">
        <v>1623</v>
      </c>
      <c r="M709" t="s">
        <v>1820</v>
      </c>
    </row>
    <row r="710" spans="1:13">
      <c r="A710" s="4">
        <v>46171</v>
      </c>
      <c r="B710" t="s">
        <v>350</v>
      </c>
      <c r="C710" t="s">
        <v>1821</v>
      </c>
      <c r="D710" s="4">
        <v>46161</v>
      </c>
      <c r="E710" t="s">
        <v>6</v>
      </c>
      <c r="F710" t="s">
        <v>52</v>
      </c>
      <c r="G710" t="s">
        <v>82</v>
      </c>
      <c r="H710" t="s">
        <v>68</v>
      </c>
      <c r="I710" t="s">
        <v>13</v>
      </c>
      <c r="J710" t="s">
        <v>352</v>
      </c>
      <c r="K710" t="s">
        <v>1822</v>
      </c>
      <c r="M710" t="s">
        <v>1823</v>
      </c>
    </row>
    <row r="711" spans="1:13">
      <c r="A711" s="4">
        <v>46171</v>
      </c>
      <c r="B711" t="s">
        <v>350</v>
      </c>
      <c r="C711" t="s">
        <v>1824</v>
      </c>
      <c r="D711" s="4">
        <v>46171</v>
      </c>
      <c r="E711" t="s">
        <v>3</v>
      </c>
      <c r="F711" t="s">
        <v>52</v>
      </c>
      <c r="G711" t="s">
        <v>184</v>
      </c>
      <c r="H711" t="s">
        <v>68</v>
      </c>
      <c r="I711" t="s">
        <v>13</v>
      </c>
      <c r="J711" t="s">
        <v>352</v>
      </c>
      <c r="K711" t="s">
        <v>391</v>
      </c>
      <c r="M711" t="s">
        <v>1825</v>
      </c>
    </row>
    <row r="712" spans="1:13">
      <c r="A712" s="4">
        <v>46171</v>
      </c>
      <c r="B712" t="s">
        <v>350</v>
      </c>
      <c r="C712" t="s">
        <v>1826</v>
      </c>
      <c r="D712" s="4">
        <v>46171</v>
      </c>
      <c r="E712" t="s">
        <v>3</v>
      </c>
      <c r="F712" t="s">
        <v>52</v>
      </c>
      <c r="G712" t="s">
        <v>180</v>
      </c>
      <c r="H712" t="s">
        <v>68</v>
      </c>
      <c r="I712" t="s">
        <v>13</v>
      </c>
      <c r="J712" t="s">
        <v>352</v>
      </c>
      <c r="K712" t="s">
        <v>391</v>
      </c>
      <c r="M712" t="s">
        <v>1827</v>
      </c>
    </row>
    <row r="713" spans="1:13">
      <c r="A713" s="4">
        <v>46171</v>
      </c>
      <c r="B713" t="s">
        <v>350</v>
      </c>
      <c r="C713" t="s">
        <v>1828</v>
      </c>
      <c r="D713" s="4">
        <v>46170</v>
      </c>
      <c r="E713" t="s">
        <v>6</v>
      </c>
      <c r="F713" t="s">
        <v>52</v>
      </c>
      <c r="G713" t="s">
        <v>319</v>
      </c>
      <c r="H713" t="s">
        <v>68</v>
      </c>
      <c r="I713" t="s">
        <v>13</v>
      </c>
      <c r="J713" t="s">
        <v>352</v>
      </c>
      <c r="K713" t="s">
        <v>394</v>
      </c>
      <c r="M713" t="s">
        <v>1829</v>
      </c>
    </row>
    <row r="714" spans="1:13">
      <c r="A714" s="4">
        <v>46171</v>
      </c>
      <c r="B714" t="s">
        <v>350</v>
      </c>
      <c r="C714" t="s">
        <v>1830</v>
      </c>
      <c r="D714" s="4">
        <v>46167</v>
      </c>
      <c r="E714" t="s">
        <v>6</v>
      </c>
      <c r="F714" t="s">
        <v>10</v>
      </c>
      <c r="G714" t="s">
        <v>45</v>
      </c>
      <c r="H714" t="s">
        <v>12</v>
      </c>
      <c r="I714" t="s">
        <v>13</v>
      </c>
      <c r="J714" t="s">
        <v>352</v>
      </c>
      <c r="K714" t="s">
        <v>394</v>
      </c>
      <c r="M714" t="s">
        <v>1831</v>
      </c>
    </row>
    <row r="715" spans="1:13">
      <c r="A715" s="4">
        <v>46171</v>
      </c>
      <c r="B715" t="s">
        <v>350</v>
      </c>
      <c r="C715" t="s">
        <v>1832</v>
      </c>
      <c r="D715" s="4">
        <v>46170</v>
      </c>
      <c r="E715" t="s">
        <v>3</v>
      </c>
      <c r="F715" t="s">
        <v>10</v>
      </c>
      <c r="G715" t="s">
        <v>46</v>
      </c>
      <c r="H715" t="s">
        <v>20</v>
      </c>
      <c r="I715" t="s">
        <v>13</v>
      </c>
      <c r="J715" t="s">
        <v>352</v>
      </c>
      <c r="K715" t="s">
        <v>394</v>
      </c>
      <c r="M715" t="s">
        <v>1833</v>
      </c>
    </row>
    <row r="716" spans="1:13">
      <c r="A716" s="4">
        <v>46171</v>
      </c>
      <c r="B716" t="s">
        <v>350</v>
      </c>
      <c r="C716" t="s">
        <v>1834</v>
      </c>
      <c r="D716" s="4">
        <v>46170</v>
      </c>
      <c r="E716" t="s">
        <v>3</v>
      </c>
      <c r="F716" t="s">
        <v>10</v>
      </c>
      <c r="G716" t="s">
        <v>43</v>
      </c>
      <c r="H716" t="s">
        <v>20</v>
      </c>
      <c r="I716" t="s">
        <v>13</v>
      </c>
      <c r="J716" t="s">
        <v>352</v>
      </c>
      <c r="K716" t="s">
        <v>394</v>
      </c>
      <c r="M716" t="s">
        <v>1835</v>
      </c>
    </row>
    <row r="717" spans="1:13">
      <c r="A717" s="4">
        <v>46171</v>
      </c>
      <c r="B717" t="s">
        <v>350</v>
      </c>
      <c r="C717" t="s">
        <v>1836</v>
      </c>
      <c r="D717" s="4">
        <v>46171</v>
      </c>
      <c r="E717" t="s">
        <v>3</v>
      </c>
      <c r="F717" t="s">
        <v>52</v>
      </c>
      <c r="G717" t="s">
        <v>311</v>
      </c>
      <c r="H717" t="s">
        <v>68</v>
      </c>
      <c r="I717" t="s">
        <v>13</v>
      </c>
      <c r="J717" t="s">
        <v>352</v>
      </c>
      <c r="K717" t="s">
        <v>394</v>
      </c>
      <c r="M717" t="s">
        <v>1837</v>
      </c>
    </row>
    <row r="718" spans="1:13">
      <c r="A718" s="4">
        <v>46171</v>
      </c>
      <c r="B718" t="s">
        <v>350</v>
      </c>
      <c r="C718" t="s">
        <v>1838</v>
      </c>
      <c r="D718" s="4">
        <v>46171</v>
      </c>
      <c r="E718" t="s">
        <v>3</v>
      </c>
      <c r="F718" t="s">
        <v>52</v>
      </c>
      <c r="G718" t="s">
        <v>315</v>
      </c>
      <c r="H718" t="s">
        <v>68</v>
      </c>
      <c r="I718" t="s">
        <v>29</v>
      </c>
      <c r="J718" t="s">
        <v>352</v>
      </c>
      <c r="K718" t="s">
        <v>394</v>
      </c>
      <c r="M718" t="s">
        <v>1839</v>
      </c>
    </row>
    <row r="719" spans="1:13">
      <c r="A719" s="4">
        <v>46171</v>
      </c>
      <c r="B719" t="s">
        <v>350</v>
      </c>
      <c r="C719" t="s">
        <v>1840</v>
      </c>
      <c r="D719" s="4">
        <v>46171</v>
      </c>
      <c r="E719" t="s">
        <v>3</v>
      </c>
      <c r="F719" t="s">
        <v>52</v>
      </c>
      <c r="G719" t="s">
        <v>311</v>
      </c>
      <c r="H719" t="s">
        <v>68</v>
      </c>
      <c r="I719" t="s">
        <v>13</v>
      </c>
      <c r="J719" t="s">
        <v>352</v>
      </c>
      <c r="K719" t="s">
        <v>394</v>
      </c>
      <c r="M719" t="s">
        <v>1841</v>
      </c>
    </row>
    <row r="720" spans="1:13">
      <c r="A720" s="4">
        <v>46171</v>
      </c>
      <c r="B720" t="s">
        <v>350</v>
      </c>
      <c r="C720" t="s">
        <v>1842</v>
      </c>
      <c r="D720" s="4">
        <v>46171</v>
      </c>
      <c r="E720" t="s">
        <v>5</v>
      </c>
      <c r="F720" t="s">
        <v>52</v>
      </c>
      <c r="G720" t="s">
        <v>168</v>
      </c>
      <c r="H720" t="s">
        <v>68</v>
      </c>
      <c r="I720" t="s">
        <v>13</v>
      </c>
      <c r="J720" t="s">
        <v>352</v>
      </c>
      <c r="K720" t="s">
        <v>397</v>
      </c>
      <c r="M720" t="s">
        <v>1843</v>
      </c>
    </row>
    <row r="721" spans="1:13">
      <c r="A721" s="4">
        <v>46171</v>
      </c>
      <c r="B721" t="s">
        <v>350</v>
      </c>
      <c r="C721" t="s">
        <v>1844</v>
      </c>
      <c r="D721" s="4">
        <v>46171</v>
      </c>
      <c r="E721" t="s">
        <v>5</v>
      </c>
      <c r="F721" t="s">
        <v>52</v>
      </c>
      <c r="G721" t="s">
        <v>272</v>
      </c>
      <c r="H721" t="s">
        <v>68</v>
      </c>
      <c r="I721" t="s">
        <v>13</v>
      </c>
      <c r="J721" t="s">
        <v>352</v>
      </c>
      <c r="K721" t="s">
        <v>397</v>
      </c>
      <c r="M721" t="s">
        <v>1845</v>
      </c>
    </row>
    <row r="722" spans="1:13">
      <c r="A722" s="4">
        <v>46171</v>
      </c>
      <c r="B722" t="s">
        <v>350</v>
      </c>
      <c r="C722" t="s">
        <v>1846</v>
      </c>
      <c r="D722" s="4">
        <v>46133</v>
      </c>
      <c r="E722" t="s">
        <v>6</v>
      </c>
      <c r="F722" t="s">
        <v>10</v>
      </c>
      <c r="G722" t="s">
        <v>48</v>
      </c>
      <c r="H722" t="s">
        <v>12</v>
      </c>
      <c r="I722" t="s">
        <v>13</v>
      </c>
      <c r="J722" t="s">
        <v>352</v>
      </c>
      <c r="K722" t="s">
        <v>796</v>
      </c>
      <c r="M722" t="s">
        <v>1847</v>
      </c>
    </row>
    <row r="723" spans="1:13">
      <c r="A723" s="4">
        <v>46171</v>
      </c>
      <c r="B723" t="s">
        <v>350</v>
      </c>
      <c r="C723" t="s">
        <v>1848</v>
      </c>
      <c r="D723" s="4">
        <v>46171</v>
      </c>
      <c r="E723" t="s">
        <v>3</v>
      </c>
      <c r="F723" t="s">
        <v>52</v>
      </c>
      <c r="G723" t="s">
        <v>300</v>
      </c>
      <c r="H723" t="s">
        <v>68</v>
      </c>
      <c r="I723" t="s">
        <v>29</v>
      </c>
      <c r="J723" t="s">
        <v>352</v>
      </c>
      <c r="K723" t="s">
        <v>405</v>
      </c>
      <c r="M723" t="s">
        <v>1849</v>
      </c>
    </row>
    <row r="724" spans="1:13">
      <c r="A724" s="4">
        <v>46171</v>
      </c>
      <c r="B724" t="s">
        <v>350</v>
      </c>
      <c r="C724" t="s">
        <v>1850</v>
      </c>
      <c r="D724" s="4">
        <v>46171</v>
      </c>
      <c r="E724" t="s">
        <v>3</v>
      </c>
      <c r="F724" t="s">
        <v>52</v>
      </c>
      <c r="G724" t="s">
        <v>305</v>
      </c>
      <c r="H724" t="s">
        <v>68</v>
      </c>
      <c r="I724" t="s">
        <v>13</v>
      </c>
      <c r="J724" t="s">
        <v>352</v>
      </c>
      <c r="K724" t="s">
        <v>405</v>
      </c>
      <c r="M724" t="s">
        <v>1851</v>
      </c>
    </row>
    <row r="725" spans="1:13">
      <c r="A725" s="4">
        <v>46171</v>
      </c>
      <c r="B725" t="s">
        <v>350</v>
      </c>
      <c r="C725" t="s">
        <v>1852</v>
      </c>
      <c r="D725" s="4">
        <v>46171</v>
      </c>
      <c r="E725" t="s">
        <v>3</v>
      </c>
      <c r="F725" t="s">
        <v>52</v>
      </c>
      <c r="G725" t="s">
        <v>176</v>
      </c>
      <c r="H725" t="s">
        <v>68</v>
      </c>
      <c r="I725" t="s">
        <v>13</v>
      </c>
      <c r="J725" t="s">
        <v>352</v>
      </c>
      <c r="K725" t="s">
        <v>605</v>
      </c>
      <c r="M725" t="s">
        <v>1853</v>
      </c>
    </row>
    <row r="726" spans="1:13">
      <c r="A726" s="4">
        <v>46171</v>
      </c>
      <c r="B726" t="s">
        <v>350</v>
      </c>
      <c r="C726" t="s">
        <v>1854</v>
      </c>
      <c r="D726" s="4">
        <v>46163</v>
      </c>
      <c r="E726" t="s">
        <v>6</v>
      </c>
      <c r="F726" t="s">
        <v>52</v>
      </c>
      <c r="G726" t="s">
        <v>231</v>
      </c>
      <c r="H726" t="s">
        <v>68</v>
      </c>
      <c r="I726" t="s">
        <v>13</v>
      </c>
      <c r="J726" t="s">
        <v>352</v>
      </c>
      <c r="K726" t="s">
        <v>496</v>
      </c>
      <c r="M726" t="s">
        <v>1855</v>
      </c>
    </row>
    <row r="727" spans="1:13">
      <c r="A727" s="4">
        <v>46171</v>
      </c>
      <c r="B727" t="s">
        <v>350</v>
      </c>
      <c r="C727" t="s">
        <v>1856</v>
      </c>
      <c r="D727" s="4">
        <v>46164</v>
      </c>
      <c r="E727" t="s">
        <v>6</v>
      </c>
      <c r="F727" t="s">
        <v>52</v>
      </c>
      <c r="G727" t="s">
        <v>233</v>
      </c>
      <c r="H727" t="s">
        <v>70</v>
      </c>
      <c r="I727" t="s">
        <v>55</v>
      </c>
      <c r="J727" t="s">
        <v>352</v>
      </c>
      <c r="K727" t="s">
        <v>496</v>
      </c>
      <c r="M727" t="s">
        <v>1857</v>
      </c>
    </row>
    <row r="728" spans="1:13">
      <c r="A728" s="4">
        <v>46171</v>
      </c>
      <c r="B728" t="s">
        <v>350</v>
      </c>
      <c r="C728" t="s">
        <v>1858</v>
      </c>
      <c r="D728" s="4">
        <v>46163</v>
      </c>
      <c r="E728" t="s">
        <v>6</v>
      </c>
      <c r="F728" t="s">
        <v>10</v>
      </c>
      <c r="G728" t="s">
        <v>39</v>
      </c>
      <c r="H728" t="s">
        <v>12</v>
      </c>
      <c r="I728" t="s">
        <v>13</v>
      </c>
      <c r="J728" t="s">
        <v>352</v>
      </c>
      <c r="K728" t="s">
        <v>422</v>
      </c>
      <c r="M728" t="s">
        <v>1859</v>
      </c>
    </row>
    <row r="729" spans="1:13">
      <c r="A729" s="4">
        <v>46171</v>
      </c>
      <c r="B729" t="s">
        <v>350</v>
      </c>
      <c r="C729" t="s">
        <v>1860</v>
      </c>
      <c r="D729" s="4">
        <v>46158</v>
      </c>
      <c r="E729" t="s">
        <v>6</v>
      </c>
      <c r="F729" t="s">
        <v>10</v>
      </c>
      <c r="G729" t="s">
        <v>14</v>
      </c>
      <c r="H729" t="s">
        <v>12</v>
      </c>
      <c r="I729" t="s">
        <v>13</v>
      </c>
      <c r="J729" t="s">
        <v>352</v>
      </c>
      <c r="K729" t="s">
        <v>422</v>
      </c>
      <c r="M729" t="s">
        <v>1861</v>
      </c>
    </row>
    <row r="730" spans="1:13">
      <c r="A730" s="4">
        <v>46171</v>
      </c>
      <c r="B730" t="s">
        <v>350</v>
      </c>
      <c r="C730" t="s">
        <v>1862</v>
      </c>
      <c r="D730" s="4">
        <v>46170</v>
      </c>
      <c r="E730" t="s">
        <v>5</v>
      </c>
      <c r="F730" t="s">
        <v>52</v>
      </c>
      <c r="G730" t="s">
        <v>144</v>
      </c>
      <c r="H730" t="s">
        <v>54</v>
      </c>
      <c r="I730" t="s">
        <v>55</v>
      </c>
      <c r="J730" t="s">
        <v>352</v>
      </c>
      <c r="K730" t="s">
        <v>691</v>
      </c>
      <c r="M730" t="s">
        <v>1863</v>
      </c>
    </row>
    <row r="731" spans="1:13">
      <c r="A731" s="4">
        <v>46171</v>
      </c>
      <c r="B731" t="s">
        <v>350</v>
      </c>
      <c r="C731" t="s">
        <v>1864</v>
      </c>
      <c r="D731" s="4">
        <v>46170</v>
      </c>
      <c r="E731" t="s">
        <v>5</v>
      </c>
      <c r="F731" t="s">
        <v>52</v>
      </c>
      <c r="G731" t="s">
        <v>153</v>
      </c>
      <c r="H731" t="s">
        <v>54</v>
      </c>
      <c r="I731" t="s">
        <v>13</v>
      </c>
      <c r="J731" t="s">
        <v>352</v>
      </c>
      <c r="K731" t="s">
        <v>691</v>
      </c>
      <c r="M731" t="s">
        <v>1865</v>
      </c>
    </row>
    <row r="732" spans="1:13">
      <c r="A732" s="4">
        <v>46171</v>
      </c>
      <c r="B732" t="s">
        <v>350</v>
      </c>
      <c r="C732" t="s">
        <v>1866</v>
      </c>
      <c r="D732" s="4">
        <v>46169</v>
      </c>
      <c r="E732" t="s">
        <v>5</v>
      </c>
      <c r="F732" t="s">
        <v>52</v>
      </c>
      <c r="G732" t="s">
        <v>212</v>
      </c>
      <c r="H732" t="s">
        <v>70</v>
      </c>
      <c r="I732" t="s">
        <v>55</v>
      </c>
      <c r="J732" t="s">
        <v>352</v>
      </c>
      <c r="K732" t="s">
        <v>1212</v>
      </c>
      <c r="M732" t="s">
        <v>1867</v>
      </c>
    </row>
    <row r="733" spans="1:13">
      <c r="A733" s="4">
        <v>46171</v>
      </c>
      <c r="B733" t="s">
        <v>350</v>
      </c>
      <c r="C733" t="s">
        <v>1868</v>
      </c>
      <c r="D733" s="4">
        <v>46168</v>
      </c>
      <c r="E733" t="s">
        <v>5</v>
      </c>
      <c r="F733" t="s">
        <v>52</v>
      </c>
      <c r="G733" t="s">
        <v>215</v>
      </c>
      <c r="H733" t="s">
        <v>68</v>
      </c>
      <c r="I733" t="s">
        <v>13</v>
      </c>
      <c r="J733" t="s">
        <v>352</v>
      </c>
      <c r="K733" t="s">
        <v>427</v>
      </c>
      <c r="M733" t="s">
        <v>1869</v>
      </c>
    </row>
    <row r="734" spans="1:13">
      <c r="A734" s="4">
        <v>46171</v>
      </c>
      <c r="B734" t="s">
        <v>350</v>
      </c>
      <c r="C734" t="s">
        <v>1870</v>
      </c>
      <c r="D734" s="4">
        <v>46171</v>
      </c>
      <c r="E734" t="s">
        <v>3</v>
      </c>
      <c r="F734" t="s">
        <v>52</v>
      </c>
      <c r="G734" t="s">
        <v>168</v>
      </c>
      <c r="H734" t="s">
        <v>68</v>
      </c>
      <c r="I734" t="s">
        <v>13</v>
      </c>
      <c r="J734" t="s">
        <v>352</v>
      </c>
      <c r="K734" t="s">
        <v>435</v>
      </c>
      <c r="M734" t="s">
        <v>1871</v>
      </c>
    </row>
    <row r="735" spans="1:13">
      <c r="A735" s="4">
        <v>46171</v>
      </c>
      <c r="B735" t="s">
        <v>350</v>
      </c>
      <c r="C735" t="s">
        <v>1872</v>
      </c>
      <c r="D735" s="4">
        <v>46171</v>
      </c>
      <c r="E735" t="s">
        <v>3</v>
      </c>
      <c r="F735" t="s">
        <v>52</v>
      </c>
      <c r="G735" t="s">
        <v>88</v>
      </c>
      <c r="H735" t="s">
        <v>68</v>
      </c>
      <c r="I735" t="s">
        <v>29</v>
      </c>
      <c r="J735" t="s">
        <v>352</v>
      </c>
      <c r="K735" t="s">
        <v>576</v>
      </c>
      <c r="M735" t="s">
        <v>1873</v>
      </c>
    </row>
    <row r="736" spans="1:13">
      <c r="A736" s="4">
        <v>46171</v>
      </c>
      <c r="B736" t="s">
        <v>350</v>
      </c>
      <c r="C736" t="s">
        <v>1874</v>
      </c>
      <c r="D736" s="4">
        <v>46170</v>
      </c>
      <c r="E736" t="s">
        <v>5</v>
      </c>
      <c r="F736" t="s">
        <v>52</v>
      </c>
      <c r="G736" t="s">
        <v>132</v>
      </c>
      <c r="H736" t="s">
        <v>70</v>
      </c>
      <c r="I736" t="s">
        <v>13</v>
      </c>
      <c r="J736" t="s">
        <v>352</v>
      </c>
      <c r="K736" t="s">
        <v>511</v>
      </c>
      <c r="M736" t="s">
        <v>1875</v>
      </c>
    </row>
    <row r="737" spans="1:13">
      <c r="A737" s="4">
        <v>46171</v>
      </c>
      <c r="B737" t="s">
        <v>350</v>
      </c>
      <c r="C737" t="s">
        <v>1876</v>
      </c>
      <c r="D737" s="4">
        <v>46170</v>
      </c>
      <c r="E737" t="s">
        <v>5</v>
      </c>
      <c r="F737" t="s">
        <v>52</v>
      </c>
      <c r="G737" t="s">
        <v>217</v>
      </c>
      <c r="H737" t="s">
        <v>70</v>
      </c>
      <c r="I737" t="s">
        <v>55</v>
      </c>
      <c r="J737" t="s">
        <v>352</v>
      </c>
      <c r="K737" t="s">
        <v>447</v>
      </c>
      <c r="M737" t="s">
        <v>1877</v>
      </c>
    </row>
    <row r="738" spans="1:13">
      <c r="A738" s="4">
        <v>46171</v>
      </c>
      <c r="B738" t="s">
        <v>350</v>
      </c>
      <c r="C738" t="s">
        <v>1878</v>
      </c>
      <c r="D738" s="4">
        <v>46170</v>
      </c>
      <c r="E738" t="s">
        <v>6</v>
      </c>
      <c r="F738" t="s">
        <v>52</v>
      </c>
      <c r="G738" t="s">
        <v>239</v>
      </c>
      <c r="H738" t="s">
        <v>68</v>
      </c>
      <c r="I738" t="s">
        <v>13</v>
      </c>
      <c r="J738" t="s">
        <v>352</v>
      </c>
      <c r="K738" t="s">
        <v>447</v>
      </c>
      <c r="M738" t="s">
        <v>1879</v>
      </c>
    </row>
    <row r="739" spans="1:13">
      <c r="A739" s="4">
        <v>46172</v>
      </c>
      <c r="B739" t="s">
        <v>350</v>
      </c>
      <c r="C739" t="s">
        <v>1880</v>
      </c>
      <c r="D739" s="4">
        <v>46172</v>
      </c>
      <c r="E739" t="s">
        <v>3</v>
      </c>
      <c r="F739" t="s">
        <v>52</v>
      </c>
      <c r="G739" t="s">
        <v>194</v>
      </c>
      <c r="H739" t="s">
        <v>68</v>
      </c>
      <c r="I739" t="s">
        <v>29</v>
      </c>
      <c r="J739" t="s">
        <v>352</v>
      </c>
      <c r="K739" t="s">
        <v>353</v>
      </c>
      <c r="M739" t="s">
        <v>1881</v>
      </c>
    </row>
    <row r="740" spans="1:13">
      <c r="A740" s="4">
        <v>46172</v>
      </c>
      <c r="B740" t="s">
        <v>350</v>
      </c>
      <c r="C740" t="s">
        <v>1882</v>
      </c>
      <c r="D740" s="4">
        <v>46172</v>
      </c>
      <c r="E740" t="s">
        <v>3</v>
      </c>
      <c r="F740" t="s">
        <v>52</v>
      </c>
      <c r="G740" t="s">
        <v>280</v>
      </c>
      <c r="H740" t="s">
        <v>68</v>
      </c>
      <c r="I740" t="s">
        <v>29</v>
      </c>
      <c r="J740" t="s">
        <v>352</v>
      </c>
      <c r="K740" t="s">
        <v>362</v>
      </c>
      <c r="M740" t="s">
        <v>1883</v>
      </c>
    </row>
    <row r="741" spans="1:13">
      <c r="A741" s="4">
        <v>46172</v>
      </c>
      <c r="B741" t="s">
        <v>350</v>
      </c>
      <c r="C741" t="s">
        <v>1884</v>
      </c>
      <c r="D741" s="4">
        <v>46172</v>
      </c>
      <c r="E741" t="s">
        <v>3</v>
      </c>
      <c r="F741" t="s">
        <v>52</v>
      </c>
      <c r="G741" t="s">
        <v>275</v>
      </c>
      <c r="H741" t="s">
        <v>68</v>
      </c>
      <c r="I741" t="s">
        <v>55</v>
      </c>
      <c r="J741" t="s">
        <v>352</v>
      </c>
      <c r="K741" t="s">
        <v>368</v>
      </c>
      <c r="M741" t="s">
        <v>1885</v>
      </c>
    </row>
    <row r="742" spans="1:13">
      <c r="A742" s="4">
        <v>46172</v>
      </c>
      <c r="B742" t="s">
        <v>350</v>
      </c>
      <c r="C742" t="s">
        <v>1886</v>
      </c>
      <c r="D742" s="4">
        <v>46172</v>
      </c>
      <c r="E742" t="s">
        <v>3</v>
      </c>
      <c r="F742" t="s">
        <v>52</v>
      </c>
      <c r="G742" t="s">
        <v>168</v>
      </c>
      <c r="H742" t="s">
        <v>68</v>
      </c>
      <c r="I742" t="s">
        <v>13</v>
      </c>
      <c r="J742" t="s">
        <v>352</v>
      </c>
      <c r="K742" t="s">
        <v>379</v>
      </c>
      <c r="M742" t="s">
        <v>1887</v>
      </c>
    </row>
    <row r="743" spans="1:13">
      <c r="A743" s="4">
        <v>46172</v>
      </c>
      <c r="B743" t="s">
        <v>350</v>
      </c>
      <c r="C743" t="s">
        <v>1886</v>
      </c>
      <c r="D743" s="4">
        <v>46172</v>
      </c>
      <c r="E743" t="s">
        <v>3</v>
      </c>
      <c r="F743" t="s">
        <v>52</v>
      </c>
      <c r="G743" t="s">
        <v>266</v>
      </c>
      <c r="H743" t="s">
        <v>68</v>
      </c>
      <c r="I743" t="s">
        <v>13</v>
      </c>
      <c r="J743" t="s">
        <v>352</v>
      </c>
      <c r="K743" t="s">
        <v>379</v>
      </c>
      <c r="M743" t="s">
        <v>1887</v>
      </c>
    </row>
    <row r="744" spans="1:13">
      <c r="A744" s="4">
        <v>46172</v>
      </c>
      <c r="B744" t="s">
        <v>350</v>
      </c>
      <c r="C744" t="s">
        <v>1888</v>
      </c>
      <c r="D744" s="4">
        <v>46172</v>
      </c>
      <c r="E744" t="s">
        <v>3</v>
      </c>
      <c r="F744" t="s">
        <v>52</v>
      </c>
      <c r="G744" t="s">
        <v>168</v>
      </c>
      <c r="H744" t="s">
        <v>68</v>
      </c>
      <c r="I744" t="s">
        <v>13</v>
      </c>
      <c r="J744" t="s">
        <v>352</v>
      </c>
      <c r="K744" t="s">
        <v>379</v>
      </c>
      <c r="M744" t="s">
        <v>1889</v>
      </c>
    </row>
    <row r="745" spans="1:13">
      <c r="A745" s="4">
        <v>46172</v>
      </c>
      <c r="B745" t="s">
        <v>350</v>
      </c>
      <c r="C745" t="s">
        <v>1888</v>
      </c>
      <c r="D745" s="4">
        <v>46172</v>
      </c>
      <c r="E745" t="s">
        <v>3</v>
      </c>
      <c r="F745" t="s">
        <v>52</v>
      </c>
      <c r="G745" t="s">
        <v>266</v>
      </c>
      <c r="H745" t="s">
        <v>68</v>
      </c>
      <c r="I745" t="s">
        <v>13</v>
      </c>
      <c r="J745" t="s">
        <v>352</v>
      </c>
      <c r="K745" t="s">
        <v>379</v>
      </c>
      <c r="M745" t="s">
        <v>1889</v>
      </c>
    </row>
    <row r="746" spans="1:13">
      <c r="A746" s="4">
        <v>46172</v>
      </c>
      <c r="B746" t="s">
        <v>350</v>
      </c>
      <c r="C746" t="s">
        <v>1890</v>
      </c>
      <c r="D746" s="4">
        <v>46172</v>
      </c>
      <c r="E746" t="s">
        <v>3</v>
      </c>
      <c r="F746" t="s">
        <v>52</v>
      </c>
      <c r="G746" t="s">
        <v>207</v>
      </c>
      <c r="H746" t="s">
        <v>68</v>
      </c>
      <c r="I746" t="s">
        <v>29</v>
      </c>
      <c r="J746" t="s">
        <v>352</v>
      </c>
      <c r="K746" t="s">
        <v>385</v>
      </c>
      <c r="M746" t="s">
        <v>1891</v>
      </c>
    </row>
    <row r="747" spans="1:13">
      <c r="A747" s="4">
        <v>46172</v>
      </c>
      <c r="B747" t="s">
        <v>350</v>
      </c>
      <c r="C747" t="s">
        <v>1892</v>
      </c>
      <c r="D747" s="4">
        <v>46172</v>
      </c>
      <c r="E747" t="s">
        <v>3</v>
      </c>
      <c r="F747" t="s">
        <v>52</v>
      </c>
      <c r="G747" t="s">
        <v>168</v>
      </c>
      <c r="H747" t="s">
        <v>68</v>
      </c>
      <c r="I747" t="s">
        <v>13</v>
      </c>
      <c r="J747" t="s">
        <v>352</v>
      </c>
      <c r="K747" t="s">
        <v>385</v>
      </c>
      <c r="M747" t="s">
        <v>1893</v>
      </c>
    </row>
    <row r="748" spans="1:13">
      <c r="A748" s="4">
        <v>46172</v>
      </c>
      <c r="B748" t="s">
        <v>350</v>
      </c>
      <c r="C748" t="s">
        <v>1894</v>
      </c>
      <c r="D748" s="4">
        <v>46172</v>
      </c>
      <c r="E748" t="s">
        <v>4</v>
      </c>
      <c r="F748" t="s">
        <v>52</v>
      </c>
      <c r="G748" t="s">
        <v>61</v>
      </c>
      <c r="H748" t="s">
        <v>54</v>
      </c>
      <c r="I748" t="s">
        <v>29</v>
      </c>
      <c r="J748" t="s">
        <v>352</v>
      </c>
      <c r="K748" t="s">
        <v>476</v>
      </c>
      <c r="M748" t="s">
        <v>1895</v>
      </c>
    </row>
    <row r="749" spans="1:13">
      <c r="A749" s="4">
        <v>46172</v>
      </c>
      <c r="B749" t="s">
        <v>350</v>
      </c>
      <c r="C749" t="s">
        <v>1896</v>
      </c>
      <c r="D749" s="4">
        <v>46172</v>
      </c>
      <c r="E749" t="s">
        <v>3</v>
      </c>
      <c r="F749" t="s">
        <v>52</v>
      </c>
      <c r="G749" t="s">
        <v>184</v>
      </c>
      <c r="H749" t="s">
        <v>68</v>
      </c>
      <c r="I749" t="s">
        <v>13</v>
      </c>
      <c r="J749" t="s">
        <v>352</v>
      </c>
      <c r="K749" t="s">
        <v>391</v>
      </c>
      <c r="M749" t="s">
        <v>1897</v>
      </c>
    </row>
    <row r="750" spans="1:13">
      <c r="A750" s="4">
        <v>46172</v>
      </c>
      <c r="B750" t="s">
        <v>350</v>
      </c>
      <c r="C750" t="s">
        <v>1898</v>
      </c>
      <c r="D750" s="4">
        <v>46172</v>
      </c>
      <c r="E750" t="s">
        <v>3</v>
      </c>
      <c r="F750" t="s">
        <v>52</v>
      </c>
      <c r="G750" t="s">
        <v>311</v>
      </c>
      <c r="H750" t="s">
        <v>68</v>
      </c>
      <c r="I750" t="s">
        <v>13</v>
      </c>
      <c r="J750" t="s">
        <v>352</v>
      </c>
      <c r="K750" t="s">
        <v>394</v>
      </c>
      <c r="M750" t="s">
        <v>1899</v>
      </c>
    </row>
    <row r="751" spans="1:13">
      <c r="A751" s="4">
        <v>46172</v>
      </c>
      <c r="B751" t="s">
        <v>350</v>
      </c>
      <c r="C751" t="s">
        <v>1900</v>
      </c>
      <c r="D751" s="4">
        <v>46172</v>
      </c>
      <c r="E751" t="s">
        <v>3</v>
      </c>
      <c r="F751" t="s">
        <v>52</v>
      </c>
      <c r="G751" t="s">
        <v>318</v>
      </c>
      <c r="H751" t="s">
        <v>68</v>
      </c>
      <c r="I751" t="s">
        <v>13</v>
      </c>
      <c r="J751" t="s">
        <v>352</v>
      </c>
      <c r="K751" t="s">
        <v>394</v>
      </c>
      <c r="M751" t="s">
        <v>1901</v>
      </c>
    </row>
    <row r="752" spans="1:13">
      <c r="A752" s="4">
        <v>46172</v>
      </c>
      <c r="B752" t="s">
        <v>350</v>
      </c>
      <c r="C752" t="s">
        <v>1902</v>
      </c>
      <c r="D752" s="4">
        <v>46172</v>
      </c>
      <c r="E752" t="s">
        <v>3</v>
      </c>
      <c r="F752" t="s">
        <v>52</v>
      </c>
      <c r="G752" t="s">
        <v>315</v>
      </c>
      <c r="H752" t="s">
        <v>68</v>
      </c>
      <c r="I752" t="s">
        <v>29</v>
      </c>
      <c r="J752" t="s">
        <v>352</v>
      </c>
      <c r="K752" t="s">
        <v>394</v>
      </c>
      <c r="M752" t="s">
        <v>1903</v>
      </c>
    </row>
    <row r="753" spans="1:13">
      <c r="A753" s="4">
        <v>46172</v>
      </c>
      <c r="B753" t="s">
        <v>350</v>
      </c>
      <c r="C753" t="s">
        <v>1904</v>
      </c>
      <c r="D753" s="4">
        <v>46172</v>
      </c>
      <c r="E753" t="s">
        <v>3</v>
      </c>
      <c r="F753" t="s">
        <v>52</v>
      </c>
      <c r="G753" t="s">
        <v>316</v>
      </c>
      <c r="H753" t="s">
        <v>68</v>
      </c>
      <c r="I753" t="s">
        <v>29</v>
      </c>
      <c r="J753" t="s">
        <v>352</v>
      </c>
      <c r="K753" t="s">
        <v>394</v>
      </c>
      <c r="M753" t="s">
        <v>1905</v>
      </c>
    </row>
    <row r="754" spans="1:13">
      <c r="A754" s="4">
        <v>46172</v>
      </c>
      <c r="B754" t="s">
        <v>350</v>
      </c>
      <c r="C754" t="s">
        <v>1906</v>
      </c>
      <c r="D754" s="4">
        <v>46172</v>
      </c>
      <c r="E754" t="s">
        <v>3</v>
      </c>
      <c r="F754" t="s">
        <v>52</v>
      </c>
      <c r="G754" t="s">
        <v>308</v>
      </c>
      <c r="H754" t="s">
        <v>54</v>
      </c>
      <c r="I754" t="s">
        <v>13</v>
      </c>
      <c r="J754" t="s">
        <v>352</v>
      </c>
      <c r="K754" t="s">
        <v>394</v>
      </c>
      <c r="M754" t="s">
        <v>1907</v>
      </c>
    </row>
    <row r="755" spans="1:13">
      <c r="A755" s="4">
        <v>46172</v>
      </c>
      <c r="B755" t="s">
        <v>350</v>
      </c>
      <c r="C755" t="s">
        <v>1908</v>
      </c>
      <c r="D755" s="4">
        <v>46172</v>
      </c>
      <c r="E755" t="s">
        <v>3</v>
      </c>
      <c r="F755" t="s">
        <v>52</v>
      </c>
      <c r="G755" t="s">
        <v>173</v>
      </c>
      <c r="H755" t="s">
        <v>68</v>
      </c>
      <c r="I755" t="s">
        <v>29</v>
      </c>
      <c r="J755" t="s">
        <v>352</v>
      </c>
      <c r="K755" t="s">
        <v>1909</v>
      </c>
      <c r="M755" t="s">
        <v>1910</v>
      </c>
    </row>
    <row r="756" spans="1:13">
      <c r="A756" s="4">
        <v>46172</v>
      </c>
      <c r="B756" t="s">
        <v>350</v>
      </c>
      <c r="C756" t="s">
        <v>1911</v>
      </c>
      <c r="D756" s="4">
        <v>46172</v>
      </c>
      <c r="E756" t="s">
        <v>3</v>
      </c>
      <c r="F756" t="s">
        <v>52</v>
      </c>
      <c r="G756" t="s">
        <v>56</v>
      </c>
      <c r="H756" t="s">
        <v>54</v>
      </c>
      <c r="I756" t="s">
        <v>13</v>
      </c>
      <c r="J756" t="s">
        <v>352</v>
      </c>
      <c r="K756" t="s">
        <v>405</v>
      </c>
      <c r="M756" t="s">
        <v>1912</v>
      </c>
    </row>
    <row r="757" spans="1:13">
      <c r="A757" s="4">
        <v>46172</v>
      </c>
      <c r="B757" t="s">
        <v>350</v>
      </c>
      <c r="C757" t="s">
        <v>1913</v>
      </c>
      <c r="D757" s="4">
        <v>46172</v>
      </c>
      <c r="E757" t="s">
        <v>3</v>
      </c>
      <c r="F757" t="s">
        <v>52</v>
      </c>
      <c r="G757" t="s">
        <v>176</v>
      </c>
      <c r="H757" t="s">
        <v>68</v>
      </c>
      <c r="I757" t="s">
        <v>13</v>
      </c>
      <c r="J757" t="s">
        <v>352</v>
      </c>
      <c r="K757" t="s">
        <v>605</v>
      </c>
      <c r="M757" t="s">
        <v>1914</v>
      </c>
    </row>
    <row r="758" spans="1:13">
      <c r="A758" s="4">
        <v>46172</v>
      </c>
      <c r="B758" t="s">
        <v>350</v>
      </c>
      <c r="C758" t="s">
        <v>1915</v>
      </c>
      <c r="D758" s="4">
        <v>46172</v>
      </c>
      <c r="E758" t="s">
        <v>3</v>
      </c>
      <c r="F758" t="s">
        <v>52</v>
      </c>
      <c r="G758" t="s">
        <v>103</v>
      </c>
      <c r="H758" t="s">
        <v>68</v>
      </c>
      <c r="I758" t="s">
        <v>55</v>
      </c>
      <c r="J758" t="s">
        <v>352</v>
      </c>
      <c r="K758" t="s">
        <v>553</v>
      </c>
      <c r="M758" t="s">
        <v>1916</v>
      </c>
    </row>
    <row r="759" spans="1:13">
      <c r="A759" s="4">
        <v>46172</v>
      </c>
      <c r="B759" t="s">
        <v>350</v>
      </c>
      <c r="C759" t="s">
        <v>1917</v>
      </c>
      <c r="D759" s="4">
        <v>46172</v>
      </c>
      <c r="E759" t="s">
        <v>3</v>
      </c>
      <c r="F759" t="s">
        <v>52</v>
      </c>
      <c r="G759" t="s">
        <v>196</v>
      </c>
      <c r="H759" t="s">
        <v>68</v>
      </c>
      <c r="I759" t="s">
        <v>29</v>
      </c>
      <c r="J759" t="s">
        <v>352</v>
      </c>
      <c r="K759" t="s">
        <v>675</v>
      </c>
      <c r="M759" t="s">
        <v>1918</v>
      </c>
    </row>
    <row r="760" spans="1:13">
      <c r="A760" s="4">
        <v>46172</v>
      </c>
      <c r="B760" t="s">
        <v>350</v>
      </c>
      <c r="C760" t="s">
        <v>1919</v>
      </c>
      <c r="D760" s="4">
        <v>46172</v>
      </c>
      <c r="E760" t="s">
        <v>3</v>
      </c>
      <c r="F760" t="s">
        <v>52</v>
      </c>
      <c r="G760" t="s">
        <v>150</v>
      </c>
      <c r="H760" t="s">
        <v>54</v>
      </c>
      <c r="I760" t="s">
        <v>13</v>
      </c>
      <c r="J760" t="s">
        <v>352</v>
      </c>
      <c r="K760" t="s">
        <v>675</v>
      </c>
      <c r="M760" t="s">
        <v>1920</v>
      </c>
    </row>
    <row r="761" spans="1:13">
      <c r="A761" s="4">
        <v>46172</v>
      </c>
      <c r="B761" t="s">
        <v>350</v>
      </c>
      <c r="C761" t="s">
        <v>1919</v>
      </c>
      <c r="D761" s="4">
        <v>46172</v>
      </c>
      <c r="E761" t="s">
        <v>3</v>
      </c>
      <c r="F761" t="s">
        <v>52</v>
      </c>
      <c r="G761" t="s">
        <v>168</v>
      </c>
      <c r="H761" t="s">
        <v>68</v>
      </c>
      <c r="I761" t="s">
        <v>13</v>
      </c>
      <c r="J761" t="s">
        <v>352</v>
      </c>
      <c r="K761" t="s">
        <v>675</v>
      </c>
      <c r="M761" t="s">
        <v>1920</v>
      </c>
    </row>
    <row r="762" spans="1:13">
      <c r="A762" s="4">
        <v>46172</v>
      </c>
      <c r="B762" t="s">
        <v>350</v>
      </c>
      <c r="C762" t="s">
        <v>1919</v>
      </c>
      <c r="D762" s="4">
        <v>46172</v>
      </c>
      <c r="E762" t="s">
        <v>3</v>
      </c>
      <c r="F762" t="s">
        <v>52</v>
      </c>
      <c r="G762" t="s">
        <v>196</v>
      </c>
      <c r="H762" t="s">
        <v>68</v>
      </c>
      <c r="I762" t="s">
        <v>29</v>
      </c>
      <c r="J762" t="s">
        <v>352</v>
      </c>
      <c r="K762" t="s">
        <v>675</v>
      </c>
      <c r="M762" t="s">
        <v>1920</v>
      </c>
    </row>
    <row r="763" spans="1:13">
      <c r="A763" s="4">
        <v>46172</v>
      </c>
      <c r="B763" t="s">
        <v>350</v>
      </c>
      <c r="C763" t="s">
        <v>1921</v>
      </c>
      <c r="D763" s="4">
        <v>46172</v>
      </c>
      <c r="E763" t="s">
        <v>3</v>
      </c>
      <c r="F763" t="s">
        <v>52</v>
      </c>
      <c r="G763" t="s">
        <v>144</v>
      </c>
      <c r="H763" t="s">
        <v>54</v>
      </c>
      <c r="I763" t="s">
        <v>55</v>
      </c>
      <c r="J763" t="s">
        <v>352</v>
      </c>
      <c r="K763" t="s">
        <v>691</v>
      </c>
      <c r="M763" t="s">
        <v>1922</v>
      </c>
    </row>
    <row r="764" spans="1:13">
      <c r="A764" s="4">
        <v>46172</v>
      </c>
      <c r="B764" t="s">
        <v>350</v>
      </c>
      <c r="C764" t="s">
        <v>1923</v>
      </c>
      <c r="D764" s="4">
        <v>46172</v>
      </c>
      <c r="E764" t="s">
        <v>3</v>
      </c>
      <c r="F764" t="s">
        <v>52</v>
      </c>
      <c r="G764" t="s">
        <v>86</v>
      </c>
      <c r="H764" t="s">
        <v>68</v>
      </c>
      <c r="I764" t="s">
        <v>13</v>
      </c>
      <c r="J764" t="s">
        <v>352</v>
      </c>
      <c r="K764" t="s">
        <v>502</v>
      </c>
      <c r="M764" t="s">
        <v>1924</v>
      </c>
    </row>
    <row r="765" spans="1:13">
      <c r="A765" s="4">
        <v>46172</v>
      </c>
      <c r="B765" t="s">
        <v>350</v>
      </c>
      <c r="C765" t="s">
        <v>1925</v>
      </c>
      <c r="D765" s="4">
        <v>46172</v>
      </c>
      <c r="E765" t="s">
        <v>3</v>
      </c>
      <c r="F765" t="s">
        <v>52</v>
      </c>
      <c r="G765" t="s">
        <v>86</v>
      </c>
      <c r="H765" t="s">
        <v>68</v>
      </c>
      <c r="I765" t="s">
        <v>13</v>
      </c>
      <c r="J765" t="s">
        <v>352</v>
      </c>
      <c r="K765" t="s">
        <v>502</v>
      </c>
      <c r="M765" t="s">
        <v>1926</v>
      </c>
    </row>
    <row r="766" spans="1:13">
      <c r="A766" s="4">
        <v>46172</v>
      </c>
      <c r="B766" t="s">
        <v>350</v>
      </c>
      <c r="C766" t="s">
        <v>1927</v>
      </c>
      <c r="D766" s="4">
        <v>46172</v>
      </c>
      <c r="E766" t="s">
        <v>3</v>
      </c>
      <c r="F766" t="s">
        <v>52</v>
      </c>
      <c r="G766" t="s">
        <v>168</v>
      </c>
      <c r="H766" t="s">
        <v>68</v>
      </c>
      <c r="I766" t="s">
        <v>13</v>
      </c>
      <c r="J766" t="s">
        <v>352</v>
      </c>
      <c r="K766" t="s">
        <v>621</v>
      </c>
      <c r="M766" t="s">
        <v>1928</v>
      </c>
    </row>
    <row r="767" spans="1:13">
      <c r="A767" s="4">
        <v>46172</v>
      </c>
      <c r="B767" t="s">
        <v>350</v>
      </c>
      <c r="C767" t="s">
        <v>1929</v>
      </c>
      <c r="D767" s="4">
        <v>46172</v>
      </c>
      <c r="E767" t="s">
        <v>0</v>
      </c>
      <c r="F767" t="s">
        <v>52</v>
      </c>
      <c r="G767" t="s">
        <v>168</v>
      </c>
      <c r="H767" t="s">
        <v>68</v>
      </c>
      <c r="I767" t="s">
        <v>13</v>
      </c>
      <c r="J767" t="s">
        <v>352</v>
      </c>
      <c r="K767" t="s">
        <v>1930</v>
      </c>
      <c r="M767" t="s">
        <v>1931</v>
      </c>
    </row>
    <row r="768" spans="1:13">
      <c r="A768" s="4">
        <v>46172</v>
      </c>
      <c r="B768" t="s">
        <v>350</v>
      </c>
      <c r="C768" t="s">
        <v>1932</v>
      </c>
      <c r="D768" s="4">
        <v>46172</v>
      </c>
      <c r="E768" t="s">
        <v>0</v>
      </c>
      <c r="F768" t="s">
        <v>52</v>
      </c>
      <c r="G768" t="s">
        <v>333</v>
      </c>
      <c r="H768" t="s">
        <v>68</v>
      </c>
      <c r="I768" t="s">
        <v>13</v>
      </c>
      <c r="J768" t="s">
        <v>352</v>
      </c>
      <c r="K768" t="s">
        <v>1930</v>
      </c>
      <c r="M768" t="s">
        <v>1933</v>
      </c>
    </row>
    <row r="769" spans="1:13">
      <c r="A769" s="4">
        <v>46172</v>
      </c>
      <c r="B769" t="s">
        <v>350</v>
      </c>
      <c r="C769" t="s">
        <v>1934</v>
      </c>
      <c r="D769" s="4">
        <v>46172</v>
      </c>
      <c r="E769" t="s">
        <v>0</v>
      </c>
      <c r="F769" t="s">
        <v>52</v>
      </c>
      <c r="G769" t="s">
        <v>66</v>
      </c>
      <c r="H769" t="s">
        <v>54</v>
      </c>
      <c r="I769" t="s">
        <v>29</v>
      </c>
      <c r="J769" t="s">
        <v>352</v>
      </c>
      <c r="K769" t="s">
        <v>1930</v>
      </c>
      <c r="M769" t="s">
        <v>1935</v>
      </c>
    </row>
    <row r="770" spans="1:13">
      <c r="A770" s="4">
        <v>46172</v>
      </c>
      <c r="B770" t="s">
        <v>350</v>
      </c>
      <c r="C770" t="s">
        <v>1936</v>
      </c>
      <c r="D770" s="4">
        <v>46172</v>
      </c>
      <c r="E770" t="s">
        <v>3</v>
      </c>
      <c r="F770" t="s">
        <v>52</v>
      </c>
      <c r="G770" t="s">
        <v>72</v>
      </c>
      <c r="H770" t="s">
        <v>68</v>
      </c>
      <c r="I770" t="s">
        <v>13</v>
      </c>
      <c r="J770" t="s">
        <v>352</v>
      </c>
      <c r="K770" t="s">
        <v>514</v>
      </c>
      <c r="M770" t="s">
        <v>1937</v>
      </c>
    </row>
    <row r="771" spans="1:13">
      <c r="A771" s="4">
        <v>46172</v>
      </c>
      <c r="B771" t="s">
        <v>350</v>
      </c>
      <c r="C771" t="s">
        <v>1938</v>
      </c>
      <c r="D771" s="4">
        <v>46172</v>
      </c>
      <c r="E771" t="s">
        <v>3</v>
      </c>
      <c r="F771" t="s">
        <v>52</v>
      </c>
      <c r="G771" t="s">
        <v>72</v>
      </c>
      <c r="H771" t="s">
        <v>68</v>
      </c>
      <c r="I771" t="s">
        <v>13</v>
      </c>
      <c r="J771" t="s">
        <v>352</v>
      </c>
      <c r="K771" t="s">
        <v>514</v>
      </c>
      <c r="M771" t="s">
        <v>1939</v>
      </c>
    </row>
    <row r="772" spans="1:13">
      <c r="A772" s="4">
        <v>46172</v>
      </c>
      <c r="B772" t="s">
        <v>350</v>
      </c>
      <c r="C772" t="s">
        <v>1940</v>
      </c>
      <c r="D772" s="4">
        <v>46172</v>
      </c>
      <c r="E772" t="s">
        <v>3</v>
      </c>
      <c r="F772" t="s">
        <v>52</v>
      </c>
      <c r="G772" t="s">
        <v>73</v>
      </c>
      <c r="H772" t="s">
        <v>68</v>
      </c>
      <c r="I772" t="s">
        <v>13</v>
      </c>
      <c r="J772" t="s">
        <v>352</v>
      </c>
      <c r="K772" t="s">
        <v>514</v>
      </c>
      <c r="M772" t="s">
        <v>1941</v>
      </c>
    </row>
    <row r="773" spans="1:13">
      <c r="A773" s="4">
        <v>46172</v>
      </c>
      <c r="B773" t="s">
        <v>350</v>
      </c>
      <c r="C773" t="s">
        <v>1942</v>
      </c>
      <c r="D773" s="4">
        <v>46172</v>
      </c>
      <c r="E773" t="s">
        <v>3</v>
      </c>
      <c r="F773" t="s">
        <v>52</v>
      </c>
      <c r="G773" t="s">
        <v>76</v>
      </c>
      <c r="H773" t="s">
        <v>68</v>
      </c>
      <c r="I773" t="s">
        <v>13</v>
      </c>
      <c r="J773" t="s">
        <v>352</v>
      </c>
      <c r="K773" t="s">
        <v>514</v>
      </c>
      <c r="M773" t="s">
        <v>1943</v>
      </c>
    </row>
    <row r="774" spans="1:13">
      <c r="A774" s="4">
        <v>46172</v>
      </c>
      <c r="B774" t="s">
        <v>350</v>
      </c>
      <c r="C774" t="s">
        <v>1944</v>
      </c>
      <c r="D774" s="4">
        <v>46172</v>
      </c>
      <c r="E774" t="s">
        <v>3</v>
      </c>
      <c r="F774" t="s">
        <v>52</v>
      </c>
      <c r="G774" t="s">
        <v>72</v>
      </c>
      <c r="H774" t="s">
        <v>68</v>
      </c>
      <c r="I774" t="s">
        <v>13</v>
      </c>
      <c r="J774" t="s">
        <v>352</v>
      </c>
      <c r="K774" t="s">
        <v>514</v>
      </c>
      <c r="M774" t="s">
        <v>1945</v>
      </c>
    </row>
    <row r="775" spans="1:13">
      <c r="A775" s="4">
        <v>46172</v>
      </c>
      <c r="B775" t="s">
        <v>350</v>
      </c>
      <c r="C775" t="s">
        <v>1946</v>
      </c>
      <c r="D775" s="4">
        <v>46172</v>
      </c>
      <c r="E775" t="s">
        <v>3</v>
      </c>
      <c r="F775" t="s">
        <v>52</v>
      </c>
      <c r="G775" t="s">
        <v>72</v>
      </c>
      <c r="H775" t="s">
        <v>68</v>
      </c>
      <c r="I775" t="s">
        <v>13</v>
      </c>
      <c r="J775" t="s">
        <v>352</v>
      </c>
      <c r="K775" t="s">
        <v>514</v>
      </c>
      <c r="M775" t="s">
        <v>1947</v>
      </c>
    </row>
    <row r="776" spans="1:13">
      <c r="A776" s="4">
        <v>46172</v>
      </c>
      <c r="B776" t="s">
        <v>350</v>
      </c>
      <c r="C776" t="s">
        <v>1948</v>
      </c>
      <c r="D776" s="4">
        <v>46172</v>
      </c>
      <c r="E776" t="s">
        <v>3</v>
      </c>
      <c r="F776" t="s">
        <v>52</v>
      </c>
      <c r="G776" t="s">
        <v>74</v>
      </c>
      <c r="H776" t="s">
        <v>68</v>
      </c>
      <c r="I776" t="s">
        <v>13</v>
      </c>
      <c r="J776" t="s">
        <v>352</v>
      </c>
      <c r="K776" t="s">
        <v>514</v>
      </c>
      <c r="M776" t="s">
        <v>1949</v>
      </c>
    </row>
    <row r="777" spans="1:13">
      <c r="A777" s="4">
        <v>46172</v>
      </c>
      <c r="B777" t="s">
        <v>350</v>
      </c>
      <c r="C777" t="s">
        <v>1950</v>
      </c>
      <c r="D777" s="4">
        <v>46172</v>
      </c>
      <c r="E777" t="s">
        <v>3</v>
      </c>
      <c r="F777" t="s">
        <v>52</v>
      </c>
      <c r="G777" t="s">
        <v>79</v>
      </c>
      <c r="H777" t="s">
        <v>54</v>
      </c>
      <c r="I777" t="s">
        <v>13</v>
      </c>
      <c r="J777" t="s">
        <v>352</v>
      </c>
      <c r="K777" t="s">
        <v>514</v>
      </c>
      <c r="M777" t="s">
        <v>1951</v>
      </c>
    </row>
    <row r="778" spans="1:13">
      <c r="A778" s="4">
        <v>46172</v>
      </c>
      <c r="B778" t="s">
        <v>350</v>
      </c>
      <c r="C778" t="s">
        <v>1952</v>
      </c>
      <c r="D778" s="4">
        <v>46172</v>
      </c>
      <c r="E778" t="s">
        <v>3</v>
      </c>
      <c r="F778" t="s">
        <v>52</v>
      </c>
      <c r="G778" t="s">
        <v>72</v>
      </c>
      <c r="H778" t="s">
        <v>68</v>
      </c>
      <c r="I778" t="s">
        <v>29</v>
      </c>
      <c r="J778" t="s">
        <v>352</v>
      </c>
      <c r="K778" t="s">
        <v>514</v>
      </c>
      <c r="M778" t="s">
        <v>1953</v>
      </c>
    </row>
    <row r="779" spans="1:13">
      <c r="A779" s="4">
        <v>46172</v>
      </c>
      <c r="B779" t="s">
        <v>350</v>
      </c>
      <c r="C779" t="s">
        <v>1954</v>
      </c>
      <c r="D779" s="4">
        <v>46172</v>
      </c>
      <c r="E779" t="s">
        <v>3</v>
      </c>
      <c r="F779" t="s">
        <v>52</v>
      </c>
      <c r="G779" t="s">
        <v>78</v>
      </c>
      <c r="H779" t="s">
        <v>68</v>
      </c>
      <c r="I779" t="s">
        <v>13</v>
      </c>
      <c r="J779" t="s">
        <v>352</v>
      </c>
      <c r="K779" t="s">
        <v>514</v>
      </c>
      <c r="M779" t="s">
        <v>1955</v>
      </c>
    </row>
    <row r="780" spans="1:13">
      <c r="A780" s="4">
        <v>46172</v>
      </c>
      <c r="B780" t="s">
        <v>350</v>
      </c>
      <c r="C780" t="s">
        <v>1956</v>
      </c>
      <c r="D780" s="4">
        <v>46172</v>
      </c>
      <c r="E780" t="s">
        <v>3</v>
      </c>
      <c r="F780" t="s">
        <v>52</v>
      </c>
      <c r="G780" t="s">
        <v>236</v>
      </c>
      <c r="H780" t="s">
        <v>68</v>
      </c>
      <c r="I780" t="s">
        <v>13</v>
      </c>
      <c r="J780" t="s">
        <v>352</v>
      </c>
      <c r="K780" t="s">
        <v>447</v>
      </c>
      <c r="M780" t="s">
        <v>1957</v>
      </c>
    </row>
    <row r="781" spans="1:13">
      <c r="A781" s="4" t="s">
        <v>1958</v>
      </c>
    </row>
  </sheetData>
  <pageMargins left="0" right="0" top="0" bottom="0" header="0" footer="0"/>
  <pageSetup fitToWidth="0"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_x0142_acono xmlns="d0c66980-95ce-447e-8e47-d858f48537ce">true</Op_x0142_acono>
    <lcf76f155ced4ddcb4097134ff3c332f xmlns="d0c66980-95ce-447e-8e47-d858f48537ce">
      <Terms xmlns="http://schemas.microsoft.com/office/infopath/2007/PartnerControls"/>
    </lcf76f155ced4ddcb4097134ff3c332f>
    <TaxCatchAll xmlns="13978581-595c-4a13-a791-405dfc3cf23d" xsi:nil="true"/>
    <kto xmlns="d0c66980-95ce-447e-8e47-d858f48537ce">
      <UserInfo>
        <DisplayName/>
        <AccountId xsi:nil="true"/>
        <AccountType/>
      </UserInfo>
    </kto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E96D10873BF4F87486F381416D6B1" ma:contentTypeVersion="19" ma:contentTypeDescription="Create a new document." ma:contentTypeScope="" ma:versionID="de906d308a83ae92f980f7d487493ac8">
  <xsd:schema xmlns:xsd="http://www.w3.org/2001/XMLSchema" xmlns:xs="http://www.w3.org/2001/XMLSchema" xmlns:p="http://schemas.microsoft.com/office/2006/metadata/properties" xmlns:ns2="d0c66980-95ce-447e-8e47-d858f48537ce" xmlns:ns3="13978581-595c-4a13-a791-405dfc3cf23d" targetNamespace="http://schemas.microsoft.com/office/2006/metadata/properties" ma:root="true" ma:fieldsID="fd13b0c9cfa29debf55ea4d41295c382" ns2:_="" ns3:_="">
    <xsd:import namespace="d0c66980-95ce-447e-8e47-d858f48537ce"/>
    <xsd:import namespace="13978581-595c-4a13-a791-405dfc3cf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Op_x0142_acono" minOccurs="0"/>
                <xsd:element ref="ns2:MediaServiceObjectDetectorVersions" minOccurs="0"/>
                <xsd:element ref="ns2:MediaServiceSearchProperties" minOccurs="0"/>
                <xsd:element ref="ns2:k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66980-95ce-447e-8e47-d858f48537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dcfd045-45f3-4b91-b193-b234f200a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p_x0142_acono" ma:index="23" nillable="true" ma:displayName="Opłacono" ma:default="1" ma:format="Dropdown" ma:internalName="Op_x0142_acono">
      <xsd:simpleType>
        <xsd:restriction base="dms:Boolea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to" ma:index="26" nillable="true" ma:displayName="kto" ma:format="Dropdown" ma:list="UserInfo" ma:SharePointGroup="0" ma:internalName="k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78581-595c-4a13-a791-405dfc3cf23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32cb9e1-2f75-4446-8dd0-2a343dd3061d}" ma:internalName="TaxCatchAll" ma:showField="CatchAllData" ma:web="13978581-595c-4a13-a791-405dfc3cf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A4426-FA89-4354-B42B-22506A8D6812}"/>
</file>

<file path=customXml/itemProps2.xml><?xml version="1.0" encoding="utf-8"?>
<ds:datastoreItem xmlns:ds="http://schemas.openxmlformats.org/officeDocument/2006/customXml" ds:itemID="{692F95BA-827D-492D-AA2C-D7996E7AB476}"/>
</file>

<file path=customXml/itemProps3.xml><?xml version="1.0" encoding="utf-8"?>
<ds:datastoreItem xmlns:ds="http://schemas.openxmlformats.org/officeDocument/2006/customXml" ds:itemID="{492C0497-CCC9-4FD5-B743-480FDD8AF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Monika Król</cp:lastModifiedBy>
  <cp:revision/>
  <dcterms:created xsi:type="dcterms:W3CDTF">2026-06-01T09:03:22Z</dcterms:created>
  <dcterms:modified xsi:type="dcterms:W3CDTF">2026-06-24T13:54:40Z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20.2.4.0</vt:lpwstr>
  </property>
  <property fmtid="{D5CDD505-2E9C-101B-9397-08002B2CF9AE}" pid="3" name="ContentTypeId">
    <vt:lpwstr>0x010100167E96D10873BF4F87486F381416D6B1</vt:lpwstr>
  </property>
  <property fmtid="{D5CDD505-2E9C-101B-9397-08002B2CF9AE}" pid="4" name="MediaServiceImageTags">
    <vt:lpwstr/>
  </property>
</Properties>
</file>