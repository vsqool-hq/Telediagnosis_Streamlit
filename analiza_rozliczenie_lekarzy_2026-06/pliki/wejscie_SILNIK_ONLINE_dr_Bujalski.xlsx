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zczegółowe" sheetId="1" state="visible" r:id="rId1"/>
    <sheet name="Rozlicze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_-* #,##0.00 zł_-;-* #,##0.00 zł_-;_-* &quot;-&quot;??_-;_-@_-"/>
  </numFmts>
  <fonts count="3">
    <font>
      <name val="Calibri"/>
      <family val="2"/>
      <color theme="1"/>
      <sz val="11"/>
      <scheme val="minor"/>
    </font>
    <font/>
    <font>
      <b val="1"/>
    </font>
  </fonts>
  <fills count="16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FF4500"/>
        <bgColor rgb="00FF4500"/>
      </patternFill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4E8F0"/>
        <bgColor rgb="00D4E8F0"/>
      </patternFill>
    </fill>
    <fill>
      <patternFill patternType="solid">
        <fgColor rgb="00F0E8D4"/>
        <bgColor rgb="00F0E8D4"/>
      </patternFill>
    </fill>
    <fill>
      <patternFill patternType="solid">
        <fgColor rgb="00FFE5CC"/>
        <bgColor rgb="00FFE5CC"/>
      </patternFill>
    </fill>
    <fill>
      <patternFill patternType="solid">
        <fgColor rgb="00E8D4F0"/>
        <bgColor rgb="00E8D4F0"/>
      </patternFill>
    </fill>
    <fill>
      <patternFill patternType="solid">
        <fgColor rgb="00D4F0E8"/>
        <bgColor rgb="00D4F0E8"/>
      </patternFill>
    </fill>
    <fill>
      <patternFill patternType="solid">
        <fgColor rgb="00E6F3FF"/>
        <bgColor rgb="00E6F3FF"/>
      </patternFill>
    </fill>
    <fill>
      <patternFill patternType="solid">
        <fgColor rgb="00E8E8E8"/>
        <bgColor rgb="00E8E8E8"/>
      </patternFill>
    </fill>
    <fill>
      <patternFill patternType="solid">
        <fgColor rgb="00CCEAFF"/>
        <bgColor rgb="00CCEAFF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6" fontId="1" fillId="0" borderId="1"/>
  </cellStyleXfs>
  <cellXfs count="22">
    <xf numFmtId="0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166" fontId="1" fillId="0" borderId="1" pivotButton="0" quotePrefix="0" xfId="1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166" fontId="1" fillId="13" borderId="1" pivotButton="0" quotePrefix="0" xfId="1"/>
    <xf numFmtId="0" fontId="0" fillId="14" borderId="0" pivotButton="0" quotePrefix="0" xfId="0"/>
    <xf numFmtId="0" fontId="0" fillId="15" borderId="0" pivotButton="0" quotePrefix="0" xfId="0"/>
    <xf numFmtId="166" fontId="1" fillId="15" borderId="1" pivotButton="0" quotePrefix="0" xfId="1"/>
    <xf numFmtId="0" fontId="2" fillId="0" borderId="0" pivotButton="0" quotePrefix="0" xfId="0"/>
    <xf numFmtId="166" fontId="2" fillId="15" borderId="1" pivotButton="0" quotePrefix="0" xfId="1"/>
    <xf numFmtId="0" fontId="2" fillId="15" borderId="0" pivotButton="0" quotePrefix="0" xfId="0"/>
  </cellXfs>
  <cellStyles count="2">
    <cellStyle name="Normal" xfId="0" builtinId="0" hidden="0"/>
    <cellStyle name="accounting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pierwszego opisu (UTC)</t>
        </is>
      </c>
      <c r="B1" t="inlineStr">
        <is>
          <t>Nr badania</t>
        </is>
      </c>
      <c r="C1" t="inlineStr">
        <is>
          <t>Pacjent</t>
        </is>
      </c>
      <c r="D1" t="inlineStr">
        <is>
          <t>ID pacjenta</t>
        </is>
      </c>
      <c r="E1" t="inlineStr">
        <is>
          <t>Data badania (UTC)</t>
        </is>
      </c>
      <c r="F1" t="inlineStr">
        <is>
          <t>Priorytet opisu</t>
        </is>
      </c>
      <c r="G1" t="inlineStr">
        <is>
          <t>Modalność</t>
        </is>
      </c>
      <c r="H1" t="inlineStr">
        <is>
          <t>Procedura</t>
        </is>
      </c>
      <c r="I1" t="inlineStr">
        <is>
          <t>Rodzaj procedury rozlicz.</t>
        </is>
      </c>
      <c r="J1" t="inlineStr">
        <is>
          <t>Procedura rozlicz.</t>
        </is>
      </c>
      <c r="K1" t="inlineStr">
        <is>
          <t>Opisujący</t>
        </is>
      </c>
      <c r="L1" t="inlineStr">
        <is>
          <t>Konsultujący</t>
        </is>
      </c>
      <c r="M1" t="inlineStr">
        <is>
          <t>Jednostka zlecająca</t>
        </is>
      </c>
      <c r="N1" t="inlineStr">
        <is>
          <t>Komórka zlecająca</t>
        </is>
      </c>
      <c r="O1" t="inlineStr">
        <is>
          <t>Lek kierujący</t>
        </is>
      </c>
      <c r="P1" t="inlineStr">
        <is>
          <t>PWZ kierujacego</t>
        </is>
      </c>
      <c r="Q1" t="inlineStr">
        <is>
          <t>ICD10</t>
        </is>
      </c>
      <c r="R1" t="inlineStr">
        <is>
          <t>Klient</t>
        </is>
      </c>
      <c r="S1" t="inlineStr">
        <is>
          <t>Data wysyłki (UTC)</t>
        </is>
      </c>
      <c r="T1" t="inlineStr">
        <is>
          <t>Badania do porównania</t>
        </is>
      </c>
      <c r="U1" t="inlineStr">
        <is>
          <t>_lek_key</t>
        </is>
      </c>
    </row>
    <row r="2">
      <c r="A2" s="1" t="n">
        <v>46150</v>
      </c>
      <c r="B2" t="inlineStr">
        <is>
          <t>TK/26/1886</t>
        </is>
      </c>
      <c r="C2" t="inlineStr">
        <is>
          <t>Zofia Cebulak</t>
        </is>
      </c>
      <c r="D2" t="n">
        <v>50091601488</v>
      </c>
      <c r="E2" s="1" t="n">
        <v>46146</v>
      </c>
      <c r="F2" t="inlineStr">
        <is>
          <t>Pilny</t>
        </is>
      </c>
      <c r="G2" t="inlineStr">
        <is>
          <t>TK</t>
        </is>
      </c>
      <c r="H2" t="inlineStr">
        <is>
          <t>TK - klatki piersiowej bez i ze środkiem kontrastowym</t>
        </is>
      </c>
      <c r="I2" t="inlineStr">
        <is>
          <t>TK Onkologia</t>
        </is>
      </c>
      <c r="J2" t="inlineStr">
        <is>
          <t>1 okolica anatomiczna</t>
        </is>
      </c>
      <c r="K2" t="inlineStr">
        <is>
          <t>Tomasz Bujalski</t>
        </is>
      </c>
      <c r="L2" t="inlineStr">
        <is>
          <t> </t>
        </is>
      </c>
      <c r="M2" t="inlineStr">
        <is>
          <t>SAMODZIELNY PUBLICZNY ZAKŁAD OPIEKI ZDROWOTNEJ W PRZEWORSKU</t>
        </is>
      </c>
      <c r="N2" t="inlineStr">
        <is>
          <t>Oddział chorób wewnętrznych</t>
        </is>
      </c>
      <c r="O2" t="inlineStr">
        <is>
          <t>Jarosław Pikuła</t>
        </is>
      </c>
      <c r="P2" t="inlineStr">
        <is>
          <t>3878414</t>
        </is>
      </c>
      <c r="Q2" t="inlineStr">
        <is>
          <t> </t>
        </is>
      </c>
      <c r="R2" t="inlineStr">
        <is>
          <t>almed</t>
        </is>
      </c>
      <c r="S2" s="1" t="n">
        <v>46146.61805555555</v>
      </c>
      <c r="T2" t="n">
        <v>0</v>
      </c>
      <c r="U2" t="inlineStr">
        <is>
          <t>BUJALSKI TOMASZ</t>
        </is>
      </c>
    </row>
    <row r="3">
      <c r="A3" s="1" t="n">
        <v>46156</v>
      </c>
      <c r="B3" t="inlineStr">
        <is>
          <t>TK/26/2052</t>
        </is>
      </c>
      <c r="C3" t="inlineStr">
        <is>
          <t>Józef Tide</t>
        </is>
      </c>
      <c r="D3" t="n">
        <v>63022106374</v>
      </c>
      <c r="E3" s="1" t="n">
        <v>46156</v>
      </c>
      <c r="F3" t="inlineStr">
        <is>
          <t>CITO-CITO</t>
        </is>
      </c>
      <c r="G3" t="inlineStr">
        <is>
          <t>TK</t>
        </is>
      </c>
      <c r="H3" t="inlineStr">
        <is>
          <t>TK - j.brzusznej i miednicy bez i ze środkiem kontrastowym</t>
        </is>
      </c>
      <c r="I3" t="inlineStr">
        <is>
          <t>TK Zwykłe</t>
        </is>
      </c>
      <c r="J3" t="inlineStr">
        <is>
          <t>2 okolice anatomiczne</t>
        </is>
      </c>
      <c r="K3" t="inlineStr">
        <is>
          <t>Tomasz Bujalski</t>
        </is>
      </c>
      <c r="L3" t="inlineStr">
        <is>
          <t> </t>
        </is>
      </c>
      <c r="M3" t="inlineStr">
        <is>
          <t>SAMODZIELNY PUBLICZNY ZAKŁAD OPIEKI ZDROWOTNEJ W PRZEWORSKU</t>
        </is>
      </c>
      <c r="N3" t="inlineStr">
        <is>
          <t>Izba przyjęć z Ambulatorium Ogólnym i Zabiegowym</t>
        </is>
      </c>
      <c r="O3" t="inlineStr">
        <is>
          <t>Tomasz Żołędziowski</t>
        </is>
      </c>
      <c r="P3" t="inlineStr">
        <is>
          <t>2363787</t>
        </is>
      </c>
      <c r="Q3" t="inlineStr">
        <is>
          <t> </t>
        </is>
      </c>
      <c r="R3" t="inlineStr">
        <is>
          <t>almed</t>
        </is>
      </c>
      <c r="S3" s="1" t="n">
        <v>46156.33402777778</v>
      </c>
      <c r="T3" t="n">
        <v>0</v>
      </c>
      <c r="U3" t="inlineStr">
        <is>
          <t>BUJALSKI TOMASZ</t>
        </is>
      </c>
    </row>
    <row r="4">
      <c r="A4" s="1" t="n">
        <v>46157</v>
      </c>
      <c r="B4" t="inlineStr">
        <is>
          <t>TK/26/2061</t>
        </is>
      </c>
      <c r="C4" t="inlineStr">
        <is>
          <t>Antoni Płocica</t>
        </is>
      </c>
      <c r="D4" t="n">
        <v>51041817858</v>
      </c>
      <c r="E4" s="1" t="n">
        <v>46156</v>
      </c>
      <c r="F4" t="inlineStr">
        <is>
          <t>Pilny</t>
        </is>
      </c>
      <c r="G4" t="inlineStr">
        <is>
          <t>TK</t>
        </is>
      </c>
      <c r="H4" t="inlineStr">
        <is>
          <t>TK - klatki piersiowej bez i ze środkiem kontrastowym</t>
        </is>
      </c>
      <c r="I4" t="inlineStr">
        <is>
          <t>TK Onkologia</t>
        </is>
      </c>
      <c r="J4" t="inlineStr">
        <is>
          <t>1 okolica anatomiczna</t>
        </is>
      </c>
      <c r="K4" t="inlineStr">
        <is>
          <t>Tomasz Bujalski</t>
        </is>
      </c>
      <c r="L4" t="inlineStr">
        <is>
          <t> </t>
        </is>
      </c>
      <c r="M4" t="inlineStr">
        <is>
          <t>SAMODZIELNY PUBLICZNY ZAKŁAD OPIEKI ZDROWOTNEJ W PRZEWORSKU</t>
        </is>
      </c>
      <c r="N4" t="inlineStr">
        <is>
          <t>Oddział chorób wewnętrznych</t>
        </is>
      </c>
      <c r="O4" t="inlineStr">
        <is>
          <t>Paulina Majkut</t>
        </is>
      </c>
      <c r="P4" t="inlineStr">
        <is>
          <t>2037667</t>
        </is>
      </c>
      <c r="Q4" t="inlineStr">
        <is>
          <t> </t>
        </is>
      </c>
      <c r="R4" t="inlineStr">
        <is>
          <t>almed</t>
        </is>
      </c>
      <c r="S4" s="1" t="n">
        <v>46156.48333333333</v>
      </c>
      <c r="T4" t="n">
        <v>0</v>
      </c>
      <c r="U4" t="inlineStr">
        <is>
          <t>BUJALSKI TOMASZ</t>
        </is>
      </c>
    </row>
    <row r="5">
      <c r="A5" s="1" t="n">
        <v>46165</v>
      </c>
      <c r="B5" t="inlineStr">
        <is>
          <t>TK/26/2225</t>
        </is>
      </c>
      <c r="C5" t="inlineStr">
        <is>
          <t>Andrzej Pilawa</t>
        </is>
      </c>
      <c r="D5" t="n">
        <v>66120301614</v>
      </c>
      <c r="E5" s="1" t="n">
        <v>46165</v>
      </c>
      <c r="F5" t="inlineStr">
        <is>
          <t>CITO-CITO</t>
        </is>
      </c>
      <c r="G5" t="inlineStr">
        <is>
          <t>TK</t>
        </is>
      </c>
      <c r="H5" t="inlineStr">
        <is>
          <t>TK - klatki piersiowej z kontrastem</t>
        </is>
      </c>
      <c r="I5" t="inlineStr">
        <is>
          <t>TK Onkologia</t>
        </is>
      </c>
      <c r="J5" t="inlineStr">
        <is>
          <t>1 okolica anatomiczna</t>
        </is>
      </c>
      <c r="K5" t="inlineStr">
        <is>
          <t>Tomasz Bujalski</t>
        </is>
      </c>
      <c r="L5" t="inlineStr">
        <is>
          <t> </t>
        </is>
      </c>
      <c r="M5" t="inlineStr">
        <is>
          <t>SAMODZIELNY PUBLICZNY ZAKŁAD OPIEKI ZDROWOTNEJ W PRZEWORSKU</t>
        </is>
      </c>
      <c r="N5" t="inlineStr">
        <is>
          <t>Izba przyjęć z Ambulatorium Ogólnym i Zabiegowym</t>
        </is>
      </c>
      <c r="O5" t="inlineStr">
        <is>
          <t>Paweł Kasprzyk</t>
        </is>
      </c>
      <c r="P5" t="inlineStr">
        <is>
          <t>4506039</t>
        </is>
      </c>
      <c r="Q5" t="inlineStr">
        <is>
          <t> </t>
        </is>
      </c>
      <c r="R5" t="inlineStr">
        <is>
          <t>almed</t>
        </is>
      </c>
      <c r="S5" s="1" t="n">
        <v>46165.44861111111</v>
      </c>
      <c r="T5" t="n">
        <v>0</v>
      </c>
      <c r="U5" t="inlineStr">
        <is>
          <t>BUJALSKI TOMASZ</t>
        </is>
      </c>
    </row>
    <row r="6">
      <c r="A6" s="1" t="n">
        <v>46165</v>
      </c>
      <c r="B6" t="inlineStr">
        <is>
          <t>TK/26/2227</t>
        </is>
      </c>
      <c r="C6" t="inlineStr">
        <is>
          <t>Zofia Weselak</t>
        </is>
      </c>
      <c r="D6" t="n">
        <v>29051516542</v>
      </c>
      <c r="E6" s="1" t="n">
        <v>46165</v>
      </c>
      <c r="F6" t="inlineStr">
        <is>
          <t>CITO-CITO</t>
        </is>
      </c>
      <c r="G6" t="inlineStr">
        <is>
          <t>TK</t>
        </is>
      </c>
      <c r="H6" t="inlineStr">
        <is>
          <t>TK - kręgosłupa odc. L/S</t>
        </is>
      </c>
      <c r="I6" t="inlineStr">
        <is>
          <t>TK Zwykłe</t>
        </is>
      </c>
      <c r="J6" t="inlineStr">
        <is>
          <t>1 okolica anatomiczna</t>
        </is>
      </c>
      <c r="K6" t="inlineStr">
        <is>
          <t>Tomasz Bujalski</t>
        </is>
      </c>
      <c r="L6" t="inlineStr">
        <is>
          <t> </t>
        </is>
      </c>
      <c r="M6" t="inlineStr">
        <is>
          <t>SAMODZIELNY PUBLICZNY ZAKŁAD OPIEKI ZDROWOTNEJ W PRZEWORSKU</t>
        </is>
      </c>
      <c r="N6" t="inlineStr">
        <is>
          <t>Izba przyjęć z Ambulatorium Ogólnym i Zabiegowym</t>
        </is>
      </c>
      <c r="O6" t="inlineStr">
        <is>
          <t>Maryna Onyshchenko</t>
        </is>
      </c>
      <c r="P6" t="inlineStr">
        <is>
          <t>4134470</t>
        </is>
      </c>
      <c r="Q6" t="inlineStr">
        <is>
          <t> </t>
        </is>
      </c>
      <c r="R6" t="inlineStr">
        <is>
          <t>almed</t>
        </is>
      </c>
      <c r="S6" s="1" t="n">
        <v>46165.50694444445</v>
      </c>
      <c r="T6" t="n">
        <v>0</v>
      </c>
      <c r="U6" t="inlineStr">
        <is>
          <t>BUJALSKI TOMASZ</t>
        </is>
      </c>
    </row>
    <row r="7">
      <c r="A7" s="1" t="n">
        <v>46165</v>
      </c>
      <c r="B7" t="inlineStr">
        <is>
          <t>TK/26/2228</t>
        </is>
      </c>
      <c r="C7" t="inlineStr">
        <is>
          <t>Augustyn Czerwonka</t>
        </is>
      </c>
      <c r="D7" t="n">
        <v>52052801535</v>
      </c>
      <c r="E7" s="1" t="n">
        <v>46165</v>
      </c>
      <c r="F7" t="inlineStr">
        <is>
          <t>CITO-CITO</t>
        </is>
      </c>
      <c r="G7" t="inlineStr">
        <is>
          <t>TK</t>
        </is>
      </c>
      <c r="H7" t="inlineStr">
        <is>
          <t>TK - głowy</t>
        </is>
      </c>
      <c r="I7" t="inlineStr">
        <is>
          <t>TK Zwykłe</t>
        </is>
      </c>
      <c r="J7" t="inlineStr">
        <is>
          <t>1 okolica anatomiczna</t>
        </is>
      </c>
      <c r="K7" t="inlineStr">
        <is>
          <t>Tomasz Bujalski</t>
        </is>
      </c>
      <c r="L7" t="inlineStr">
        <is>
          <t> </t>
        </is>
      </c>
      <c r="M7" t="inlineStr">
        <is>
          <t>SAMODZIELNY PUBLICZNY ZAKŁAD OPIEKI ZDROWOTNEJ W PRZEWORSKU</t>
        </is>
      </c>
      <c r="N7" t="inlineStr">
        <is>
          <t>Izba przyjęć z Ambulatorium Ogólnym i Zabiegowym</t>
        </is>
      </c>
      <c r="O7" t="inlineStr">
        <is>
          <t>Maryna Onyshchenko</t>
        </is>
      </c>
      <c r="P7" t="inlineStr">
        <is>
          <t>4134470</t>
        </is>
      </c>
      <c r="Q7" t="inlineStr">
        <is>
          <t> </t>
        </is>
      </c>
      <c r="R7" t="inlineStr">
        <is>
          <t>almed</t>
        </is>
      </c>
      <c r="S7" s="1" t="n">
        <v>46165.60902777778</v>
      </c>
      <c r="T7" t="n">
        <v>1</v>
      </c>
      <c r="U7" t="inlineStr">
        <is>
          <t>BUJALSKI TOMASZ</t>
        </is>
      </c>
    </row>
    <row r="8">
      <c r="A8" s="1" t="n">
        <v>46165</v>
      </c>
      <c r="B8" t="inlineStr">
        <is>
          <t>TK/26/2229</t>
        </is>
      </c>
      <c r="C8" t="inlineStr">
        <is>
          <t>Anna Pelc</t>
        </is>
      </c>
      <c r="D8" t="n">
        <v>74091915383</v>
      </c>
      <c r="E8" s="1" t="n">
        <v>46165</v>
      </c>
      <c r="F8" t="inlineStr">
        <is>
          <t>CITO-CITO</t>
        </is>
      </c>
      <c r="G8" t="inlineStr">
        <is>
          <t>TK</t>
        </is>
      </c>
      <c r="H8" t="inlineStr">
        <is>
          <t>TK - głowy</t>
        </is>
      </c>
      <c r="I8" t="inlineStr">
        <is>
          <t>TK Zwykłe</t>
        </is>
      </c>
      <c r="J8" t="inlineStr">
        <is>
          <t>1 okolica anatomiczna</t>
        </is>
      </c>
      <c r="K8" t="inlineStr">
        <is>
          <t>Tomasz Bujalski</t>
        </is>
      </c>
      <c r="L8" t="inlineStr">
        <is>
          <t> </t>
        </is>
      </c>
      <c r="M8" t="inlineStr">
        <is>
          <t>SAMODZIELNY PUBLICZNY ZAKŁAD OPIEKI ZDROWOTNEJ W PRZEWORSKU</t>
        </is>
      </c>
      <c r="N8" t="inlineStr">
        <is>
          <t>Izba przyjęć z Ambulatorium Ogólnym i Zabiegowym</t>
        </is>
      </c>
      <c r="O8" t="inlineStr">
        <is>
          <t>Maryna Onyshchenko</t>
        </is>
      </c>
      <c r="P8" t="inlineStr">
        <is>
          <t>4134470</t>
        </is>
      </c>
      <c r="Q8" t="inlineStr">
        <is>
          <t> </t>
        </is>
      </c>
      <c r="R8" t="inlineStr">
        <is>
          <t>almed</t>
        </is>
      </c>
      <c r="S8" s="1" t="n">
        <v>46165.64652777778</v>
      </c>
      <c r="T8" t="n">
        <v>1</v>
      </c>
      <c r="U8" t="inlineStr">
        <is>
          <t>BUJALSKI TOMASZ</t>
        </is>
      </c>
    </row>
    <row r="9">
      <c r="A9" s="1" t="n">
        <v>46171</v>
      </c>
      <c r="B9" t="inlineStr">
        <is>
          <t>TK/26/2321</t>
        </is>
      </c>
      <c r="C9" t="inlineStr">
        <is>
          <t>Robert Pulchny</t>
        </is>
      </c>
      <c r="D9" t="n">
        <v>66040113133</v>
      </c>
      <c r="E9" s="1" t="n">
        <v>46170</v>
      </c>
      <c r="F9" t="inlineStr">
        <is>
          <t>Pilny</t>
        </is>
      </c>
      <c r="G9" t="inlineStr">
        <is>
          <t>TK</t>
        </is>
      </c>
      <c r="H9" t="inlineStr">
        <is>
          <t>TK - klatki piersiowej bez i ze środkiem kontrastowym</t>
        </is>
      </c>
      <c r="I9" t="inlineStr">
        <is>
          <t>TK Onkologia</t>
        </is>
      </c>
      <c r="J9" t="inlineStr">
        <is>
          <t>1 okolica anatomiczna</t>
        </is>
      </c>
      <c r="K9" t="inlineStr">
        <is>
          <t>Tomasz Bujalski</t>
        </is>
      </c>
      <c r="L9" t="inlineStr">
        <is>
          <t> </t>
        </is>
      </c>
      <c r="M9" t="inlineStr">
        <is>
          <t>SAMODZIELNY PUBLICZNY ZAKŁAD OPIEKI ZDROWOTNEJ W PRZEWORSKU</t>
        </is>
      </c>
      <c r="N9" t="inlineStr">
        <is>
          <t>Oddział chorób wewnętrznych</t>
        </is>
      </c>
      <c r="O9" t="inlineStr">
        <is>
          <t>Paulina Majkut</t>
        </is>
      </c>
      <c r="P9" t="inlineStr">
        <is>
          <t>2037667</t>
        </is>
      </c>
      <c r="Q9" t="inlineStr">
        <is>
          <t> </t>
        </is>
      </c>
      <c r="R9" t="inlineStr">
        <is>
          <t>almed</t>
        </is>
      </c>
      <c r="S9" s="1" t="n">
        <v>46170.49236111111</v>
      </c>
      <c r="T9" t="n">
        <v>0</v>
      </c>
      <c r="U9" t="inlineStr">
        <is>
          <t>BUJALSKI TOMASZ</t>
        </is>
      </c>
    </row>
    <row r="10">
      <c r="A10" s="1" t="n">
        <v>46149</v>
      </c>
      <c r="B10" t="inlineStr">
        <is>
          <t>CN12383633</t>
        </is>
      </c>
      <c r="C10" t="inlineStr">
        <is>
          <t>ALICJA KUJAWSKA</t>
        </is>
      </c>
      <c r="D10" t="n">
        <v>48050113888</v>
      </c>
      <c r="E10" s="1" t="n">
        <v>46149</v>
      </c>
      <c r="F10" t="inlineStr">
        <is>
          <t>CITO-CITO</t>
        </is>
      </c>
      <c r="G10" t="inlineStr">
        <is>
          <t>TK</t>
        </is>
      </c>
      <c r="H10" t="inlineStr">
        <is>
          <t>TK j.brzusznej i miednicy</t>
        </is>
      </c>
      <c r="I10" t="inlineStr">
        <is>
          <t>TK Zwykłe</t>
        </is>
      </c>
      <c r="J10" t="inlineStr">
        <is>
          <t>2 okolice anatomiczne</t>
        </is>
      </c>
      <c r="K10" t="inlineStr">
        <is>
          <t>Tomasz Bujalski</t>
        </is>
      </c>
      <c r="L10" t="inlineStr">
        <is>
          <t> </t>
        </is>
      </c>
      <c r="M10" t="inlineStr">
        <is>
          <t>Regionalne Centrum Medyczne w Białogardzie Spółka z ograniczoną odpowiedzialnością</t>
        </is>
      </c>
      <c r="N10" t="inlineStr">
        <is>
          <t>Izba Przyjęć Ogólna</t>
        </is>
      </c>
      <c r="O10" t="inlineStr">
        <is>
          <t>Mikhail Kuhayeu</t>
        </is>
      </c>
      <c r="P10" t="inlineStr">
        <is>
          <t>3740568</t>
        </is>
      </c>
      <c r="Q10" t="inlineStr">
        <is>
          <t> </t>
        </is>
      </c>
      <c r="R10" t="inlineStr">
        <is>
          <t>bialogard</t>
        </is>
      </c>
      <c r="S10" s="1" t="n">
        <v>46149.12569444445</v>
      </c>
      <c r="T10" t="n">
        <v>0</v>
      </c>
      <c r="U10" t="inlineStr">
        <is>
          <t>BUJALSKI TOMASZ</t>
        </is>
      </c>
    </row>
    <row r="11">
      <c r="A11" s="1" t="n">
        <v>46156</v>
      </c>
      <c r="B11" t="inlineStr">
        <is>
          <t>CN12426348</t>
        </is>
      </c>
      <c r="C11" t="inlineStr">
        <is>
          <t>ZENON BRZESZCZAK</t>
        </is>
      </c>
      <c r="D11" t="n">
        <v>51070302958</v>
      </c>
      <c r="E11" s="1" t="n">
        <v>46156</v>
      </c>
      <c r="F11" t="inlineStr">
        <is>
          <t>CITO-CITO</t>
        </is>
      </c>
      <c r="G11" t="inlineStr">
        <is>
          <t>TK</t>
        </is>
      </c>
      <c r="H11" t="inlineStr">
        <is>
          <t>TK głowy</t>
        </is>
      </c>
      <c r="I11" t="inlineStr">
        <is>
          <t>TK Onkologia</t>
        </is>
      </c>
      <c r="J11" t="inlineStr">
        <is>
          <t>1 okolica anatomiczna</t>
        </is>
      </c>
      <c r="K11" t="inlineStr">
        <is>
          <t>Tomasz Bujalski</t>
        </is>
      </c>
      <c r="L11" t="inlineStr">
        <is>
          <t> </t>
        </is>
      </c>
      <c r="M11" t="inlineStr">
        <is>
          <t>Regionalne Centrum Medyczne w Białogardzie Spółka z ograniczoną odpowiedzialnością</t>
        </is>
      </c>
      <c r="N11" t="inlineStr">
        <is>
          <t>Izba Przyjęć Ogólna</t>
        </is>
      </c>
      <c r="O11" t="inlineStr">
        <is>
          <t>Paweł Król</t>
        </is>
      </c>
      <c r="P11" t="inlineStr">
        <is>
          <t>6718516</t>
        </is>
      </c>
      <c r="Q11" t="inlineStr">
        <is>
          <t> </t>
        </is>
      </c>
      <c r="R11" t="inlineStr">
        <is>
          <t>bialogard</t>
        </is>
      </c>
      <c r="S11" s="1" t="n">
        <v>46156.40763888889</v>
      </c>
      <c r="T11" t="n">
        <v>1</v>
      </c>
      <c r="U11" t="inlineStr">
        <is>
          <t>BUJALSKI TOMASZ</t>
        </is>
      </c>
    </row>
    <row r="12">
      <c r="A12" s="1" t="n">
        <v>46156</v>
      </c>
      <c r="B12" t="inlineStr">
        <is>
          <t>CN12427910</t>
        </is>
      </c>
      <c r="C12" t="inlineStr">
        <is>
          <t>ALEKSANDRA TRZECIAKIEWICZ</t>
        </is>
      </c>
      <c r="D12" t="n">
        <v>49052105967</v>
      </c>
      <c r="E12" s="1" t="n">
        <v>46156</v>
      </c>
      <c r="F12" t="inlineStr">
        <is>
          <t>CITO-CITO</t>
        </is>
      </c>
      <c r="G12" t="inlineStr">
        <is>
          <t>TK</t>
        </is>
      </c>
      <c r="H12" t="inlineStr">
        <is>
          <t>TK głowy</t>
        </is>
      </c>
      <c r="I12" t="inlineStr">
        <is>
          <t>TK Onkologia</t>
        </is>
      </c>
      <c r="J12" t="inlineStr">
        <is>
          <t>1 okolica anatomiczna</t>
        </is>
      </c>
      <c r="K12" t="inlineStr">
        <is>
          <t>Tomasz Bujalski</t>
        </is>
      </c>
      <c r="L12" t="inlineStr">
        <is>
          <t> </t>
        </is>
      </c>
      <c r="M12" t="inlineStr">
        <is>
          <t>Regionalne Centrum Medyczne w Białogardzie Spółka z ograniczoną odpowiedzialnością</t>
        </is>
      </c>
      <c r="N12" t="inlineStr">
        <is>
          <t>Izba Przyjęć Ogólna</t>
        </is>
      </c>
      <c r="O12" t="inlineStr">
        <is>
          <t>Paweł Król</t>
        </is>
      </c>
      <c r="P12" t="inlineStr">
        <is>
          <t>6718516</t>
        </is>
      </c>
      <c r="Q12" t="inlineStr">
        <is>
          <t> </t>
        </is>
      </c>
      <c r="R12" t="inlineStr">
        <is>
          <t>bialogard</t>
        </is>
      </c>
      <c r="S12" s="1" t="n">
        <v>46156.44375</v>
      </c>
      <c r="T12" t="n">
        <v>0</v>
      </c>
      <c r="U12" t="inlineStr">
        <is>
          <t>BUJALSKI TOMASZ</t>
        </is>
      </c>
    </row>
    <row r="13">
      <c r="A13" s="1" t="n">
        <v>46165</v>
      </c>
      <c r="B13" t="inlineStr">
        <is>
          <t>CN12478019</t>
        </is>
      </c>
      <c r="C13" t="inlineStr">
        <is>
          <t>MARIA KOSIOR</t>
        </is>
      </c>
      <c r="D13" t="n">
        <v>40122503922</v>
      </c>
      <c r="E13" s="1" t="n">
        <v>46165</v>
      </c>
      <c r="F13" t="inlineStr">
        <is>
          <t>CITO-CITO</t>
        </is>
      </c>
      <c r="G13" t="inlineStr">
        <is>
          <t>TK</t>
        </is>
      </c>
      <c r="H13" t="inlineStr">
        <is>
          <t>TK angio klatki piersiowej</t>
        </is>
      </c>
      <c r="I13" t="inlineStr">
        <is>
          <t>TK Angiografia</t>
        </is>
      </c>
      <c r="J13" t="inlineStr">
        <is>
          <t>1 okolica anatomiczna</t>
        </is>
      </c>
      <c r="K13" t="inlineStr">
        <is>
          <t>Tomasz Bujalski</t>
        </is>
      </c>
      <c r="L13" t="inlineStr">
        <is>
          <t> </t>
        </is>
      </c>
      <c r="M13" t="inlineStr">
        <is>
          <t>Regionalne Centrum Medyczne w Białogardzie Spółka z ograniczoną odpowiedzialnością</t>
        </is>
      </c>
      <c r="N13" t="inlineStr">
        <is>
          <t>Izba Przyjęć Ogólna</t>
        </is>
      </c>
      <c r="O13" t="inlineStr">
        <is>
          <t>Przemysław Krzyżanowski</t>
        </is>
      </c>
      <c r="P13" t="inlineStr">
        <is>
          <t>2743125</t>
        </is>
      </c>
      <c r="Q13" t="inlineStr">
        <is>
          <t> </t>
        </is>
      </c>
      <c r="R13" t="inlineStr">
        <is>
          <t>bialogard</t>
        </is>
      </c>
      <c r="S13" s="1" t="n">
        <v>46165.62986111111</v>
      </c>
      <c r="T13" t="n">
        <v>1</v>
      </c>
      <c r="U13" t="inlineStr">
        <is>
          <t>BUJALSKI TOMASZ</t>
        </is>
      </c>
    </row>
    <row r="14">
      <c r="A14" s="1" t="n">
        <v>46168</v>
      </c>
      <c r="B14" t="inlineStr">
        <is>
          <t>CN12477082</t>
        </is>
      </c>
      <c r="C14" t="inlineStr">
        <is>
          <t>JOZEF PECAK</t>
        </is>
      </c>
      <c r="D14" t="n">
        <v>56080704718</v>
      </c>
      <c r="E14" s="1" t="n">
        <v>46164</v>
      </c>
      <c r="F14" t="inlineStr">
        <is>
          <t>CITO-CITO</t>
        </is>
      </c>
      <c r="G14" t="inlineStr">
        <is>
          <t>TK</t>
        </is>
      </c>
      <c r="H14" t="inlineStr">
        <is>
          <t>TK szyi z kontrastem</t>
        </is>
      </c>
      <c r="I14" t="inlineStr">
        <is>
          <t>TK Onkologia</t>
        </is>
      </c>
      <c r="J14" t="inlineStr">
        <is>
          <t>1 okolica anatomiczna</t>
        </is>
      </c>
      <c r="K14" t="inlineStr">
        <is>
          <t>Tomasz Bujalski</t>
        </is>
      </c>
      <c r="L14" t="inlineStr">
        <is>
          <t> </t>
        </is>
      </c>
      <c r="M14" t="inlineStr">
        <is>
          <t>Regionalne Centrum Medyczne w Białogardzie Spółka z ograniczoną odpowiedzialnością</t>
        </is>
      </c>
      <c r="N14" t="inlineStr">
        <is>
          <t>Izba Przyjęć Ogólna</t>
        </is>
      </c>
      <c r="O14" t="inlineStr">
        <is>
          <t>Przemysław Krzyżanowski</t>
        </is>
      </c>
      <c r="P14" t="inlineStr">
        <is>
          <t>2743125</t>
        </is>
      </c>
      <c r="Q14" t="inlineStr">
        <is>
          <t> </t>
        </is>
      </c>
      <c r="R14" t="inlineStr">
        <is>
          <t>bialogard</t>
        </is>
      </c>
      <c r="S14" s="1" t="n">
        <v>46168.43263888889</v>
      </c>
      <c r="T14" t="n">
        <v>1</v>
      </c>
      <c r="U14" t="inlineStr">
        <is>
          <t>BUJALSKI TOMASZ</t>
        </is>
      </c>
    </row>
    <row r="15">
      <c r="A15" s="1" t="n">
        <v>46168</v>
      </c>
      <c r="B15" t="inlineStr">
        <is>
          <t>CN12488708</t>
        </is>
      </c>
      <c r="C15" t="inlineStr">
        <is>
          <t>HENRYK WIKTOROWICZ</t>
        </is>
      </c>
      <c r="D15" t="n">
        <v>49012406231</v>
      </c>
      <c r="E15" s="1" t="n">
        <v>46168</v>
      </c>
      <c r="F15" t="inlineStr">
        <is>
          <t>Pilny</t>
        </is>
      </c>
      <c r="G15" t="inlineStr">
        <is>
          <t>TK</t>
        </is>
      </c>
      <c r="H15" t="inlineStr">
        <is>
          <t>TK głowy</t>
        </is>
      </c>
      <c r="I15" t="inlineStr">
        <is>
          <t>TK Onkologia</t>
        </is>
      </c>
      <c r="J15" t="inlineStr">
        <is>
          <t>1 okolica anatomiczna</t>
        </is>
      </c>
      <c r="K15" t="inlineStr">
        <is>
          <t>Tomasz Bujalski</t>
        </is>
      </c>
      <c r="L15" t="inlineStr">
        <is>
          <t> </t>
        </is>
      </c>
      <c r="M15" t="inlineStr">
        <is>
          <t>Regionalne Centrum Medyczne w Białogardzie Spółka z ograniczoną odpowiedzialnością</t>
        </is>
      </c>
      <c r="N15" t="inlineStr">
        <is>
          <t>Oddział psychosomatyczny</t>
        </is>
      </c>
      <c r="O15" t="inlineStr">
        <is>
          <t>Szymon Bajer</t>
        </is>
      </c>
      <c r="P15" t="inlineStr">
        <is>
          <t>2241743</t>
        </is>
      </c>
      <c r="Q15" t="inlineStr">
        <is>
          <t> </t>
        </is>
      </c>
      <c r="R15" t="inlineStr">
        <is>
          <t>bialogard</t>
        </is>
      </c>
      <c r="S15" s="1" t="n">
        <v>46168.29444444444</v>
      </c>
      <c r="T15" t="n">
        <v>0</v>
      </c>
      <c r="U15" t="inlineStr">
        <is>
          <t>BUJALSKI TOMASZ</t>
        </is>
      </c>
    </row>
    <row r="16">
      <c r="A16" s="1" t="n">
        <v>46171</v>
      </c>
      <c r="B16" t="inlineStr">
        <is>
          <t>CN12492648</t>
        </is>
      </c>
      <c r="C16" t="inlineStr">
        <is>
          <t>ANNA JAREMKO</t>
        </is>
      </c>
      <c r="D16" t="n">
        <v>50013010563</v>
      </c>
      <c r="E16" s="1" t="n">
        <v>46168</v>
      </c>
      <c r="F16" t="inlineStr">
        <is>
          <t>Pilny</t>
        </is>
      </c>
      <c r="G16" t="inlineStr">
        <is>
          <t>TK</t>
        </is>
      </c>
      <c r="H16" t="inlineStr">
        <is>
          <t>TK klatki piersiowej</t>
        </is>
      </c>
      <c r="I16" t="inlineStr">
        <is>
          <t>TK Zwykłe</t>
        </is>
      </c>
      <c r="J16" t="inlineStr">
        <is>
          <t>1 okolica anatomiczna</t>
        </is>
      </c>
      <c r="K16" t="inlineStr">
        <is>
          <t>Tomasz Bujalski</t>
        </is>
      </c>
      <c r="L16" t="inlineStr">
        <is>
          <t> </t>
        </is>
      </c>
      <c r="M16" t="inlineStr">
        <is>
          <t>Regionalne Centrum Medyczne w Białogardzie Spółka z ograniczoną odpowiedzialnością</t>
        </is>
      </c>
      <c r="N16" t="inlineStr">
        <is>
          <t>Oddział Wewnętrzny</t>
        </is>
      </c>
      <c r="O16" t="inlineStr">
        <is>
          <t>Mirosława Dudzicz</t>
        </is>
      </c>
      <c r="P16" t="inlineStr">
        <is>
          <t>6734304</t>
        </is>
      </c>
      <c r="Q16" t="inlineStr">
        <is>
          <t> </t>
        </is>
      </c>
      <c r="R16" t="inlineStr">
        <is>
          <t>bialogard</t>
        </is>
      </c>
      <c r="S16" s="1" t="n">
        <v>46169.75069444445</v>
      </c>
      <c r="T16" t="n">
        <v>1</v>
      </c>
      <c r="U16" t="inlineStr">
        <is>
          <t>BUJALSKI TOMASZ</t>
        </is>
      </c>
    </row>
    <row r="17">
      <c r="A17" s="1" t="n">
        <v>46149</v>
      </c>
      <c r="B17" t="inlineStr">
        <is>
          <t>1255387_1547</t>
        </is>
      </c>
      <c r="C17" t="inlineStr">
        <is>
          <t>BOGUSLAW SWIATKOWSKI</t>
        </is>
      </c>
      <c r="D17" t="inlineStr">
        <is>
          <t>53092618150</t>
        </is>
      </c>
      <c r="E17" s="1" t="n">
        <v>46149</v>
      </c>
      <c r="F17" t="inlineStr">
        <is>
          <t>CITO-CITO</t>
        </is>
      </c>
      <c r="G17" t="inlineStr">
        <is>
          <t>TK</t>
        </is>
      </c>
      <c r="H17" t="inlineStr">
        <is>
          <t>TK angio klatki piersiowej</t>
        </is>
      </c>
      <c r="I17" t="inlineStr">
        <is>
          <t>TK Angiografia</t>
        </is>
      </c>
      <c r="J17" t="inlineStr">
        <is>
          <t>1 okolica anatomiczna</t>
        </is>
      </c>
      <c r="K17" t="inlineStr">
        <is>
          <t>Tomasz Bujalski</t>
        </is>
      </c>
      <c r="L17" t="inlineStr">
        <is>
          <t> </t>
        </is>
      </c>
      <c r="M17" t="inlineStr">
        <is>
          <t> </t>
        </is>
      </c>
      <c r="N17" t="inlineStr">
        <is>
          <t> </t>
        </is>
      </c>
      <c r="O17" t="inlineStr">
        <is>
          <t> </t>
        </is>
      </c>
      <c r="P17" t="inlineStr">
        <is>
          <t> </t>
        </is>
      </c>
      <c r="Q17" t="inlineStr">
        <is>
          <t> </t>
        </is>
      </c>
      <c r="R17" t="inlineStr">
        <is>
          <t>brodnica</t>
        </is>
      </c>
      <c r="S17" s="1" t="n">
        <v>46149.38333333333</v>
      </c>
      <c r="T17" t="n">
        <v>0</v>
      </c>
      <c r="U17" t="inlineStr">
        <is>
          <t>BUJALSKI TOMASZ</t>
        </is>
      </c>
    </row>
    <row r="18">
      <c r="A18" s="1" t="n">
        <v>46151</v>
      </c>
      <c r="B18" t="inlineStr">
        <is>
          <t>1256011_2137</t>
        </is>
      </c>
      <c r="C18" t="inlineStr">
        <is>
          <t>BEATA RUMINSKA</t>
        </is>
      </c>
      <c r="D18" t="inlineStr">
        <is>
          <t>70050211983</t>
        </is>
      </c>
      <c r="E18" s="1" t="n">
        <v>46151</v>
      </c>
      <c r="F18" t="inlineStr">
        <is>
          <t>CITO-CITO</t>
        </is>
      </c>
      <c r="G18" t="inlineStr">
        <is>
          <t>TK</t>
        </is>
      </c>
      <c r="H18" t="inlineStr">
        <is>
          <t>TK głowy z kontrastem</t>
        </is>
      </c>
      <c r="I18" t="inlineStr">
        <is>
          <t>TK Onkologia</t>
        </is>
      </c>
      <c r="J18" t="inlineStr">
        <is>
          <t>1 okolica anatomiczna</t>
        </is>
      </c>
      <c r="K18" t="inlineStr">
        <is>
          <t>Tomasz Bujalski</t>
        </is>
      </c>
      <c r="L18" t="inlineStr">
        <is>
          <t> </t>
        </is>
      </c>
      <c r="M18" t="inlineStr">
        <is>
          <t> </t>
        </is>
      </c>
      <c r="N18" t="inlineStr">
        <is>
          <t> </t>
        </is>
      </c>
      <c r="O18" t="inlineStr">
        <is>
          <t> </t>
        </is>
      </c>
      <c r="P18" t="inlineStr">
        <is>
          <t> </t>
        </is>
      </c>
      <c r="Q18" t="inlineStr">
        <is>
          <t> </t>
        </is>
      </c>
      <c r="R18" t="inlineStr">
        <is>
          <t>brodnica</t>
        </is>
      </c>
      <c r="S18" s="1" t="n">
        <v>46151.62847222222</v>
      </c>
      <c r="T18" t="n">
        <v>0</v>
      </c>
      <c r="U18" t="inlineStr">
        <is>
          <t>BUJALSKI TOMASZ</t>
        </is>
      </c>
    </row>
    <row r="19">
      <c r="A19" s="1" t="n">
        <v>46152</v>
      </c>
      <c r="B19" t="inlineStr">
        <is>
          <t>1256067_2136</t>
        </is>
      </c>
      <c r="C19" t="inlineStr">
        <is>
          <t>KRZYSZTOF JABLONSKI</t>
        </is>
      </c>
      <c r="D19" t="inlineStr">
        <is>
          <t>80111010978</t>
        </is>
      </c>
      <c r="E19" s="1" t="n">
        <v>46152</v>
      </c>
      <c r="F19" t="inlineStr">
        <is>
          <t>CITO-CITO</t>
        </is>
      </c>
      <c r="G19" t="inlineStr">
        <is>
          <t>TK</t>
        </is>
      </c>
      <c r="H19" t="inlineStr">
        <is>
          <t>TK głowy</t>
        </is>
      </c>
      <c r="I19" t="inlineStr">
        <is>
          <t>TK Onkologia</t>
        </is>
      </c>
      <c r="J19" t="inlineStr">
        <is>
          <t>1 okolica anatomiczna</t>
        </is>
      </c>
      <c r="K19" t="inlineStr">
        <is>
          <t>Tomasz Bujalski</t>
        </is>
      </c>
      <c r="L19" t="inlineStr">
        <is>
          <t> </t>
        </is>
      </c>
      <c r="M19" t="inlineStr">
        <is>
          <t> </t>
        </is>
      </c>
      <c r="N19" t="inlineStr">
        <is>
          <t> </t>
        </is>
      </c>
      <c r="O19" t="inlineStr">
        <is>
          <t> </t>
        </is>
      </c>
      <c r="P19" t="inlineStr">
        <is>
          <t> </t>
        </is>
      </c>
      <c r="Q19" t="inlineStr">
        <is>
          <t> </t>
        </is>
      </c>
      <c r="R19" t="inlineStr">
        <is>
          <t>brodnica</t>
        </is>
      </c>
      <c r="S19" s="1" t="n">
        <v>46152.63402777778</v>
      </c>
      <c r="T19" t="n">
        <v>0</v>
      </c>
      <c r="U19" t="inlineStr">
        <is>
          <t>BUJALSKI TOMASZ</t>
        </is>
      </c>
    </row>
    <row r="20">
      <c r="A20" s="1" t="n">
        <v>46154</v>
      </c>
      <c r="B20" t="inlineStr">
        <is>
          <t>1256687_2142</t>
        </is>
      </c>
      <c r="C20" t="inlineStr">
        <is>
          <t>MARTA WOJNOWSKA</t>
        </is>
      </c>
      <c r="D20" t="inlineStr">
        <is>
          <t>80122316005</t>
        </is>
      </c>
      <c r="E20" s="1" t="n">
        <v>46154</v>
      </c>
      <c r="F20" t="inlineStr">
        <is>
          <t>CITO-CITO</t>
        </is>
      </c>
      <c r="G20" t="inlineStr">
        <is>
          <t>TK</t>
        </is>
      </c>
      <c r="H20" t="inlineStr">
        <is>
          <t>TK głowy</t>
        </is>
      </c>
      <c r="I20" t="inlineStr">
        <is>
          <t>TK Onkologia</t>
        </is>
      </c>
      <c r="J20" t="inlineStr">
        <is>
          <t>1 okolica anatomiczna</t>
        </is>
      </c>
      <c r="K20" t="inlineStr">
        <is>
          <t>Tomasz Bujalski</t>
        </is>
      </c>
      <c r="L20" t="inlineStr">
        <is>
          <t> </t>
        </is>
      </c>
      <c r="M20" t="inlineStr">
        <is>
          <t> </t>
        </is>
      </c>
      <c r="N20" t="inlineStr">
        <is>
          <t> </t>
        </is>
      </c>
      <c r="O20" t="inlineStr">
        <is>
          <t> </t>
        </is>
      </c>
      <c r="P20" t="inlineStr">
        <is>
          <t> </t>
        </is>
      </c>
      <c r="Q20" t="inlineStr">
        <is>
          <t> </t>
        </is>
      </c>
      <c r="R20" t="inlineStr">
        <is>
          <t>brodnica</t>
        </is>
      </c>
      <c r="S20" s="1" t="n">
        <v>46154.35486111111</v>
      </c>
      <c r="T20" t="n">
        <v>0</v>
      </c>
      <c r="U20" t="inlineStr">
        <is>
          <t>BUJALSKI TOMASZ</t>
        </is>
      </c>
    </row>
    <row r="21">
      <c r="A21" s="1" t="n">
        <v>46154</v>
      </c>
      <c r="B21" t="inlineStr">
        <is>
          <t>1256687_2142</t>
        </is>
      </c>
      <c r="C21" t="inlineStr">
        <is>
          <t>MARTA WOJNOWSKA</t>
        </is>
      </c>
      <c r="D21" t="inlineStr">
        <is>
          <t>80122316005</t>
        </is>
      </c>
      <c r="E21" s="1" t="n">
        <v>46154</v>
      </c>
      <c r="F21" t="inlineStr">
        <is>
          <t>CITO-CITO</t>
        </is>
      </c>
      <c r="G21" t="inlineStr">
        <is>
          <t>TK</t>
        </is>
      </c>
      <c r="H21" t="inlineStr">
        <is>
          <t>TK szyi</t>
        </is>
      </c>
      <c r="I21" t="inlineStr">
        <is>
          <t>TK Onkologia</t>
        </is>
      </c>
      <c r="J21" t="inlineStr">
        <is>
          <t>1 okolica anatomiczna</t>
        </is>
      </c>
      <c r="K21" t="inlineStr">
        <is>
          <t>Tomasz Bujalski</t>
        </is>
      </c>
      <c r="L21" t="inlineStr">
        <is>
          <t> </t>
        </is>
      </c>
      <c r="M21" t="inlineStr">
        <is>
          <t> </t>
        </is>
      </c>
      <c r="N21" t="inlineStr">
        <is>
          <t> </t>
        </is>
      </c>
      <c r="O21" t="inlineStr">
        <is>
          <t> </t>
        </is>
      </c>
      <c r="P21" t="inlineStr">
        <is>
          <t> </t>
        </is>
      </c>
      <c r="Q21" t="inlineStr">
        <is>
          <t> </t>
        </is>
      </c>
      <c r="R21" t="inlineStr">
        <is>
          <t>brodnica</t>
        </is>
      </c>
      <c r="S21" s="1" t="n">
        <v>46154.35555555556</v>
      </c>
      <c r="T21" t="n">
        <v>0</v>
      </c>
      <c r="U21" t="inlineStr">
        <is>
          <t>BUJALSKI TOMASZ</t>
        </is>
      </c>
    </row>
    <row r="22">
      <c r="A22" s="1" t="n">
        <v>46155</v>
      </c>
      <c r="B22" t="inlineStr">
        <is>
          <t>1257097_2540</t>
        </is>
      </c>
      <c r="C22" t="inlineStr">
        <is>
          <t>LEONTYNA JASKOWSKA</t>
        </is>
      </c>
      <c r="D22" t="inlineStr">
        <is>
          <t>40120108242</t>
        </is>
      </c>
      <c r="E22" s="1" t="n">
        <v>46155</v>
      </c>
      <c r="F22" t="inlineStr">
        <is>
          <t>CITO-CITO</t>
        </is>
      </c>
      <c r="G22" t="inlineStr">
        <is>
          <t>TK</t>
        </is>
      </c>
      <c r="H22" t="inlineStr">
        <is>
          <t>TK j.brzusznej i miednicy</t>
        </is>
      </c>
      <c r="I22" t="inlineStr">
        <is>
          <t>TK Zwykłe</t>
        </is>
      </c>
      <c r="J22" t="inlineStr">
        <is>
          <t>2 okolice anatomiczne</t>
        </is>
      </c>
      <c r="K22" t="inlineStr">
        <is>
          <t>Tomasz Bujalski</t>
        </is>
      </c>
      <c r="L22" t="inlineStr">
        <is>
          <t> </t>
        </is>
      </c>
      <c r="M22" t="inlineStr">
        <is>
          <t> </t>
        </is>
      </c>
      <c r="N22" t="inlineStr">
        <is>
          <t> </t>
        </is>
      </c>
      <c r="O22" t="inlineStr">
        <is>
          <t> </t>
        </is>
      </c>
      <c r="P22" t="inlineStr">
        <is>
          <t> </t>
        </is>
      </c>
      <c r="Q22" t="inlineStr">
        <is>
          <t> </t>
        </is>
      </c>
      <c r="R22" t="inlineStr">
        <is>
          <t>brodnica</t>
        </is>
      </c>
      <c r="S22" s="1" t="n">
        <v>46155.55555555555</v>
      </c>
      <c r="T22" t="n">
        <v>0</v>
      </c>
      <c r="U22" t="inlineStr">
        <is>
          <t>BUJALSKI TOMASZ</t>
        </is>
      </c>
    </row>
    <row r="23">
      <c r="A23" s="1" t="n">
        <v>46160</v>
      </c>
      <c r="B23" t="inlineStr">
        <is>
          <t>1258056_2156</t>
        </is>
      </c>
      <c r="C23" t="inlineStr">
        <is>
          <t>WIOLETA ZAREBSKA</t>
        </is>
      </c>
      <c r="D23" t="inlineStr">
        <is>
          <t>96051709241</t>
        </is>
      </c>
      <c r="E23" s="1" t="n">
        <v>46160</v>
      </c>
      <c r="F23" t="inlineStr">
        <is>
          <t>CITO-CITO</t>
        </is>
      </c>
      <c r="G23" t="inlineStr">
        <is>
          <t>TK</t>
        </is>
      </c>
      <c r="H23" t="inlineStr">
        <is>
          <t>TK j.brzusznej i miednicy z kontrastem</t>
        </is>
      </c>
      <c r="I23" t="inlineStr">
        <is>
          <t>TK Zwykłe</t>
        </is>
      </c>
      <c r="J23" t="inlineStr">
        <is>
          <t>2 okolice anatomiczne</t>
        </is>
      </c>
      <c r="K23" t="inlineStr">
        <is>
          <t>Tomasz Bujalski</t>
        </is>
      </c>
      <c r="L23" t="inlineStr">
        <is>
          <t> </t>
        </is>
      </c>
      <c r="M23" t="inlineStr">
        <is>
          <t> </t>
        </is>
      </c>
      <c r="N23" t="inlineStr">
        <is>
          <t> </t>
        </is>
      </c>
      <c r="O23" t="inlineStr">
        <is>
          <t> </t>
        </is>
      </c>
      <c r="P23" t="inlineStr">
        <is>
          <t> </t>
        </is>
      </c>
      <c r="Q23" t="inlineStr">
        <is>
          <t> </t>
        </is>
      </c>
      <c r="R23" t="inlineStr">
        <is>
          <t>brodnica</t>
        </is>
      </c>
      <c r="S23" s="1" t="n">
        <v>46160.43958333333</v>
      </c>
      <c r="T23" t="n">
        <v>0</v>
      </c>
      <c r="U23" t="inlineStr">
        <is>
          <t>BUJALSKI TOMASZ</t>
        </is>
      </c>
    </row>
    <row r="24">
      <c r="A24" s="1" t="n">
        <v>46160</v>
      </c>
      <c r="B24" t="inlineStr">
        <is>
          <t>1258104_2136</t>
        </is>
      </c>
      <c r="C24" t="inlineStr">
        <is>
          <t>PAWEL WOLENTARSKI</t>
        </is>
      </c>
      <c r="D24" t="inlineStr">
        <is>
          <t>76071715015</t>
        </is>
      </c>
      <c r="E24" s="1" t="n">
        <v>46160</v>
      </c>
      <c r="F24" t="inlineStr">
        <is>
          <t>CITO-CITO</t>
        </is>
      </c>
      <c r="G24" t="inlineStr">
        <is>
          <t>TK</t>
        </is>
      </c>
      <c r="H24" t="inlineStr">
        <is>
          <t>TK głowy</t>
        </is>
      </c>
      <c r="I24" t="inlineStr">
        <is>
          <t>TK Onkologia</t>
        </is>
      </c>
      <c r="J24" t="inlineStr">
        <is>
          <t>1 okolica anatomiczna</t>
        </is>
      </c>
      <c r="K24" t="inlineStr">
        <is>
          <t>Tomasz Bujalski</t>
        </is>
      </c>
      <c r="L24" t="inlineStr">
        <is>
          <t> </t>
        </is>
      </c>
      <c r="M24" t="inlineStr">
        <is>
          <t> </t>
        </is>
      </c>
      <c r="N24" t="inlineStr">
        <is>
          <t> </t>
        </is>
      </c>
      <c r="O24" t="inlineStr">
        <is>
          <t> </t>
        </is>
      </c>
      <c r="P24" t="inlineStr">
        <is>
          <t> </t>
        </is>
      </c>
      <c r="Q24" t="inlineStr">
        <is>
          <t> </t>
        </is>
      </c>
      <c r="R24" t="inlineStr">
        <is>
          <t>brodnica</t>
        </is>
      </c>
      <c r="S24" s="1" t="n">
        <v>46160.61597222222</v>
      </c>
      <c r="T24" t="n">
        <v>0</v>
      </c>
      <c r="U24" t="inlineStr">
        <is>
          <t>BUJALSKI TOMASZ</t>
        </is>
      </c>
    </row>
    <row r="25">
      <c r="A25" s="1" t="n">
        <v>46160</v>
      </c>
      <c r="B25" t="inlineStr">
        <is>
          <t>1258105_2136</t>
        </is>
      </c>
      <c r="C25" t="inlineStr">
        <is>
          <t>RAFAL CHOJNACKI</t>
        </is>
      </c>
      <c r="D25" t="inlineStr">
        <is>
          <t>73070205239</t>
        </is>
      </c>
      <c r="E25" s="1" t="n">
        <v>46160</v>
      </c>
      <c r="F25" t="inlineStr">
        <is>
          <t>CITO-CITO</t>
        </is>
      </c>
      <c r="G25" t="inlineStr">
        <is>
          <t>TK</t>
        </is>
      </c>
      <c r="H25" t="inlineStr">
        <is>
          <t>TK głowy</t>
        </is>
      </c>
      <c r="I25" t="inlineStr">
        <is>
          <t>TK Onkologia</t>
        </is>
      </c>
      <c r="J25" t="inlineStr">
        <is>
          <t>1 okolica anatomiczna</t>
        </is>
      </c>
      <c r="K25" t="inlineStr">
        <is>
          <t>Tomasz Bujalski</t>
        </is>
      </c>
      <c r="L25" t="inlineStr">
        <is>
          <t> </t>
        </is>
      </c>
      <c r="M25" t="inlineStr">
        <is>
          <t> </t>
        </is>
      </c>
      <c r="N25" t="inlineStr">
        <is>
          <t> </t>
        </is>
      </c>
      <c r="O25" t="inlineStr">
        <is>
          <t> </t>
        </is>
      </c>
      <c r="P25" t="inlineStr">
        <is>
          <t> </t>
        </is>
      </c>
      <c r="Q25" t="inlineStr">
        <is>
          <t> </t>
        </is>
      </c>
      <c r="R25" t="inlineStr">
        <is>
          <t>brodnica</t>
        </is>
      </c>
      <c r="S25" s="1" t="n">
        <v>46160.47013888889</v>
      </c>
      <c r="T25" t="n">
        <v>0</v>
      </c>
      <c r="U25" t="inlineStr">
        <is>
          <t>BUJALSKI TOMASZ</t>
        </is>
      </c>
    </row>
    <row r="26">
      <c r="A26" s="1" t="n">
        <v>46160</v>
      </c>
      <c r="B26" t="inlineStr">
        <is>
          <t>1258105_2136</t>
        </is>
      </c>
      <c r="C26" t="inlineStr">
        <is>
          <t>RAFAL CHOJNACKI</t>
        </is>
      </c>
      <c r="D26" t="inlineStr">
        <is>
          <t>73070205239</t>
        </is>
      </c>
      <c r="E26" s="1" t="n">
        <v>46160</v>
      </c>
      <c r="F26" t="inlineStr">
        <is>
          <t>CITO-CITO</t>
        </is>
      </c>
      <c r="G26" t="inlineStr">
        <is>
          <t>TK</t>
        </is>
      </c>
      <c r="H26" t="inlineStr">
        <is>
          <t>TK twarzoczaszki</t>
        </is>
      </c>
      <c r="I26" t="inlineStr">
        <is>
          <t>TK Onkologia</t>
        </is>
      </c>
      <c r="J26" t="inlineStr">
        <is>
          <t>1 okolica anatomiczna</t>
        </is>
      </c>
      <c r="K26" t="inlineStr">
        <is>
          <t>Tomasz Bujalski</t>
        </is>
      </c>
      <c r="L26" t="inlineStr">
        <is>
          <t> </t>
        </is>
      </c>
      <c r="M26" t="inlineStr">
        <is>
          <t> </t>
        </is>
      </c>
      <c r="N26" t="inlineStr">
        <is>
          <t> </t>
        </is>
      </c>
      <c r="O26" t="inlineStr">
        <is>
          <t> </t>
        </is>
      </c>
      <c r="P26" t="inlineStr">
        <is>
          <t> </t>
        </is>
      </c>
      <c r="Q26" t="inlineStr">
        <is>
          <t> </t>
        </is>
      </c>
      <c r="R26" t="inlineStr">
        <is>
          <t>brodnica</t>
        </is>
      </c>
      <c r="S26" s="1" t="n">
        <v>46160.47013888889</v>
      </c>
      <c r="T26" t="n">
        <v>0</v>
      </c>
      <c r="U26" t="inlineStr">
        <is>
          <t>BUJALSKI TOMASZ</t>
        </is>
      </c>
    </row>
    <row r="27">
      <c r="A27" s="1" t="n">
        <v>46160</v>
      </c>
      <c r="B27" t="inlineStr">
        <is>
          <t>1258155_2136</t>
        </is>
      </c>
      <c r="C27" t="inlineStr">
        <is>
          <t>JULIAN LECHOWICZ</t>
        </is>
      </c>
      <c r="D27" t="inlineStr">
        <is>
          <t>05260308150</t>
        </is>
      </c>
      <c r="E27" s="1" t="n">
        <v>46160</v>
      </c>
      <c r="F27" t="inlineStr">
        <is>
          <t>CITO-CITO</t>
        </is>
      </c>
      <c r="G27" t="inlineStr">
        <is>
          <t>TK</t>
        </is>
      </c>
      <c r="H27" t="inlineStr">
        <is>
          <t>TK głowy</t>
        </is>
      </c>
      <c r="I27" t="inlineStr">
        <is>
          <t>TK Onkologia</t>
        </is>
      </c>
      <c r="J27" t="inlineStr">
        <is>
          <t>1 okolica anatomiczna</t>
        </is>
      </c>
      <c r="K27" t="inlineStr">
        <is>
          <t>Tomasz Bujalski</t>
        </is>
      </c>
      <c r="L27" t="inlineStr">
        <is>
          <t> </t>
        </is>
      </c>
      <c r="M27" t="inlineStr">
        <is>
          <t> </t>
        </is>
      </c>
      <c r="N27" t="inlineStr">
        <is>
          <t> </t>
        </is>
      </c>
      <c r="O27" t="inlineStr">
        <is>
          <t> </t>
        </is>
      </c>
      <c r="P27" t="inlineStr">
        <is>
          <t> </t>
        </is>
      </c>
      <c r="Q27" t="inlineStr">
        <is>
          <t> </t>
        </is>
      </c>
      <c r="R27" t="inlineStr">
        <is>
          <t>brodnica</t>
        </is>
      </c>
      <c r="S27" s="1" t="n">
        <v>46160.56597222222</v>
      </c>
      <c r="T27" t="n">
        <v>0</v>
      </c>
      <c r="U27" t="inlineStr">
        <is>
          <t>BUJALSKI TOMASZ</t>
        </is>
      </c>
    </row>
    <row r="28">
      <c r="A28" s="1" t="n">
        <v>46160</v>
      </c>
      <c r="B28" t="inlineStr">
        <is>
          <t>1258158_2540</t>
        </is>
      </c>
      <c r="C28" t="inlineStr">
        <is>
          <t>HENRYK KOWALSKI</t>
        </is>
      </c>
      <c r="D28" t="inlineStr">
        <is>
          <t>49121813258</t>
        </is>
      </c>
      <c r="E28" s="1" t="n">
        <v>46160</v>
      </c>
      <c r="F28" t="inlineStr">
        <is>
          <t>CITO-CITO</t>
        </is>
      </c>
      <c r="G28" t="inlineStr">
        <is>
          <t>TK</t>
        </is>
      </c>
      <c r="H28" t="inlineStr">
        <is>
          <t>TK j.brzusznej i miednicy</t>
        </is>
      </c>
      <c r="I28" t="inlineStr">
        <is>
          <t>TK Zwykłe</t>
        </is>
      </c>
      <c r="J28" t="inlineStr">
        <is>
          <t>2 okolice anatomiczne</t>
        </is>
      </c>
      <c r="K28" t="inlineStr">
        <is>
          <t>Tomasz Bujalski</t>
        </is>
      </c>
      <c r="L28" t="inlineStr">
        <is>
          <t> </t>
        </is>
      </c>
      <c r="M28" t="inlineStr">
        <is>
          <t> </t>
        </is>
      </c>
      <c r="N28" t="inlineStr">
        <is>
          <t> </t>
        </is>
      </c>
      <c r="O28" t="inlineStr">
        <is>
          <t> </t>
        </is>
      </c>
      <c r="P28" t="inlineStr">
        <is>
          <t> </t>
        </is>
      </c>
      <c r="Q28" t="inlineStr">
        <is>
          <t> </t>
        </is>
      </c>
      <c r="R28" t="inlineStr">
        <is>
          <t>brodnica</t>
        </is>
      </c>
      <c r="S28" s="1" t="n">
        <v>46160.58125</v>
      </c>
      <c r="T28" t="n">
        <v>0</v>
      </c>
      <c r="U28" t="inlineStr">
        <is>
          <t>BUJALSKI TOMASZ</t>
        </is>
      </c>
    </row>
    <row r="29">
      <c r="A29" s="1" t="n">
        <v>46162</v>
      </c>
      <c r="B29" t="inlineStr">
        <is>
          <t>1258807_2136</t>
        </is>
      </c>
      <c r="C29" t="inlineStr">
        <is>
          <t>JANINA DYLEWSKA</t>
        </is>
      </c>
      <c r="D29" t="inlineStr">
        <is>
          <t>38031400300</t>
        </is>
      </c>
      <c r="E29" s="1" t="n">
        <v>46162</v>
      </c>
      <c r="F29" t="inlineStr">
        <is>
          <t>CITO-CITO</t>
        </is>
      </c>
      <c r="G29" t="inlineStr">
        <is>
          <t>TK</t>
        </is>
      </c>
      <c r="H29" t="inlineStr">
        <is>
          <t>TK głowy</t>
        </is>
      </c>
      <c r="I29" t="inlineStr">
        <is>
          <t>TK Onkologia</t>
        </is>
      </c>
      <c r="J29" t="inlineStr">
        <is>
          <t>1 okolica anatomiczna</t>
        </is>
      </c>
      <c r="K29" t="inlineStr">
        <is>
          <t>Tomasz Bujalski</t>
        </is>
      </c>
      <c r="L29" t="inlineStr">
        <is>
          <t> </t>
        </is>
      </c>
      <c r="M29" t="inlineStr">
        <is>
          <t> </t>
        </is>
      </c>
      <c r="N29" t="inlineStr">
        <is>
          <t> </t>
        </is>
      </c>
      <c r="O29" t="inlineStr">
        <is>
          <t> </t>
        </is>
      </c>
      <c r="P29" t="inlineStr">
        <is>
          <t> </t>
        </is>
      </c>
      <c r="Q29" t="inlineStr">
        <is>
          <t> </t>
        </is>
      </c>
      <c r="R29" t="inlineStr">
        <is>
          <t>brodnica</t>
        </is>
      </c>
      <c r="S29" s="1" t="n">
        <v>46162.55277777778</v>
      </c>
      <c r="T29" t="n">
        <v>0</v>
      </c>
      <c r="U29" t="inlineStr">
        <is>
          <t>BUJALSKI TOMASZ</t>
        </is>
      </c>
    </row>
    <row r="30">
      <c r="A30" s="1" t="n">
        <v>46163</v>
      </c>
      <c r="B30" t="inlineStr">
        <is>
          <t>1259115_2137</t>
        </is>
      </c>
      <c r="C30" t="inlineStr">
        <is>
          <t>MARTA PRZYBYS</t>
        </is>
      </c>
      <c r="D30" t="inlineStr">
        <is>
          <t>88090302949</t>
        </is>
      </c>
      <c r="E30" s="1" t="n">
        <v>46163</v>
      </c>
      <c r="F30" t="inlineStr">
        <is>
          <t>Pilny</t>
        </is>
      </c>
      <c r="G30" t="inlineStr">
        <is>
          <t>TK</t>
        </is>
      </c>
      <c r="H30" t="inlineStr">
        <is>
          <t>TK głowy z kontrastem</t>
        </is>
      </c>
      <c r="I30" t="inlineStr">
        <is>
          <t>TK Onkologia</t>
        </is>
      </c>
      <c r="J30" t="inlineStr">
        <is>
          <t>1 okolica anatomiczna</t>
        </is>
      </c>
      <c r="K30" t="inlineStr">
        <is>
          <t>Tomasz Bujalski</t>
        </is>
      </c>
      <c r="L30" t="inlineStr">
        <is>
          <t> </t>
        </is>
      </c>
      <c r="M30" t="inlineStr">
        <is>
          <t> </t>
        </is>
      </c>
      <c r="N30" t="inlineStr">
        <is>
          <t> </t>
        </is>
      </c>
      <c r="O30" t="inlineStr">
        <is>
          <t> </t>
        </is>
      </c>
      <c r="P30" t="inlineStr">
        <is>
          <t> </t>
        </is>
      </c>
      <c r="Q30" t="inlineStr">
        <is>
          <t> </t>
        </is>
      </c>
      <c r="R30" t="inlineStr">
        <is>
          <t>brodnica</t>
        </is>
      </c>
      <c r="S30" s="1" t="n">
        <v>46163.35208333333</v>
      </c>
      <c r="T30" t="n">
        <v>0</v>
      </c>
      <c r="U30" t="inlineStr">
        <is>
          <t>BUJALSKI TOMASZ</t>
        </is>
      </c>
    </row>
    <row r="31">
      <c r="A31" s="1" t="n">
        <v>46167</v>
      </c>
      <c r="B31" t="inlineStr">
        <is>
          <t>1259927_2156</t>
        </is>
      </c>
      <c r="C31" t="inlineStr">
        <is>
          <t>IZABELA SOKOLOWSKA</t>
        </is>
      </c>
      <c r="D31" t="inlineStr">
        <is>
          <t>00212709867</t>
        </is>
      </c>
      <c r="E31" s="1" t="n">
        <v>46167</v>
      </c>
      <c r="F31" t="inlineStr">
        <is>
          <t>CITO-CITO</t>
        </is>
      </c>
      <c r="G31" t="inlineStr">
        <is>
          <t>TK</t>
        </is>
      </c>
      <c r="H31" t="inlineStr">
        <is>
          <t>TK j.brzusznej i miednicy z kontrastem</t>
        </is>
      </c>
      <c r="I31" t="inlineStr">
        <is>
          <t>TK Zwykłe</t>
        </is>
      </c>
      <c r="J31" t="inlineStr">
        <is>
          <t>2 okolice anatomiczne</t>
        </is>
      </c>
      <c r="K31" t="inlineStr">
        <is>
          <t>Tomasz Bujalski</t>
        </is>
      </c>
      <c r="L31" t="inlineStr">
        <is>
          <t> </t>
        </is>
      </c>
      <c r="M31" t="inlineStr">
        <is>
          <t> </t>
        </is>
      </c>
      <c r="N31" t="inlineStr">
        <is>
          <t> </t>
        </is>
      </c>
      <c r="O31" t="inlineStr">
        <is>
          <t> </t>
        </is>
      </c>
      <c r="P31" t="inlineStr">
        <is>
          <t> </t>
        </is>
      </c>
      <c r="Q31" t="inlineStr">
        <is>
          <t> </t>
        </is>
      </c>
      <c r="R31" t="inlineStr">
        <is>
          <t>brodnica</t>
        </is>
      </c>
      <c r="S31" s="1" t="n">
        <v>46167.33333333334</v>
      </c>
      <c r="T31" t="n">
        <v>0</v>
      </c>
      <c r="U31" t="inlineStr">
        <is>
          <t>BUJALSKI TOMASZ</t>
        </is>
      </c>
    </row>
    <row r="32">
      <c r="A32" s="1" t="n">
        <v>46167</v>
      </c>
      <c r="B32" t="inlineStr">
        <is>
          <t>1259976_2136</t>
        </is>
      </c>
      <c r="C32" t="inlineStr">
        <is>
          <t>ELZBIETA STERNICKA</t>
        </is>
      </c>
      <c r="D32" t="inlineStr">
        <is>
          <t>43111307206</t>
        </is>
      </c>
      <c r="E32" s="1" t="n">
        <v>46167</v>
      </c>
      <c r="F32" t="inlineStr">
        <is>
          <t>CITO-CITO</t>
        </is>
      </c>
      <c r="G32" t="inlineStr">
        <is>
          <t>TK</t>
        </is>
      </c>
      <c r="H32" t="inlineStr">
        <is>
          <t>TK głowy</t>
        </is>
      </c>
      <c r="I32" t="inlineStr">
        <is>
          <t>TK Onkologia</t>
        </is>
      </c>
      <c r="J32" t="inlineStr">
        <is>
          <t>1 okolica anatomiczna</t>
        </is>
      </c>
      <c r="K32" t="inlineStr">
        <is>
          <t>Tomasz Bujalski</t>
        </is>
      </c>
      <c r="L32" t="inlineStr">
        <is>
          <t> </t>
        </is>
      </c>
      <c r="M32" t="inlineStr">
        <is>
          <t> </t>
        </is>
      </c>
      <c r="N32" t="inlineStr">
        <is>
          <t> </t>
        </is>
      </c>
      <c r="O32" t="inlineStr">
        <is>
          <t> </t>
        </is>
      </c>
      <c r="P32" t="inlineStr">
        <is>
          <t> </t>
        </is>
      </c>
      <c r="Q32" t="inlineStr">
        <is>
          <t> </t>
        </is>
      </c>
      <c r="R32" t="inlineStr">
        <is>
          <t>brodnica</t>
        </is>
      </c>
      <c r="S32" s="1" t="n">
        <v>46167.37361111111</v>
      </c>
      <c r="T32" t="n">
        <v>0</v>
      </c>
      <c r="U32" t="inlineStr">
        <is>
          <t>BUJALSKI TOMASZ</t>
        </is>
      </c>
    </row>
    <row r="33">
      <c r="A33" s="1" t="n">
        <v>46168</v>
      </c>
      <c r="B33" t="inlineStr">
        <is>
          <t>1260206_2156</t>
        </is>
      </c>
      <c r="C33" t="inlineStr">
        <is>
          <t>PIOTR NADOLSKI</t>
        </is>
      </c>
      <c r="D33" t="inlineStr">
        <is>
          <t>67080807998</t>
        </is>
      </c>
      <c r="E33" s="1" t="n">
        <v>46168</v>
      </c>
      <c r="F33" t="inlineStr">
        <is>
          <t>CITO-CITO</t>
        </is>
      </c>
      <c r="G33" t="inlineStr">
        <is>
          <t>TK</t>
        </is>
      </c>
      <c r="H33" t="inlineStr">
        <is>
          <t>TK j.brzusznej i miednicy z kontrastem</t>
        </is>
      </c>
      <c r="I33" t="inlineStr">
        <is>
          <t>TK Zwykłe</t>
        </is>
      </c>
      <c r="J33" t="inlineStr">
        <is>
          <t>2 okolice anatomiczne</t>
        </is>
      </c>
      <c r="K33" t="inlineStr">
        <is>
          <t>Tomasz Bujalski</t>
        </is>
      </c>
      <c r="L33" t="inlineStr">
        <is>
          <t> </t>
        </is>
      </c>
      <c r="M33" t="inlineStr">
        <is>
          <t> </t>
        </is>
      </c>
      <c r="N33" t="inlineStr">
        <is>
          <t> </t>
        </is>
      </c>
      <c r="O33" t="inlineStr">
        <is>
          <t> </t>
        </is>
      </c>
      <c r="P33" t="inlineStr">
        <is>
          <t> </t>
        </is>
      </c>
      <c r="Q33" t="inlineStr">
        <is>
          <t> </t>
        </is>
      </c>
      <c r="R33" t="inlineStr">
        <is>
          <t>brodnica</t>
        </is>
      </c>
      <c r="S33" s="1" t="n">
        <v>46168.23125</v>
      </c>
      <c r="T33" t="n">
        <v>2</v>
      </c>
      <c r="U33" t="inlineStr">
        <is>
          <t>BUJALSKI TOMASZ</t>
        </is>
      </c>
    </row>
    <row r="34">
      <c r="A34" s="1" t="n">
        <v>46154</v>
      </c>
      <c r="B34" t="n">
        <v>697572492</v>
      </c>
      <c r="C34" t="inlineStr">
        <is>
          <t>MARIA GZYL</t>
        </is>
      </c>
      <c r="D34" t="inlineStr">
        <is>
          <t>51011017484</t>
        </is>
      </c>
      <c r="E34" s="1" t="n">
        <v>46154</v>
      </c>
      <c r="F34" t="inlineStr">
        <is>
          <t>CITO-CITO</t>
        </is>
      </c>
      <c r="G34" t="inlineStr">
        <is>
          <t>TK</t>
        </is>
      </c>
      <c r="H34" t="inlineStr">
        <is>
          <t>HRCT - (tryb PILNY)</t>
        </is>
      </c>
      <c r="I34" t="inlineStr">
        <is>
          <t>TK Onkologia</t>
        </is>
      </c>
      <c r="J34" t="inlineStr">
        <is>
          <t>1 okolica anatomiczna</t>
        </is>
      </c>
      <c r="K34" t="inlineStr">
        <is>
          <t>Tomasz Bujalski</t>
        </is>
      </c>
      <c r="L34" t="inlineStr">
        <is>
          <t> </t>
        </is>
      </c>
      <c r="M34" t="inlineStr">
        <is>
          <t>SAMODZIELNY PUBLICZNY ZESPÓŁ OPIEKI ZDROWOTNEJ W BRZESKU</t>
        </is>
      </c>
      <c r="N34" t="inlineStr">
        <is>
          <t>Szpitalny Oddział Ratunkowy</t>
        </is>
      </c>
      <c r="O34" t="inlineStr">
        <is>
          <t>Magdalena Kurtyka</t>
        </is>
      </c>
      <c r="P34" t="n">
        <v>1756579</v>
      </c>
      <c r="Q34" t="inlineStr">
        <is>
          <t> </t>
        </is>
      </c>
      <c r="R34" t="inlineStr">
        <is>
          <t>brzesko</t>
        </is>
      </c>
      <c r="S34" s="1" t="n">
        <v>46154.24166666667</v>
      </c>
      <c r="T34" t="n">
        <v>0</v>
      </c>
      <c r="U34" t="inlineStr">
        <is>
          <t>BUJALSKI TOMASZ</t>
        </is>
      </c>
    </row>
    <row r="35">
      <c r="A35" s="1" t="n">
        <v>46155</v>
      </c>
      <c r="B35" t="n">
        <v>697968524</v>
      </c>
      <c r="C35" t="inlineStr">
        <is>
          <t>FRANCISZEK ŁUKOJKO</t>
        </is>
      </c>
      <c r="D35" t="inlineStr">
        <is>
          <t>17233105037</t>
        </is>
      </c>
      <c r="E35" s="1" t="n">
        <v>46155</v>
      </c>
      <c r="F35" t="inlineStr">
        <is>
          <t>CITO-CITO</t>
        </is>
      </c>
      <c r="G35" t="inlineStr">
        <is>
          <t>TK</t>
        </is>
      </c>
      <c r="H35" t="inlineStr">
        <is>
          <t>TK - dwie procedury anatomiczne</t>
        </is>
      </c>
      <c r="I35" t="inlineStr">
        <is>
          <t>TK Zwykłe</t>
        </is>
      </c>
      <c r="J35" t="inlineStr">
        <is>
          <t>3 okolice anatomiczne</t>
        </is>
      </c>
      <c r="K35" t="inlineStr">
        <is>
          <t>Tomasz Bujalski</t>
        </is>
      </c>
      <c r="L35" t="inlineStr">
        <is>
          <t> </t>
        </is>
      </c>
      <c r="M35" t="inlineStr">
        <is>
          <t>SAMODZIELNY PUBLICZNY ZESPÓŁ OPIEKI ZDROWOTNEJ W BRZESKU</t>
        </is>
      </c>
      <c r="N35" t="inlineStr">
        <is>
          <t>Szpitalny Oddział Ratunkowy</t>
        </is>
      </c>
      <c r="O35" t="inlineStr">
        <is>
          <t>Dzmitry Prystupa</t>
        </is>
      </c>
      <c r="P35" t="n">
        <v>4132596</v>
      </c>
      <c r="Q35" t="inlineStr">
        <is>
          <t> </t>
        </is>
      </c>
      <c r="R35" t="inlineStr">
        <is>
          <t>brzesko</t>
        </is>
      </c>
      <c r="S35" s="1" t="n">
        <v>46155.59652777778</v>
      </c>
      <c r="T35" t="n">
        <v>0</v>
      </c>
      <c r="U35" t="inlineStr">
        <is>
          <t>BUJALSKI TOMASZ</t>
        </is>
      </c>
    </row>
    <row r="36">
      <c r="A36" s="1" t="n">
        <v>46157</v>
      </c>
      <c r="B36" t="n">
        <v>697640357</v>
      </c>
      <c r="C36" t="inlineStr">
        <is>
          <t>MAREK WIATR</t>
        </is>
      </c>
      <c r="D36" t="inlineStr">
        <is>
          <t>72020515958</t>
        </is>
      </c>
      <c r="E36" s="1" t="n">
        <v>46154</v>
      </c>
      <c r="F36" t="inlineStr">
        <is>
          <t>Pilny</t>
        </is>
      </c>
      <c r="G36" t="inlineStr">
        <is>
          <t>TK</t>
        </is>
      </c>
      <c r="H36" t="inlineStr">
        <is>
          <t>TK klatki piersiowej bez kontrastu</t>
        </is>
      </c>
      <c r="I36" t="inlineStr">
        <is>
          <t>TK Zwykłe</t>
        </is>
      </c>
      <c r="J36" t="inlineStr">
        <is>
          <t>1 okolica anatomiczna</t>
        </is>
      </c>
      <c r="K36" t="inlineStr">
        <is>
          <t>Tomasz Bujalski</t>
        </is>
      </c>
      <c r="L36" t="inlineStr">
        <is>
          <t> </t>
        </is>
      </c>
      <c r="M36" t="inlineStr">
        <is>
          <t>SAMODZIELNY PUBLICZNY ZESPÓŁ OPIEKI ZDROWOTNEJ W BRZESKU</t>
        </is>
      </c>
      <c r="N36" t="inlineStr">
        <is>
          <t>Oddział Chorób Płuc</t>
        </is>
      </c>
      <c r="O36" t="inlineStr">
        <is>
          <t>Filip Mejza</t>
        </is>
      </c>
      <c r="P36" t="n">
        <v>6958448</v>
      </c>
      <c r="Q36" t="inlineStr">
        <is>
          <t> </t>
        </is>
      </c>
      <c r="R36" t="inlineStr">
        <is>
          <t>brzesko</t>
        </is>
      </c>
      <c r="S36" s="1" t="n">
        <v>46154.36388888889</v>
      </c>
      <c r="T36" t="n">
        <v>0</v>
      </c>
      <c r="U36" t="inlineStr">
        <is>
          <t>BUJALSKI TOMASZ</t>
        </is>
      </c>
    </row>
    <row r="37">
      <c r="A37" s="1" t="n">
        <v>46157</v>
      </c>
      <c r="B37" t="n">
        <v>698142429</v>
      </c>
      <c r="C37" t="inlineStr">
        <is>
          <t>ADAM KUROWSKI</t>
        </is>
      </c>
      <c r="D37" t="inlineStr">
        <is>
          <t>60041216499</t>
        </is>
      </c>
      <c r="E37" s="1" t="n">
        <v>46156</v>
      </c>
      <c r="F37" t="inlineStr">
        <is>
          <t>Pilny</t>
        </is>
      </c>
      <c r="G37" t="inlineStr">
        <is>
          <t>TK</t>
        </is>
      </c>
      <c r="H37" t="inlineStr">
        <is>
          <t>TK klatki piersiowej bez i ze wzmocnieniem kontrastowym</t>
        </is>
      </c>
      <c r="I37" t="inlineStr">
        <is>
          <t>TK Onkologia</t>
        </is>
      </c>
      <c r="J37" t="inlineStr">
        <is>
          <t>1 okolica anatomiczna</t>
        </is>
      </c>
      <c r="K37" t="inlineStr">
        <is>
          <t>Tomasz Bujalski</t>
        </is>
      </c>
      <c r="L37" t="inlineStr">
        <is>
          <t> </t>
        </is>
      </c>
      <c r="M37" t="inlineStr">
        <is>
          <t>SAMODZIELNY PUBLICZNY ZESPÓŁ OPIEKI ZDROWOTNEJ W BRZESKU</t>
        </is>
      </c>
      <c r="N37" t="inlineStr">
        <is>
          <t>Oddział Chorób Wewnętrznych z Pododdziałem Kardiologi</t>
        </is>
      </c>
      <c r="O37" t="inlineStr">
        <is>
          <t>Filip Kania</t>
        </is>
      </c>
      <c r="P37" t="n">
        <v>4592277</v>
      </c>
      <c r="Q37" t="inlineStr">
        <is>
          <t> </t>
        </is>
      </c>
      <c r="R37" t="inlineStr">
        <is>
          <t>brzesko</t>
        </is>
      </c>
      <c r="S37" s="1" t="n">
        <v>46156.4875</v>
      </c>
      <c r="T37" t="n">
        <v>0</v>
      </c>
      <c r="U37" t="inlineStr">
        <is>
          <t>BUJALSKI TOMASZ</t>
        </is>
      </c>
    </row>
    <row r="38">
      <c r="A38" s="1" t="n">
        <v>46169</v>
      </c>
      <c r="B38" t="n">
        <v>700546645</v>
      </c>
      <c r="C38" t="inlineStr">
        <is>
          <t>ZDZISŁAW RECZEK</t>
        </is>
      </c>
      <c r="D38" t="inlineStr">
        <is>
          <t>62120407619</t>
        </is>
      </c>
      <c r="E38" s="1" t="n">
        <v>46169</v>
      </c>
      <c r="F38" t="inlineStr">
        <is>
          <t>CITO-CITO</t>
        </is>
      </c>
      <c r="G38" t="inlineStr">
        <is>
          <t>TK</t>
        </is>
      </c>
      <c r="H38" t="inlineStr">
        <is>
          <t>HRCT - (tryb PILNY)</t>
        </is>
      </c>
      <c r="I38" t="inlineStr">
        <is>
          <t>TK Onkologia</t>
        </is>
      </c>
      <c r="J38" t="inlineStr">
        <is>
          <t>1 okolica anatomiczna</t>
        </is>
      </c>
      <c r="K38" t="inlineStr">
        <is>
          <t>Tomasz Bujalski</t>
        </is>
      </c>
      <c r="L38" t="inlineStr">
        <is>
          <t> </t>
        </is>
      </c>
      <c r="M38" t="inlineStr">
        <is>
          <t>SAMODZIELNY PUBLICZNY ZESPÓŁ OPIEKI ZDROWOTNEJ W BRZESKU</t>
        </is>
      </c>
      <c r="N38" t="inlineStr">
        <is>
          <t>Szpitalny Oddział Ratunkowy</t>
        </is>
      </c>
      <c r="O38" t="inlineStr">
        <is>
          <t>Stanislau Hlushenia</t>
        </is>
      </c>
      <c r="P38" t="n">
        <v>3861997</v>
      </c>
      <c r="Q38" t="inlineStr">
        <is>
          <t> </t>
        </is>
      </c>
      <c r="R38" t="inlineStr">
        <is>
          <t>brzesko</t>
        </is>
      </c>
      <c r="S38" s="1" t="n">
        <v>46169.70277777778</v>
      </c>
      <c r="T38" t="n">
        <v>0</v>
      </c>
      <c r="U38" t="inlineStr">
        <is>
          <t>BUJALSKI TOMASZ</t>
        </is>
      </c>
    </row>
    <row r="39">
      <c r="A39" s="1" t="n">
        <v>46170</v>
      </c>
      <c r="B39" t="n">
        <v>699941294</v>
      </c>
      <c r="C39" t="inlineStr">
        <is>
          <t>KRYSTYNA OĆWIEJA</t>
        </is>
      </c>
      <c r="D39" t="inlineStr">
        <is>
          <t>45080706783</t>
        </is>
      </c>
      <c r="E39" s="1" t="n">
        <v>46169</v>
      </c>
      <c r="F39" t="inlineStr">
        <is>
          <t>Pilny</t>
        </is>
      </c>
      <c r="G39" t="inlineStr">
        <is>
          <t>TK</t>
        </is>
      </c>
      <c r="H39" t="inlineStr">
        <is>
          <t>TK - trzech procedur anatomicznych</t>
        </is>
      </c>
      <c r="I39" t="inlineStr">
        <is>
          <t>TK Onkologia</t>
        </is>
      </c>
      <c r="J39" t="inlineStr">
        <is>
          <t>3 okolice anatomiczne</t>
        </is>
      </c>
      <c r="K39" t="inlineStr">
        <is>
          <t>Tomasz Bujalski</t>
        </is>
      </c>
      <c r="L39" t="inlineStr">
        <is>
          <t> </t>
        </is>
      </c>
      <c r="M39" t="inlineStr">
        <is>
          <t>SAMODZIELNY PUBLICZNY ZESPÓŁ OPIEKI ZDROWOTNEJ W BRZESKU</t>
        </is>
      </c>
      <c r="N39" t="inlineStr">
        <is>
          <t>Oddział Chorób Wewnętrznych z Pododdziałem Kardiologi</t>
        </is>
      </c>
      <c r="O39" t="inlineStr">
        <is>
          <t>Anna Słąba</t>
        </is>
      </c>
      <c r="P39" t="n">
        <v>4324139</v>
      </c>
      <c r="Q39" t="inlineStr">
        <is>
          <t> </t>
        </is>
      </c>
      <c r="R39" t="inlineStr">
        <is>
          <t>brzesko</t>
        </is>
      </c>
      <c r="S39" s="1" t="n">
        <v>46169.51111111111</v>
      </c>
      <c r="T39" t="n">
        <v>0</v>
      </c>
      <c r="U39" t="inlineStr">
        <is>
          <t>BUJALSKI TOMASZ</t>
        </is>
      </c>
    </row>
    <row r="40">
      <c r="A40" s="1" t="n">
        <v>46170</v>
      </c>
      <c r="B40" t="n">
        <v>700580524</v>
      </c>
      <c r="C40" t="inlineStr">
        <is>
          <t>ELŻBIETA WAŚKOWICZ</t>
        </is>
      </c>
      <c r="D40" t="inlineStr">
        <is>
          <t>46071808008</t>
        </is>
      </c>
      <c r="E40" s="1" t="n">
        <v>46170</v>
      </c>
      <c r="F40" t="inlineStr">
        <is>
          <t>CITO-CITO</t>
        </is>
      </c>
      <c r="G40" t="inlineStr">
        <is>
          <t>TK</t>
        </is>
      </c>
      <c r="H40" t="inlineStr">
        <is>
          <t>TK - trzech procedur anatomicznych</t>
        </is>
      </c>
      <c r="I40" t="inlineStr">
        <is>
          <t>TK Onkologia</t>
        </is>
      </c>
      <c r="J40" t="inlineStr">
        <is>
          <t>3 okolice anatomiczne</t>
        </is>
      </c>
      <c r="K40" t="inlineStr">
        <is>
          <t>Tomasz Bujalski</t>
        </is>
      </c>
      <c r="L40" t="inlineStr">
        <is>
          <t> </t>
        </is>
      </c>
      <c r="M40" t="inlineStr">
        <is>
          <t>SAMODZIELNY PUBLICZNY ZESPÓŁ OPIEKI ZDROWOTNEJ W BRZESKU</t>
        </is>
      </c>
      <c r="N40" t="inlineStr">
        <is>
          <t>Szpitalny Oddział Ratunkowy</t>
        </is>
      </c>
      <c r="O40" t="inlineStr">
        <is>
          <t>Krzysztof Piotr Wojciechowski</t>
        </is>
      </c>
      <c r="P40" t="n">
        <v>3629649</v>
      </c>
      <c r="Q40" t="inlineStr">
        <is>
          <t> </t>
        </is>
      </c>
      <c r="R40" t="inlineStr">
        <is>
          <t>brzesko</t>
        </is>
      </c>
      <c r="S40" s="1" t="n">
        <v>46170.17222222222</v>
      </c>
      <c r="T40" t="n">
        <v>0</v>
      </c>
      <c r="U40" t="inlineStr">
        <is>
          <t>BUJALSKI TOMASZ</t>
        </is>
      </c>
    </row>
    <row r="41">
      <c r="A41" s="1" t="n">
        <v>46158</v>
      </c>
      <c r="B41" t="inlineStr">
        <is>
          <t>2171/TK/2026</t>
        </is>
      </c>
      <c r="C41" t="inlineStr">
        <is>
          <t>JANINA GROCHOWIEC</t>
        </is>
      </c>
      <c r="D41" t="n">
        <v>49112013564</v>
      </c>
      <c r="E41" s="1" t="n">
        <v>46158</v>
      </c>
      <c r="F41" t="inlineStr">
        <is>
          <t>CITO-CITO</t>
        </is>
      </c>
      <c r="G41" t="inlineStr">
        <is>
          <t>TK</t>
        </is>
      </c>
      <c r="H41" t="inlineStr">
        <is>
          <t>TK GŁOWY BEZ KONTRASTU</t>
        </is>
      </c>
      <c r="I41" t="inlineStr">
        <is>
          <t>TK Zwykłe</t>
        </is>
      </c>
      <c r="J41" t="inlineStr">
        <is>
          <t>1 okolica anatomiczna</t>
        </is>
      </c>
      <c r="K41" t="inlineStr">
        <is>
          <t>Tomasz Bujalski</t>
        </is>
      </c>
      <c r="L41" t="inlineStr">
        <is>
          <t> </t>
        </is>
      </c>
      <c r="M41" t="inlineStr">
        <is>
          <t> </t>
        </is>
      </c>
      <c r="N41" t="inlineStr">
        <is>
          <t> </t>
        </is>
      </c>
      <c r="O41" t="inlineStr">
        <is>
          <t> </t>
        </is>
      </c>
      <c r="P41" t="inlineStr">
        <is>
          <t> </t>
        </is>
      </c>
      <c r="Q41" t="inlineStr">
        <is>
          <t> </t>
        </is>
      </c>
      <c r="R41" t="inlineStr">
        <is>
          <t>dabrowatarnowska</t>
        </is>
      </c>
      <c r="S41" s="1" t="n">
        <v>46158.61597222222</v>
      </c>
      <c r="T41" t="n">
        <v>0</v>
      </c>
      <c r="U41" t="inlineStr">
        <is>
          <t>BUJALSKI TOMASZ</t>
        </is>
      </c>
    </row>
    <row r="42">
      <c r="A42" s="1" t="n">
        <v>46160</v>
      </c>
      <c r="B42" t="inlineStr">
        <is>
          <t>2180/TK/2026</t>
        </is>
      </c>
      <c r="C42" t="inlineStr">
        <is>
          <t>WLODZIMIERZ KOCWA</t>
        </is>
      </c>
      <c r="D42" t="n">
        <v>49081708591</v>
      </c>
      <c r="E42" s="1" t="n">
        <v>46160</v>
      </c>
      <c r="F42" t="inlineStr">
        <is>
          <t>CITO-CITO</t>
        </is>
      </c>
      <c r="G42" t="inlineStr">
        <is>
          <t>TK</t>
        </is>
      </c>
      <c r="H42" t="inlineStr">
        <is>
          <t>TK angio klatki piersiowej</t>
        </is>
      </c>
      <c r="I42" t="inlineStr">
        <is>
          <t>TK Angiografia</t>
        </is>
      </c>
      <c r="J42" t="inlineStr">
        <is>
          <t>1 okolica anatomiczna</t>
        </is>
      </c>
      <c r="K42" t="inlineStr">
        <is>
          <t>Tomasz Bujalski</t>
        </is>
      </c>
      <c r="L42" t="inlineStr">
        <is>
          <t> </t>
        </is>
      </c>
      <c r="M42" t="inlineStr">
        <is>
          <t> </t>
        </is>
      </c>
      <c r="N42" t="inlineStr">
        <is>
          <t> </t>
        </is>
      </c>
      <c r="O42" t="inlineStr">
        <is>
          <t> </t>
        </is>
      </c>
      <c r="P42" t="inlineStr">
        <is>
          <t> </t>
        </is>
      </c>
      <c r="Q42" t="inlineStr">
        <is>
          <t> </t>
        </is>
      </c>
      <c r="R42" t="inlineStr">
        <is>
          <t>dabrowatarnowska</t>
        </is>
      </c>
      <c r="S42" s="1" t="n">
        <v>46160.44583333333</v>
      </c>
      <c r="T42" t="n">
        <v>0</v>
      </c>
      <c r="U42" t="inlineStr">
        <is>
          <t>BUJALSKI TOMASZ</t>
        </is>
      </c>
    </row>
    <row r="43">
      <c r="A43" s="1" t="n">
        <v>46167</v>
      </c>
      <c r="B43" t="inlineStr">
        <is>
          <t>2307/TK/2026</t>
        </is>
      </c>
      <c r="C43" t="inlineStr">
        <is>
          <t>MARIAN LIZAK</t>
        </is>
      </c>
      <c r="D43" t="n">
        <v>60021107856</v>
      </c>
      <c r="E43" s="1" t="n">
        <v>46167</v>
      </c>
      <c r="F43" t="inlineStr">
        <is>
          <t>Pilny</t>
        </is>
      </c>
      <c r="G43" t="inlineStr">
        <is>
          <t>TK</t>
        </is>
      </c>
      <c r="H43" t="inlineStr">
        <is>
          <t>TK KLATKI PIERSIOWEJ bez i z kontrastem</t>
        </is>
      </c>
      <c r="I43" t="inlineStr">
        <is>
          <t>TK Zwykłe</t>
        </is>
      </c>
      <c r="J43" t="inlineStr">
        <is>
          <t>1 okolica anatomiczna</t>
        </is>
      </c>
      <c r="K43" t="inlineStr">
        <is>
          <t>Tomasz Bujalski</t>
        </is>
      </c>
      <c r="L43" t="inlineStr">
        <is>
          <t> </t>
        </is>
      </c>
      <c r="M43" t="inlineStr">
        <is>
          <t> </t>
        </is>
      </c>
      <c r="N43" t="inlineStr">
        <is>
          <t> </t>
        </is>
      </c>
      <c r="O43" t="inlineStr">
        <is>
          <t> </t>
        </is>
      </c>
      <c r="P43" t="inlineStr">
        <is>
          <t> </t>
        </is>
      </c>
      <c r="Q43" t="inlineStr">
        <is>
          <t> </t>
        </is>
      </c>
      <c r="R43" t="inlineStr">
        <is>
          <t>dabrowatarnowska</t>
        </is>
      </c>
      <c r="S43" s="1" t="n">
        <v>46167.40763888889</v>
      </c>
      <c r="T43" t="n">
        <v>0</v>
      </c>
      <c r="U43" t="inlineStr">
        <is>
          <t>BUJALSKI TOMASZ</t>
        </is>
      </c>
    </row>
    <row r="44">
      <c r="A44" s="1" t="n">
        <v>46150</v>
      </c>
      <c r="B44" t="n">
        <v>214051</v>
      </c>
      <c r="C44" t="inlineStr">
        <is>
          <t>Halina Zawadzka</t>
        </is>
      </c>
      <c r="D44" t="n">
        <v>49071113565</v>
      </c>
      <c r="E44" s="1" t="n">
        <v>46148</v>
      </c>
      <c r="F44" t="inlineStr">
        <is>
          <t>Pilny</t>
        </is>
      </c>
      <c r="G44" t="inlineStr">
        <is>
          <t>TK</t>
        </is>
      </c>
      <c r="H44" t="inlineStr">
        <is>
          <t>TK urografia - z kontrastem</t>
        </is>
      </c>
      <c r="I44" t="inlineStr">
        <is>
          <t>TK Zwykłe</t>
        </is>
      </c>
      <c r="J44" t="inlineStr">
        <is>
          <t>2 okolice anatomiczne</t>
        </is>
      </c>
      <c r="K44" t="inlineStr">
        <is>
          <t>Tomasz Bujalski</t>
        </is>
      </c>
      <c r="L44" t="inlineStr">
        <is>
          <t> </t>
        </is>
      </c>
      <c r="M44" t="inlineStr">
        <is>
          <t>Pacjent indywidualny</t>
        </is>
      </c>
      <c r="N44" t="inlineStr">
        <is>
          <t>Nieznana</t>
        </is>
      </c>
      <c r="O44" t="inlineStr">
        <is>
          <t> </t>
        </is>
      </c>
      <c r="P44" t="inlineStr">
        <is>
          <t> </t>
        </is>
      </c>
      <c r="Q44" t="inlineStr">
        <is>
          <t> </t>
        </is>
      </c>
      <c r="R44" t="inlineStr">
        <is>
          <t>dcmdolmed</t>
        </is>
      </c>
      <c r="S44" s="1" t="n">
        <v>46149.65347222222</v>
      </c>
      <c r="T44" t="n">
        <v>0</v>
      </c>
      <c r="U44" t="inlineStr">
        <is>
          <t>BUJALSKI TOMASZ</t>
        </is>
      </c>
    </row>
    <row r="45">
      <c r="A45" s="1" t="n">
        <v>46149</v>
      </c>
      <c r="B45" t="inlineStr">
        <is>
          <t>455/05/2026</t>
        </is>
      </c>
      <c r="C45" t="inlineStr">
        <is>
          <t>Wiesław Abramowicz</t>
        </is>
      </c>
      <c r="D45" t="inlineStr">
        <is>
          <t>66012200153</t>
        </is>
      </c>
      <c r="E45" s="1" t="n">
        <v>46148</v>
      </c>
      <c r="F45" t="inlineStr">
        <is>
          <t>Pilny</t>
        </is>
      </c>
      <c r="G45" t="inlineStr">
        <is>
          <t>TK</t>
        </is>
      </c>
      <c r="H45" t="inlineStr">
        <is>
          <t>TK KLATKI PIERSIOWEJ JAMY BRZUSZNEJ I MIEDNICY MNIEJSZEJ BEZ I Z KONTRASTEM</t>
        </is>
      </c>
      <c r="I45" t="inlineStr">
        <is>
          <t>TK Zwykłe</t>
        </is>
      </c>
      <c r="J45" t="inlineStr">
        <is>
          <t>3 okolice anatomiczne</t>
        </is>
      </c>
      <c r="K45" t="inlineStr">
        <is>
          <t>Tomasz Bujalski</t>
        </is>
      </c>
      <c r="L45" t="inlineStr">
        <is>
          <t> </t>
        </is>
      </c>
      <c r="M45" t="inlineStr">
        <is>
          <t>NIEPUBLICZNY ZAKŁAD OPIEKI ZDROWOTNEJ SZPITAL POWIATOWY W DZIERŻONIOWIE SPÓŁKA Z OGRANICZONĄ ODPOWIEDZIALNOŚCIĄ</t>
        </is>
      </c>
      <c r="N45" t="inlineStr">
        <is>
          <t>Oddział Internistyczny</t>
        </is>
      </c>
      <c r="O45" t="inlineStr">
        <is>
          <t>PAWEŁ BARSKI</t>
        </is>
      </c>
      <c r="P45" t="n">
        <v>3845102</v>
      </c>
      <c r="Q45" t="inlineStr">
        <is>
          <t>R63.4</t>
        </is>
      </c>
      <c r="R45" t="inlineStr">
        <is>
          <t>dzierzoniow</t>
        </is>
      </c>
      <c r="S45" s="1" t="n">
        <v>46148.61944444444</v>
      </c>
      <c r="T45" t="n">
        <v>0</v>
      </c>
      <c r="U45" t="inlineStr">
        <is>
          <t>BUJALSKI TOMASZ</t>
        </is>
      </c>
    </row>
    <row r="46">
      <c r="A46" s="1" t="n">
        <v>46154</v>
      </c>
      <c r="B46" t="inlineStr">
        <is>
          <t>787/05/2026</t>
        </is>
      </c>
      <c r="C46" t="inlineStr">
        <is>
          <t>Ewelina Furmańczyk</t>
        </is>
      </c>
      <c r="D46" t="inlineStr">
        <is>
          <t>86061717664</t>
        </is>
      </c>
      <c r="E46" s="1" t="n">
        <v>46154</v>
      </c>
      <c r="F46" t="inlineStr">
        <is>
          <t>Pilny</t>
        </is>
      </c>
      <c r="G46" t="inlineStr">
        <is>
          <t>TK</t>
        </is>
      </c>
      <c r="H46" t="inlineStr">
        <is>
          <t>TK KLATKI PIERSIOWEJ JAMY BRZUSZNEJ I MIEDNICY MNIEJSZEJ BEZ I Z KONTRASTEM</t>
        </is>
      </c>
      <c r="I46" t="inlineStr">
        <is>
          <t>TK Onkologia</t>
        </is>
      </c>
      <c r="J46" t="inlineStr">
        <is>
          <t>3 okolice anatomiczne</t>
        </is>
      </c>
      <c r="K46" t="inlineStr">
        <is>
          <t>Tomasz Bujalski</t>
        </is>
      </c>
      <c r="L46" t="inlineStr">
        <is>
          <t> </t>
        </is>
      </c>
      <c r="M46" t="inlineStr">
        <is>
          <t>NIEPUBLICZNY ZAKŁAD OPIEKI ZDROWOTNEJ SZPITAL POWIATOWY W DZIERŻONIOWIE SPÓŁKA Z OGRANICZONĄ ODPOWIEDZIALNOŚCIĄ</t>
        </is>
      </c>
      <c r="N46" t="inlineStr">
        <is>
          <t>Oddział Ginekologiczno-Położniczy</t>
        </is>
      </c>
      <c r="O46" t="inlineStr">
        <is>
          <t>Arkadiusz Zieliński</t>
        </is>
      </c>
      <c r="P46" t="n">
        <v>3621528</v>
      </c>
      <c r="Q46" t="inlineStr">
        <is>
          <t>D64.9</t>
        </is>
      </c>
      <c r="R46" t="inlineStr">
        <is>
          <t>dzierzoniow</t>
        </is>
      </c>
      <c r="S46" s="1" t="n">
        <v>46154.38888888889</v>
      </c>
      <c r="T46" t="n">
        <v>0</v>
      </c>
      <c r="U46" t="inlineStr">
        <is>
          <t>BUJALSKI TOMASZ</t>
        </is>
      </c>
    </row>
    <row r="47">
      <c r="A47" s="1" t="n">
        <v>46155</v>
      </c>
      <c r="B47" t="inlineStr">
        <is>
          <t>872/05/2026</t>
        </is>
      </c>
      <c r="C47" t="inlineStr">
        <is>
          <t>Andrzej Ekielski</t>
        </is>
      </c>
      <c r="D47" t="inlineStr">
        <is>
          <t>44010600038</t>
        </is>
      </c>
      <c r="E47" s="1" t="n">
        <v>46155</v>
      </c>
      <c r="F47" t="inlineStr">
        <is>
          <t>CITO-CITO</t>
        </is>
      </c>
      <c r="G47" t="inlineStr">
        <is>
          <t>TK</t>
        </is>
      </c>
      <c r="H47" t="inlineStr">
        <is>
          <t>Angio TK klatki piersiowej – zatorowość</t>
        </is>
      </c>
      <c r="I47" t="inlineStr">
        <is>
          <t>TK Angiografia</t>
        </is>
      </c>
      <c r="J47" t="inlineStr">
        <is>
          <t>1 okolica anatomiczna</t>
        </is>
      </c>
      <c r="K47" t="inlineStr">
        <is>
          <t>Tomasz Bujalski</t>
        </is>
      </c>
      <c r="L47" t="inlineStr">
        <is>
          <t> </t>
        </is>
      </c>
      <c r="M47" t="inlineStr">
        <is>
          <t>NIEPUBLICZNY ZAKŁAD OPIEKI ZDROWOTNEJ SZPITAL POWIATOWY W DZIERŻONIOWIE SPÓŁKA Z OGRANICZONĄ ODPOWIEDZIALNOŚCIĄ</t>
        </is>
      </c>
      <c r="N47" t="inlineStr">
        <is>
          <t>Oddział Internistyczny</t>
        </is>
      </c>
      <c r="O47" t="inlineStr">
        <is>
          <t>Joanna Urban</t>
        </is>
      </c>
      <c r="P47" t="n">
        <v>1625143</v>
      </c>
      <c r="Q47" t="inlineStr">
        <is>
          <t>J81</t>
        </is>
      </c>
      <c r="R47" t="inlineStr">
        <is>
          <t>dzierzoniow</t>
        </is>
      </c>
      <c r="S47" s="1" t="n">
        <v>46155.53611111111</v>
      </c>
      <c r="T47" t="n">
        <v>0</v>
      </c>
      <c r="U47" t="inlineStr">
        <is>
          <t>BUJALSKI TOMASZ</t>
        </is>
      </c>
    </row>
    <row r="48">
      <c r="A48" s="1" t="n">
        <v>46155</v>
      </c>
      <c r="B48" t="inlineStr">
        <is>
          <t>882/05/2026</t>
        </is>
      </c>
      <c r="C48" t="inlineStr">
        <is>
          <t>Barbara Szlachta</t>
        </is>
      </c>
      <c r="D48" t="inlineStr">
        <is>
          <t>53051117427</t>
        </is>
      </c>
      <c r="E48" s="1" t="n">
        <v>46155</v>
      </c>
      <c r="F48" t="inlineStr">
        <is>
          <t>CITO-CITO</t>
        </is>
      </c>
      <c r="G48" t="inlineStr">
        <is>
          <t>TK</t>
        </is>
      </c>
      <c r="H48" t="inlineStr">
        <is>
          <t>Angio TK klatki piersiowej – zatorowość</t>
        </is>
      </c>
      <c r="I48" t="inlineStr">
        <is>
          <t>TK Angiografia</t>
        </is>
      </c>
      <c r="J48" t="inlineStr">
        <is>
          <t>1 okolica anatomiczna</t>
        </is>
      </c>
      <c r="K48" t="inlineStr">
        <is>
          <t>Tomasz Bujalski</t>
        </is>
      </c>
      <c r="L48" t="inlineStr">
        <is>
          <t> </t>
        </is>
      </c>
      <c r="M48" t="inlineStr">
        <is>
          <t>NIEPUBLICZNY ZAKŁAD OPIEKI ZDROWOTNEJ SZPITAL POWIATOWY W DZIERŻONIOWIE SPÓŁKA Z OGRANICZONĄ ODPOWIEDZIALNOŚCIĄ</t>
        </is>
      </c>
      <c r="N48" t="inlineStr">
        <is>
          <t>Izba Przyjęć Cicha</t>
        </is>
      </c>
      <c r="O48" t="inlineStr">
        <is>
          <t>PIOTR SAWINA</t>
        </is>
      </c>
      <c r="P48" t="n">
        <v>4211656</v>
      </c>
      <c r="Q48" t="inlineStr">
        <is>
          <t> </t>
        </is>
      </c>
      <c r="R48" t="inlineStr">
        <is>
          <t>dzierzoniow</t>
        </is>
      </c>
      <c r="S48" s="1" t="n">
        <v>46155.64236111111</v>
      </c>
      <c r="T48" t="n">
        <v>0</v>
      </c>
      <c r="U48" t="inlineStr">
        <is>
          <t>BUJALSKI TOMASZ</t>
        </is>
      </c>
    </row>
    <row r="49">
      <c r="A49" s="1" t="n">
        <v>46157</v>
      </c>
      <c r="B49" t="inlineStr">
        <is>
          <t>982/05/2026</t>
        </is>
      </c>
      <c r="C49" t="inlineStr">
        <is>
          <t>Ryszard Łobas</t>
        </is>
      </c>
      <c r="D49" t="inlineStr">
        <is>
          <t>73071512994</t>
        </is>
      </c>
      <c r="E49" s="1" t="n">
        <v>46157</v>
      </c>
      <c r="F49" t="inlineStr">
        <is>
          <t>CITO-CITO</t>
        </is>
      </c>
      <c r="G49" t="inlineStr">
        <is>
          <t>TK</t>
        </is>
      </c>
      <c r="H49" t="inlineStr">
        <is>
          <t>TK GŁOWY BEZ WZMOCNIENIA KONTRASTOWEGO</t>
        </is>
      </c>
      <c r="I49" t="inlineStr">
        <is>
          <t>TK Zwykłe</t>
        </is>
      </c>
      <c r="J49" t="inlineStr">
        <is>
          <t>1 okolica anatomiczna</t>
        </is>
      </c>
      <c r="K49" t="inlineStr">
        <is>
          <t>Tomasz Bujalski</t>
        </is>
      </c>
      <c r="L49" t="inlineStr">
        <is>
          <t> </t>
        </is>
      </c>
      <c r="M49" t="inlineStr">
        <is>
          <t>NIEPUBLICZNY ZAKŁAD OPIEKI ZDROWOTNEJ SZPITAL POWIATOWY W DZIERŻONIOWIE SPÓŁKA Z OGRANICZONĄ ODPOWIEDZIALNOŚCIĄ</t>
        </is>
      </c>
      <c r="N49" t="inlineStr">
        <is>
          <t>Izba Przyjęć Cicha</t>
        </is>
      </c>
      <c r="O49" t="inlineStr">
        <is>
          <t>AMJAD ALHAJSALEM</t>
        </is>
      </c>
      <c r="P49" t="n">
        <v>3645014</v>
      </c>
      <c r="Q49" t="inlineStr">
        <is>
          <t>I64</t>
        </is>
      </c>
      <c r="R49" t="inlineStr">
        <is>
          <t>dzierzoniow</t>
        </is>
      </c>
      <c r="S49" s="1" t="n">
        <v>46157.39722222222</v>
      </c>
      <c r="T49" t="n">
        <v>0</v>
      </c>
      <c r="U49" t="inlineStr">
        <is>
          <t>BUJALSKI TOMASZ</t>
        </is>
      </c>
    </row>
    <row r="50">
      <c r="A50" s="1" t="n">
        <v>46159</v>
      </c>
      <c r="B50" t="inlineStr">
        <is>
          <t>1058/05/2026</t>
        </is>
      </c>
      <c r="C50" t="inlineStr">
        <is>
          <t>Zdzisław Nowik</t>
        </is>
      </c>
      <c r="D50" t="inlineStr">
        <is>
          <t>55011004431</t>
        </is>
      </c>
      <c r="E50" s="1" t="n">
        <v>46159</v>
      </c>
      <c r="F50" t="inlineStr">
        <is>
          <t>CITO-CITO</t>
        </is>
      </c>
      <c r="G50" t="inlineStr">
        <is>
          <t>TK</t>
        </is>
      </c>
      <c r="H50" t="inlineStr">
        <is>
          <t>TK jamy brzusznej + miednica bez i z wzmocnieniem kontrastowym</t>
        </is>
      </c>
      <c r="I50" t="inlineStr">
        <is>
          <t>TK Zwykłe</t>
        </is>
      </c>
      <c r="J50" t="inlineStr">
        <is>
          <t>2 okolice anatomiczne</t>
        </is>
      </c>
      <c r="K50" t="inlineStr">
        <is>
          <t>Tomasz Bujalski</t>
        </is>
      </c>
      <c r="L50" t="inlineStr">
        <is>
          <t> </t>
        </is>
      </c>
      <c r="M50" t="inlineStr">
        <is>
          <t>NIEPUBLICZNY ZAKŁAD OPIEKI ZDROWOTNEJ SZPITAL POWIATOWY W DZIERŻONIOWIE SPÓŁKA Z OGRANICZONĄ ODPOWIEDZIALNOŚCIĄ</t>
        </is>
      </c>
      <c r="N50" t="inlineStr">
        <is>
          <t>Izba Przyjęć Cicha</t>
        </is>
      </c>
      <c r="O50" t="inlineStr">
        <is>
          <t>Łukasz Wajs</t>
        </is>
      </c>
      <c r="P50" t="n">
        <v>3187349</v>
      </c>
      <c r="Q50" t="inlineStr">
        <is>
          <t>R10</t>
        </is>
      </c>
      <c r="R50" t="inlineStr">
        <is>
          <t>dzierzoniow</t>
        </is>
      </c>
      <c r="S50" s="1" t="n">
        <v>46159.50833333333</v>
      </c>
      <c r="T50" t="n">
        <v>0</v>
      </c>
      <c r="U50" t="inlineStr">
        <is>
          <t>BUJALSKI TOMASZ</t>
        </is>
      </c>
    </row>
    <row r="51">
      <c r="A51" s="1" t="n">
        <v>46162</v>
      </c>
      <c r="B51" t="inlineStr">
        <is>
          <t>1000231</t>
        </is>
      </c>
      <c r="C51" t="inlineStr">
        <is>
          <t>Marzena Kujawa</t>
        </is>
      </c>
      <c r="D51" t="inlineStr">
        <is>
          <t>89030706980</t>
        </is>
      </c>
      <c r="E51" s="1" t="n">
        <v>46162</v>
      </c>
      <c r="F51" t="inlineStr">
        <is>
          <t>Pilny</t>
        </is>
      </c>
      <c r="G51" t="inlineStr">
        <is>
          <t>TK</t>
        </is>
      </c>
      <c r="H51" t="inlineStr">
        <is>
          <t>TK jamy brzusznej + miednica bez i z wzmocnieniem kontrastowym</t>
        </is>
      </c>
      <c r="I51" t="inlineStr">
        <is>
          <t>TK Zwykłe</t>
        </is>
      </c>
      <c r="J51" t="inlineStr">
        <is>
          <t>2 okolice anatomiczne</t>
        </is>
      </c>
      <c r="K51" t="inlineStr">
        <is>
          <t>Tomasz Bujalski</t>
        </is>
      </c>
      <c r="L51" t="inlineStr">
        <is>
          <t> </t>
        </is>
      </c>
      <c r="M51" t="inlineStr">
        <is>
          <t>NIEPUBLICZNY ZAKŁAD OPIEKI ZDROWOTNEJ SZPITAL POWIATOWY W DZIERŻONIOWIE SPÓŁKA Z OGRANICZONĄ ODPOWIEDZIALNOŚCIĄ</t>
        </is>
      </c>
      <c r="N51" t="inlineStr">
        <is>
          <t>Oddział Chirurgiczny</t>
        </is>
      </c>
      <c r="O51" t="inlineStr">
        <is>
          <t>Józef Drobny</t>
        </is>
      </c>
      <c r="P51" t="n">
        <v>4213920</v>
      </c>
      <c r="Q51" t="inlineStr">
        <is>
          <t>K83.2</t>
        </is>
      </c>
      <c r="R51" t="inlineStr">
        <is>
          <t>dzierzoniow</t>
        </is>
      </c>
      <c r="S51" s="1" t="n">
        <v>46162.60486111111</v>
      </c>
      <c r="T51" t="n">
        <v>0</v>
      </c>
      <c r="U51" t="inlineStr">
        <is>
          <t>BUJALSKI TOMASZ</t>
        </is>
      </c>
    </row>
    <row r="52">
      <c r="A52" s="1" t="n">
        <v>46163</v>
      </c>
      <c r="B52" t="inlineStr">
        <is>
          <t>1000263</t>
        </is>
      </c>
      <c r="C52" t="inlineStr">
        <is>
          <t>Anna Palko</t>
        </is>
      </c>
      <c r="D52" t="inlineStr">
        <is>
          <t>89120906726</t>
        </is>
      </c>
      <c r="E52" s="1" t="n">
        <v>46163</v>
      </c>
      <c r="F52" t="inlineStr">
        <is>
          <t>CITO-CITO</t>
        </is>
      </c>
      <c r="G52" t="inlineStr">
        <is>
          <t>TK</t>
        </is>
      </c>
      <c r="H52" t="inlineStr">
        <is>
          <t>TK GŁOWY BEZ WZMOCNIENIA KONTRASTOWEGO</t>
        </is>
      </c>
      <c r="I52" t="inlineStr">
        <is>
          <t>TK Zwykłe</t>
        </is>
      </c>
      <c r="J52" t="inlineStr">
        <is>
          <t>1 okolica anatomiczna</t>
        </is>
      </c>
      <c r="K52" t="inlineStr">
        <is>
          <t>Tomasz Bujalski</t>
        </is>
      </c>
      <c r="L52" t="inlineStr">
        <is>
          <t> </t>
        </is>
      </c>
      <c r="M52" t="inlineStr">
        <is>
          <t>NIEPUBLICZNY ZAKŁAD OPIEKI ZDROWOTNEJ SZPITAL POWIATOWY W DZIERŻONIOWIE SPÓŁKA Z OGRANICZONĄ ODPOWIEDZIALNOŚCIĄ</t>
        </is>
      </c>
      <c r="N52" t="inlineStr">
        <is>
          <t>Oddział Ginekologiczno-Położniczy</t>
        </is>
      </c>
      <c r="O52" t="inlineStr">
        <is>
          <t>Andrzej Popiela</t>
        </is>
      </c>
      <c r="P52" t="n">
        <v>1195802</v>
      </c>
      <c r="Q52" t="inlineStr">
        <is>
          <t>O03.1</t>
        </is>
      </c>
      <c r="R52" t="inlineStr">
        <is>
          <t>dzierzoniow</t>
        </is>
      </c>
      <c r="S52" s="1" t="n">
        <v>46163.27916666667</v>
      </c>
      <c r="T52" t="n">
        <v>0</v>
      </c>
      <c r="U52" t="inlineStr">
        <is>
          <t>BUJALSKI TOMASZ</t>
        </is>
      </c>
    </row>
    <row r="53">
      <c r="A53" s="1" t="n">
        <v>46164</v>
      </c>
      <c r="B53" t="inlineStr">
        <is>
          <t>798/05/2026</t>
        </is>
      </c>
      <c r="C53" t="inlineStr">
        <is>
          <t>Dariusz Kwiesielewicz</t>
        </is>
      </c>
      <c r="D53" t="inlineStr">
        <is>
          <t>63041103299</t>
        </is>
      </c>
      <c r="E53" s="1" t="n">
        <v>46163</v>
      </c>
      <c r="F53" t="inlineStr">
        <is>
          <t>Planowy</t>
        </is>
      </c>
      <c r="G53" t="inlineStr">
        <is>
          <t>TK</t>
        </is>
      </c>
      <c r="H53" t="inlineStr">
        <is>
          <t>Angio TK tt. mózgowia</t>
        </is>
      </c>
      <c r="I53" t="inlineStr">
        <is>
          <t>TK Angiografia</t>
        </is>
      </c>
      <c r="J53" t="inlineStr">
        <is>
          <t>1 okolica anatomiczna</t>
        </is>
      </c>
      <c r="K53" t="inlineStr">
        <is>
          <t>Tomasz Bujalski</t>
        </is>
      </c>
      <c r="L53" t="inlineStr">
        <is>
          <t> </t>
        </is>
      </c>
      <c r="M53" t="inlineStr">
        <is>
          <t>Danuta Powierza</t>
        </is>
      </c>
      <c r="N53" t="inlineStr">
        <is>
          <t>Nie wskazano</t>
        </is>
      </c>
      <c r="O53" t="inlineStr">
        <is>
          <t>Joanna Nazarewicz</t>
        </is>
      </c>
      <c r="P53" t="n">
        <v>3377485</v>
      </c>
      <c r="Q53" t="inlineStr">
        <is>
          <t>I69.3</t>
        </is>
      </c>
      <c r="R53" t="inlineStr">
        <is>
          <t>dzierzoniow</t>
        </is>
      </c>
      <c r="S53" s="1" t="n">
        <v>46163.49791666667</v>
      </c>
      <c r="T53" t="n">
        <v>0</v>
      </c>
      <c r="U53" t="inlineStr">
        <is>
          <t>BUJALSKI TOMASZ</t>
        </is>
      </c>
    </row>
    <row r="54">
      <c r="A54" s="1" t="n">
        <v>46164</v>
      </c>
      <c r="B54" t="inlineStr">
        <is>
          <t>801/05/2026</t>
        </is>
      </c>
      <c r="C54" t="inlineStr">
        <is>
          <t>Dariusz Kwiesielewicz</t>
        </is>
      </c>
      <c r="D54" t="inlineStr">
        <is>
          <t>63041103299</t>
        </is>
      </c>
      <c r="E54" s="1" t="n">
        <v>46163</v>
      </c>
      <c r="F54" t="inlineStr">
        <is>
          <t>Planowy</t>
        </is>
      </c>
      <c r="G54" t="inlineStr">
        <is>
          <t>TK</t>
        </is>
      </c>
      <c r="H54" t="inlineStr">
        <is>
          <t>Angio TK tt. szyjne</t>
        </is>
      </c>
      <c r="I54" t="inlineStr">
        <is>
          <t>TK Angiografia</t>
        </is>
      </c>
      <c r="J54" t="inlineStr">
        <is>
          <t>1 okolica anatomiczna</t>
        </is>
      </c>
      <c r="K54" t="inlineStr">
        <is>
          <t>Tomasz Bujalski</t>
        </is>
      </c>
      <c r="L54" t="inlineStr">
        <is>
          <t> </t>
        </is>
      </c>
      <c r="M54" t="inlineStr">
        <is>
          <t>Danuta Powierza</t>
        </is>
      </c>
      <c r="N54" t="inlineStr">
        <is>
          <t>Nie wskazano</t>
        </is>
      </c>
      <c r="O54" t="inlineStr">
        <is>
          <t>Joanna Nazarewicz</t>
        </is>
      </c>
      <c r="P54" t="n">
        <v>3377485</v>
      </c>
      <c r="Q54" t="inlineStr">
        <is>
          <t>I69.3</t>
        </is>
      </c>
      <c r="R54" t="inlineStr">
        <is>
          <t>dzierzoniow</t>
        </is>
      </c>
      <c r="S54" s="1" t="n">
        <v>46163.50069444445</v>
      </c>
      <c r="T54" t="n">
        <v>0</v>
      </c>
      <c r="U54" t="inlineStr">
        <is>
          <t>BUJALSKI TOMASZ</t>
        </is>
      </c>
    </row>
    <row r="55">
      <c r="A55" s="1" t="n">
        <v>46167</v>
      </c>
      <c r="B55" t="inlineStr">
        <is>
          <t>1000397</t>
        </is>
      </c>
      <c r="C55" t="inlineStr">
        <is>
          <t>Eugenia Stepaniak</t>
        </is>
      </c>
      <c r="D55" t="inlineStr">
        <is>
          <t>39062208105</t>
        </is>
      </c>
      <c r="E55" s="1" t="n">
        <v>46164</v>
      </c>
      <c r="F55" t="inlineStr">
        <is>
          <t>Pilny</t>
        </is>
      </c>
      <c r="G55" t="inlineStr">
        <is>
          <t>TK</t>
        </is>
      </c>
      <c r="H55" t="inlineStr">
        <is>
          <t>TK KLATKI PIERSIOWEJ JAMY BRZUSZNEJ I MIEDNICY MNIEJSZEJ BEZ I Z KONTRASTEM</t>
        </is>
      </c>
      <c r="I55" t="inlineStr">
        <is>
          <t>TK Onkologia</t>
        </is>
      </c>
      <c r="J55" t="inlineStr">
        <is>
          <t>3 okolice anatomiczne</t>
        </is>
      </c>
      <c r="K55" t="inlineStr">
        <is>
          <t>Tomasz Bujalski</t>
        </is>
      </c>
      <c r="L55" t="inlineStr">
        <is>
          <t> </t>
        </is>
      </c>
      <c r="M55" t="inlineStr">
        <is>
          <t>NIEPUBLICZNY ZAKŁAD OPIEKI ZDROWOTNEJ SZPITAL POWIATOWY W DZIERŻONIOWIE SPÓŁKA Z OGRANICZONĄ ODPOWIEDZIALNOŚCIĄ</t>
        </is>
      </c>
      <c r="N55" t="inlineStr">
        <is>
          <t>Oddział Internistyczny</t>
        </is>
      </c>
      <c r="O55" t="inlineStr">
        <is>
          <t>KSENIIA OLEKSIUK</t>
        </is>
      </c>
      <c r="P55" t="n">
        <v>4374211</v>
      </c>
      <c r="Q55" t="inlineStr">
        <is>
          <t>D64.8</t>
        </is>
      </c>
      <c r="R55" t="inlineStr">
        <is>
          <t>dzierzoniow</t>
        </is>
      </c>
      <c r="S55" s="1" t="n">
        <v>46164.62222222222</v>
      </c>
      <c r="T55" t="n">
        <v>0</v>
      </c>
      <c r="U55" t="inlineStr">
        <is>
          <t>BUJALSKI TOMASZ</t>
        </is>
      </c>
    </row>
    <row r="56">
      <c r="A56" s="1" t="n">
        <v>46170</v>
      </c>
      <c r="B56" t="inlineStr">
        <is>
          <t>1000534</t>
        </is>
      </c>
      <c r="C56" t="inlineStr">
        <is>
          <t>Barbara Biskowska</t>
        </is>
      </c>
      <c r="D56" t="inlineStr">
        <is>
          <t>59112811888</t>
        </is>
      </c>
      <c r="E56" s="1" t="n">
        <v>46167</v>
      </c>
      <c r="F56" t="inlineStr">
        <is>
          <t>Planowy</t>
        </is>
      </c>
      <c r="G56" t="inlineStr">
        <is>
          <t>TK</t>
        </is>
      </c>
      <c r="H56" t="inlineStr">
        <is>
          <t>TK jamy brzusznej + miednica bez i z wzmocnieniem kontrastowym</t>
        </is>
      </c>
      <c r="I56" t="inlineStr">
        <is>
          <t>TK Onkologia</t>
        </is>
      </c>
      <c r="J56" t="inlineStr">
        <is>
          <t>2 okolice anatomiczne</t>
        </is>
      </c>
      <c r="K56" t="inlineStr">
        <is>
          <t>Tomasz Bujalski</t>
        </is>
      </c>
      <c r="L56" t="inlineStr">
        <is>
          <t> </t>
        </is>
      </c>
      <c r="M56" t="inlineStr">
        <is>
          <t>NIEPUBLICZNY ZAKŁAD OPIEKI ZDROWOTNEJ SZPITAL POWIATOWY W DZIERŻONIOWIE SPÓŁKA Z OGRANICZONĄ ODPOWIEDZIALNOŚCIĄ</t>
        </is>
      </c>
      <c r="N56" t="inlineStr">
        <is>
          <t>Oddział Ginekologiczno-Położniczy</t>
        </is>
      </c>
      <c r="O56" t="inlineStr">
        <is>
          <t>Arkadiusz Zieliński</t>
        </is>
      </c>
      <c r="P56" t="n">
        <v>3621528</v>
      </c>
      <c r="Q56" t="inlineStr">
        <is>
          <t>C51.9</t>
        </is>
      </c>
      <c r="R56" t="inlineStr">
        <is>
          <t>dzierzoniow</t>
        </is>
      </c>
      <c r="S56" s="1" t="n">
        <v>46167.50902777778</v>
      </c>
      <c r="T56" t="n">
        <v>0</v>
      </c>
      <c r="U56" t="inlineStr">
        <is>
          <t>BUJALSKI TOMASZ</t>
        </is>
      </c>
    </row>
    <row r="57">
      <c r="A57" s="1" t="n">
        <v>46149</v>
      </c>
      <c r="B57" t="inlineStr">
        <is>
          <t>232942-2026</t>
        </is>
      </c>
      <c r="C57" t="inlineStr">
        <is>
          <t>MIECZYSŁAW KUCZEWSKI</t>
        </is>
      </c>
      <c r="D57" t="n">
        <v>37010156579</v>
      </c>
      <c r="E57" s="1" t="n">
        <v>46146</v>
      </c>
      <c r="F57" t="inlineStr">
        <is>
          <t>Pilny</t>
        </is>
      </c>
      <c r="G57" t="inlineStr">
        <is>
          <t>TK</t>
        </is>
      </c>
      <c r="H57" t="inlineStr">
        <is>
          <t>HRCT klatki piersiowej</t>
        </is>
      </c>
      <c r="I57" t="inlineStr">
        <is>
          <t>TK Zwykłe</t>
        </is>
      </c>
      <c r="J57" t="inlineStr">
        <is>
          <t>1 okolica anatomiczna</t>
        </is>
      </c>
      <c r="K57" t="inlineStr">
        <is>
          <t>Tomasz Bujalski</t>
        </is>
      </c>
      <c r="L57" t="inlineStr">
        <is>
          <t> </t>
        </is>
      </c>
      <c r="M57" t="inlineStr">
        <is>
          <t>SZPITAL OGÓLNY IM. DR WITOLDA GINELA W GRAJEWIE</t>
        </is>
      </c>
      <c r="N57" t="inlineStr">
        <is>
          <t>Oddział chorób wewnętrznych</t>
        </is>
      </c>
      <c r="O57" t="inlineStr">
        <is>
          <t>MARZENA  CISZYŃSKA</t>
        </is>
      </c>
      <c r="P57" t="inlineStr">
        <is>
          <t>2293192</t>
        </is>
      </c>
      <c r="Q57" t="inlineStr">
        <is>
          <t>J84</t>
        </is>
      </c>
      <c r="R57" t="inlineStr">
        <is>
          <t>grajewo</t>
        </is>
      </c>
      <c r="S57" s="1" t="n">
        <v>46149.33333333334</v>
      </c>
      <c r="T57" t="n">
        <v>1</v>
      </c>
      <c r="U57" t="inlineStr">
        <is>
          <t>BUJALSKI TOMASZ</t>
        </is>
      </c>
    </row>
    <row r="58">
      <c r="A58" s="1" t="n">
        <v>46150</v>
      </c>
      <c r="B58" t="inlineStr">
        <is>
          <t>242015-2026</t>
        </is>
      </c>
      <c r="C58" t="inlineStr">
        <is>
          <t>Wiesław Serdyński</t>
        </is>
      </c>
      <c r="D58" t="n">
        <v>59092314270</v>
      </c>
      <c r="E58" s="1" t="n">
        <v>46150</v>
      </c>
      <c r="F58" t="inlineStr">
        <is>
          <t>CITO-CITO</t>
        </is>
      </c>
      <c r="G58" t="inlineStr">
        <is>
          <t>TK</t>
        </is>
      </c>
      <c r="H58" t="inlineStr">
        <is>
          <t>TK głowy bez wzmocnienia kontrastowego</t>
        </is>
      </c>
      <c r="I58" t="inlineStr">
        <is>
          <t>TK Zwykłe</t>
        </is>
      </c>
      <c r="J58" t="inlineStr">
        <is>
          <t>1 okolica anatomiczna</t>
        </is>
      </c>
      <c r="K58" t="inlineStr">
        <is>
          <t>Tomasz Bujalski</t>
        </is>
      </c>
      <c r="L58" t="inlineStr">
        <is>
          <t> </t>
        </is>
      </c>
      <c r="M58" t="inlineStr">
        <is>
          <t>SZPITAL OGÓLNY IM. DR WITOLDA GINELA W GRAJEWIE</t>
        </is>
      </c>
      <c r="N58" t="inlineStr">
        <is>
          <t>Oddziała obserwacyjno - zakaźny</t>
        </is>
      </c>
      <c r="O58" t="inlineStr">
        <is>
          <t>Anna Pryszczepko-Wawreszuk</t>
        </is>
      </c>
      <c r="P58" t="inlineStr">
        <is>
          <t>4194387</t>
        </is>
      </c>
      <c r="Q58" t="inlineStr">
        <is>
          <t>A87</t>
        </is>
      </c>
      <c r="R58" t="inlineStr">
        <is>
          <t>grajewo</t>
        </is>
      </c>
      <c r="S58" s="1" t="n">
        <v>46150.24236111111</v>
      </c>
      <c r="T58" t="n">
        <v>0</v>
      </c>
      <c r="U58" t="inlineStr">
        <is>
          <t>BUJALSKI TOMASZ</t>
        </is>
      </c>
    </row>
    <row r="59">
      <c r="A59" s="1" t="n">
        <v>46153</v>
      </c>
      <c r="B59" t="inlineStr">
        <is>
          <t>244639-2026</t>
        </is>
      </c>
      <c r="C59" t="inlineStr">
        <is>
          <t>JÓZEF KILEWSKI</t>
        </is>
      </c>
      <c r="D59" t="n">
        <v>54091519152</v>
      </c>
      <c r="E59" s="1" t="n">
        <v>46153</v>
      </c>
      <c r="F59" t="inlineStr">
        <is>
          <t>CITO-CITO</t>
        </is>
      </c>
      <c r="G59" t="inlineStr">
        <is>
          <t>TK</t>
        </is>
      </c>
      <c r="H59" t="inlineStr">
        <is>
          <t>TK głowy bez wzmocnienia kontrastowego</t>
        </is>
      </c>
      <c r="I59" t="inlineStr">
        <is>
          <t>TK Zwykłe</t>
        </is>
      </c>
      <c r="J59" t="inlineStr">
        <is>
          <t>1 okolica anatomiczna</t>
        </is>
      </c>
      <c r="K59" t="inlineStr">
        <is>
          <t>Tomasz Bujalski</t>
        </is>
      </c>
      <c r="L59" t="inlineStr">
        <is>
          <t> </t>
        </is>
      </c>
      <c r="M59" t="inlineStr">
        <is>
          <t>SZPITAL OGÓLNY IM. DR WITOLDA GINELA W GRAJEWIE</t>
        </is>
      </c>
      <c r="N59" t="inlineStr">
        <is>
          <t>Szpitalny oddział ratunkowy</t>
        </is>
      </c>
      <c r="O59" t="inlineStr">
        <is>
          <t>Bogdan Łapiński</t>
        </is>
      </c>
      <c r="P59" t="inlineStr">
        <is>
          <t>4366317</t>
        </is>
      </c>
      <c r="Q59" t="inlineStr">
        <is>
          <t>R55</t>
        </is>
      </c>
      <c r="R59" t="inlineStr">
        <is>
          <t>grajewo</t>
        </is>
      </c>
      <c r="S59" s="1" t="n">
        <v>46153.37986111111</v>
      </c>
      <c r="T59" t="n">
        <v>0</v>
      </c>
      <c r="U59" t="inlineStr">
        <is>
          <t>BUJALSKI TOMASZ</t>
        </is>
      </c>
    </row>
    <row r="60">
      <c r="A60" s="1" t="n">
        <v>46160</v>
      </c>
      <c r="B60" t="inlineStr">
        <is>
          <t>256709-2026</t>
        </is>
      </c>
      <c r="C60" t="inlineStr">
        <is>
          <t>IRENA Sujata</t>
        </is>
      </c>
      <c r="D60" t="n">
        <v>48071715449</v>
      </c>
      <c r="E60" s="1" t="n">
        <v>46160</v>
      </c>
      <c r="F60" t="inlineStr">
        <is>
          <t>CITO-CITO</t>
        </is>
      </c>
      <c r="G60" t="inlineStr">
        <is>
          <t>TK</t>
        </is>
      </c>
      <c r="H60" t="inlineStr">
        <is>
          <t>TK jamy brzusznej lub miednicy małej bez wzmocnienia kontrastowego</t>
        </is>
      </c>
      <c r="I60" t="inlineStr">
        <is>
          <t>TK Onkologia</t>
        </is>
      </c>
      <c r="J60" t="inlineStr">
        <is>
          <t>2 okolice anatomiczne</t>
        </is>
      </c>
      <c r="K60" t="inlineStr">
        <is>
          <t>Tomasz Bujalski</t>
        </is>
      </c>
      <c r="L60" t="inlineStr">
        <is>
          <t> </t>
        </is>
      </c>
      <c r="M60" t="inlineStr">
        <is>
          <t>SZPITAL OGÓLNY IM. DR WITOLDA GINELA W GRAJEWIE</t>
        </is>
      </c>
      <c r="N60" t="inlineStr">
        <is>
          <t>Szpitalny oddział ratunkowy</t>
        </is>
      </c>
      <c r="O60" t="inlineStr">
        <is>
          <t>KRZYSZTOF  NIKLIŃSKI</t>
        </is>
      </c>
      <c r="P60" t="inlineStr">
        <is>
          <t>4365220</t>
        </is>
      </c>
      <c r="Q60" t="inlineStr">
        <is>
          <t>R11</t>
        </is>
      </c>
      <c r="R60" t="inlineStr">
        <is>
          <t>grajewo</t>
        </is>
      </c>
      <c r="S60" s="1" t="n">
        <v>46160.41666666666</v>
      </c>
      <c r="T60" t="n">
        <v>0</v>
      </c>
      <c r="U60" t="inlineStr">
        <is>
          <t>BUJALSKI TOMASZ</t>
        </is>
      </c>
    </row>
    <row r="61">
      <c r="A61" s="1" t="n">
        <v>46161</v>
      </c>
      <c r="B61" t="inlineStr">
        <is>
          <t>257554-2026</t>
        </is>
      </c>
      <c r="C61" t="inlineStr">
        <is>
          <t>Mariusz Dzikowski</t>
        </is>
      </c>
      <c r="D61" t="n">
        <v>94041203696</v>
      </c>
      <c r="E61" s="1" t="n">
        <v>46161</v>
      </c>
      <c r="F61" t="inlineStr">
        <is>
          <t>CITO-CITO</t>
        </is>
      </c>
      <c r="G61" t="inlineStr">
        <is>
          <t>TK</t>
        </is>
      </c>
      <c r="H61" t="inlineStr">
        <is>
          <t>TK kręgosłupa lędźwiowo-krzyżowego bez wzmocnienia kontrastowego</t>
        </is>
      </c>
      <c r="I61" t="inlineStr">
        <is>
          <t>TK Zwykłe</t>
        </is>
      </c>
      <c r="J61" t="inlineStr">
        <is>
          <t>1 okolica anatomiczna</t>
        </is>
      </c>
      <c r="K61" t="inlineStr">
        <is>
          <t>Tomasz Bujalski</t>
        </is>
      </c>
      <c r="L61" t="inlineStr">
        <is>
          <t> </t>
        </is>
      </c>
      <c r="M61" t="inlineStr">
        <is>
          <t>SZPITAL OGÓLNY IM. DR WITOLDA GINELA W GRAJEWIE</t>
        </is>
      </c>
      <c r="N61" t="inlineStr">
        <is>
          <t>Oddział chirurgii ogólnej</t>
        </is>
      </c>
      <c r="O61" t="inlineStr">
        <is>
          <t>Iryna Prakopchyk</t>
        </is>
      </c>
      <c r="P61" t="inlineStr">
        <is>
          <t>3889698</t>
        </is>
      </c>
      <c r="Q61" t="inlineStr">
        <is>
          <t>S70</t>
        </is>
      </c>
      <c r="R61" t="inlineStr">
        <is>
          <t>grajewo</t>
        </is>
      </c>
      <c r="S61" s="1" t="n">
        <v>46161.41041666667</v>
      </c>
      <c r="T61" t="n">
        <v>0</v>
      </c>
      <c r="U61" t="inlineStr">
        <is>
          <t>BUJALSKI TOMASZ</t>
        </is>
      </c>
    </row>
    <row r="62">
      <c r="A62" s="1" t="n">
        <v>46167</v>
      </c>
      <c r="B62" t="inlineStr">
        <is>
          <t>267346-2026</t>
        </is>
      </c>
      <c r="C62" t="inlineStr">
        <is>
          <t>BARTOSZ ZALEWSKI</t>
        </is>
      </c>
      <c r="D62" t="n">
        <v>13320600034</v>
      </c>
      <c r="E62" s="1" t="n">
        <v>46167</v>
      </c>
      <c r="F62" t="inlineStr">
        <is>
          <t>CITO-CITO</t>
        </is>
      </c>
      <c r="G62" t="inlineStr">
        <is>
          <t>TK</t>
        </is>
      </c>
      <c r="H62" t="inlineStr">
        <is>
          <t>TK głowy bez wzmocnienia kontrastowego</t>
        </is>
      </c>
      <c r="I62" t="inlineStr">
        <is>
          <t>TK Zwykłe</t>
        </is>
      </c>
      <c r="J62" t="inlineStr">
        <is>
          <t>1 okolica anatomiczna</t>
        </is>
      </c>
      <c r="K62" t="inlineStr">
        <is>
          <t>Tomasz Bujalski</t>
        </is>
      </c>
      <c r="L62" t="inlineStr">
        <is>
          <t> </t>
        </is>
      </c>
      <c r="M62" t="inlineStr">
        <is>
          <t>SZPITAL OGÓLNY IM. DR WITOLDA GINELA W GRAJEWIE</t>
        </is>
      </c>
      <c r="N62" t="inlineStr">
        <is>
          <t>Szpitalny oddział ratunkowy</t>
        </is>
      </c>
      <c r="O62" t="inlineStr">
        <is>
          <t>Bogdan Łapiński</t>
        </is>
      </c>
      <c r="P62" t="inlineStr">
        <is>
          <t>4366317</t>
        </is>
      </c>
      <c r="Q62" t="inlineStr">
        <is>
          <t>S09</t>
        </is>
      </c>
      <c r="R62" t="inlineStr">
        <is>
          <t>grajewo</t>
        </is>
      </c>
      <c r="S62" s="1" t="n">
        <v>46167.30486111111</v>
      </c>
      <c r="T62" t="n">
        <v>0</v>
      </c>
      <c r="U62" t="inlineStr">
        <is>
          <t>BUJALSKI TOMASZ</t>
        </is>
      </c>
    </row>
    <row r="63">
      <c r="A63" s="1" t="n">
        <v>46170</v>
      </c>
      <c r="B63" t="inlineStr">
        <is>
          <t>276778-2026</t>
        </is>
      </c>
      <c r="C63" t="inlineStr">
        <is>
          <t>EDWARD WSZEBOROWSKI</t>
        </is>
      </c>
      <c r="D63" t="n">
        <v>64082014173</v>
      </c>
      <c r="E63" s="1" t="n">
        <v>46170</v>
      </c>
      <c r="F63" t="inlineStr">
        <is>
          <t>CITO-CITO</t>
        </is>
      </c>
      <c r="G63" t="inlineStr">
        <is>
          <t>TK</t>
        </is>
      </c>
      <c r="H63" t="inlineStr">
        <is>
          <t>TK głowy bez wzmocnienia kontrastowego</t>
        </is>
      </c>
      <c r="I63" t="inlineStr">
        <is>
          <t>TK Zwykłe</t>
        </is>
      </c>
      <c r="J63" t="inlineStr">
        <is>
          <t>1 okolica anatomiczna</t>
        </is>
      </c>
      <c r="K63" t="inlineStr">
        <is>
          <t>Tomasz Bujalski</t>
        </is>
      </c>
      <c r="L63" t="inlineStr">
        <is>
          <t> </t>
        </is>
      </c>
      <c r="M63" t="inlineStr">
        <is>
          <t>SZPITAL OGÓLNY IM. DR WITOLDA GINELA W GRAJEWIE</t>
        </is>
      </c>
      <c r="N63" t="inlineStr">
        <is>
          <t>Oddział chirurgii ogólnej</t>
        </is>
      </c>
      <c r="O63" t="inlineStr">
        <is>
          <t>Antoni Czaczkowski</t>
        </is>
      </c>
      <c r="P63" t="inlineStr">
        <is>
          <t>8360453</t>
        </is>
      </c>
      <c r="Q63" t="inlineStr">
        <is>
          <t>I69</t>
        </is>
      </c>
      <c r="R63" t="inlineStr">
        <is>
          <t>grajewo</t>
        </is>
      </c>
      <c r="S63" s="1" t="n">
        <v>46170.18333333333</v>
      </c>
      <c r="T63" t="n">
        <v>0</v>
      </c>
      <c r="U63" t="inlineStr">
        <is>
          <t>BUJALSKI TOMASZ</t>
        </is>
      </c>
    </row>
    <row r="64">
      <c r="A64" s="1" t="n">
        <v>46149</v>
      </c>
      <c r="B64" t="n">
        <v>31340638</v>
      </c>
      <c r="C64" t="inlineStr">
        <is>
          <t>GRZEGORZ KOWALIK</t>
        </is>
      </c>
      <c r="D64" t="n">
        <v>53061509715</v>
      </c>
      <c r="E64" s="1" t="n">
        <v>46133</v>
      </c>
      <c r="F64" t="inlineStr">
        <is>
          <t>CITO-CITO</t>
        </is>
      </c>
      <c r="G64" t="inlineStr">
        <is>
          <t>MR</t>
        </is>
      </c>
      <c r="H64" t="inlineStr">
        <is>
          <t>Rezonans Magnetyczny jamy brzusznej z kontrastem</t>
        </is>
      </c>
      <c r="I64" t="inlineStr">
        <is>
          <t>MR Inne - wtym prostata, miednica, jama brzuszna tkanki miekkie</t>
        </is>
      </c>
      <c r="J64" t="inlineStr">
        <is>
          <t>1 okolica anatomiczna</t>
        </is>
      </c>
      <c r="K64" t="inlineStr">
        <is>
          <t>Tomasz Bujalski</t>
        </is>
      </c>
      <c r="L64" t="inlineStr">
        <is>
          <t> </t>
        </is>
      </c>
      <c r="M64" t="inlineStr">
        <is>
          <t>SAMODZIELNY PUBLICZNY SPECJALISTYCZNY SZPITAL ZACHODNI IM.ŚW.JANA PAWŁA II</t>
        </is>
      </c>
      <c r="N64" t="inlineStr">
        <is>
          <t>Oddział Wewnętrzny</t>
        </is>
      </c>
      <c r="O64" t="inlineStr">
        <is>
          <t>Ewa Szyszka</t>
        </is>
      </c>
      <c r="P64" t="inlineStr">
        <is>
          <t>3367960</t>
        </is>
      </c>
      <c r="Q64" t="inlineStr">
        <is>
          <t>I50.9</t>
        </is>
      </c>
      <c r="R64" t="inlineStr">
        <is>
          <t>grodzisk</t>
        </is>
      </c>
      <c r="S64" s="1" t="n">
        <v>46148.50138888889</v>
      </c>
      <c r="T64" t="n">
        <v>0</v>
      </c>
      <c r="U64" t="inlineStr">
        <is>
          <t>BUJALSKI TOMASZ</t>
        </is>
      </c>
    </row>
    <row r="65">
      <c r="A65" s="1" t="n">
        <v>46150</v>
      </c>
      <c r="B65" t="n">
        <v>31479498</v>
      </c>
      <c r="C65" t="inlineStr">
        <is>
          <t>Czesław ZDANOWICZ</t>
        </is>
      </c>
      <c r="D65" t="n">
        <v>43110905870</v>
      </c>
      <c r="E65" s="1" t="n">
        <v>46149</v>
      </c>
      <c r="F65" t="inlineStr">
        <is>
          <t>Pilny</t>
        </is>
      </c>
      <c r="G65" t="inlineStr">
        <is>
          <t>TK</t>
        </is>
      </c>
      <c r="H65" t="inlineStr">
        <is>
          <t>Tomografia komputerowa szyi z kontrastem</t>
        </is>
      </c>
      <c r="I65" t="inlineStr">
        <is>
          <t>TK Onkologia</t>
        </is>
      </c>
      <c r="J65" t="inlineStr">
        <is>
          <t>4 okolice anatomiczne</t>
        </is>
      </c>
      <c r="K65" t="inlineStr">
        <is>
          <t>Tomasz Bujalski</t>
        </is>
      </c>
      <c r="L65" t="inlineStr">
        <is>
          <t> </t>
        </is>
      </c>
      <c r="M65" t="inlineStr">
        <is>
          <t>SAMODZIELNY PUBLICZNY SPECJALISTYCZNY SZPITAL ZACHODNI IM.ŚW.JANA PAWŁA II</t>
        </is>
      </c>
      <c r="N65" t="inlineStr">
        <is>
          <t>Oddział Wewnętrzny</t>
        </is>
      </c>
      <c r="O65" t="inlineStr">
        <is>
          <t>Olga Skupińska</t>
        </is>
      </c>
      <c r="P65" t="inlineStr">
        <is>
          <t>4486785</t>
        </is>
      </c>
      <c r="Q65" t="inlineStr">
        <is>
          <t> </t>
        </is>
      </c>
      <c r="R65" t="inlineStr">
        <is>
          <t>grodzisk</t>
        </is>
      </c>
      <c r="S65" s="1" t="n">
        <v>46149.65486111111</v>
      </c>
      <c r="T65" t="n">
        <v>0</v>
      </c>
      <c r="U65" t="inlineStr">
        <is>
          <t>BUJALSKI TOMASZ</t>
        </is>
      </c>
    </row>
    <row r="66">
      <c r="A66" s="1" t="n">
        <v>46150</v>
      </c>
      <c r="B66" t="n">
        <v>31493847</v>
      </c>
      <c r="C66" t="inlineStr">
        <is>
          <t>DANIEL GORAL</t>
        </is>
      </c>
      <c r="D66" t="n">
        <v>6210709496</v>
      </c>
      <c r="E66" s="1" t="n">
        <v>46150</v>
      </c>
      <c r="F66" t="inlineStr">
        <is>
          <t>CITO-CITO</t>
        </is>
      </c>
      <c r="G66" t="inlineStr">
        <is>
          <t>TK</t>
        </is>
      </c>
      <c r="H66" t="inlineStr">
        <is>
          <t>Tomografia komputerowa głowy bez kontrastu</t>
        </is>
      </c>
      <c r="I66" t="inlineStr">
        <is>
          <t>TK Zwykłe</t>
        </is>
      </c>
      <c r="J66" t="inlineStr">
        <is>
          <t>1 okolica anatomiczna</t>
        </is>
      </c>
      <c r="K66" t="inlineStr">
        <is>
          <t>Tomasz Bujalski</t>
        </is>
      </c>
      <c r="L66" t="inlineStr">
        <is>
          <t> </t>
        </is>
      </c>
      <c r="M66" t="inlineStr">
        <is>
          <t>SAMODZIELNY PUBLICZNY SPECJALISTYCZNY SZPITAL ZACHODNI IM.ŚW.JANA PAWŁA II</t>
        </is>
      </c>
      <c r="N66" t="inlineStr">
        <is>
          <t>Szpitalny Oddział Ratunkowy</t>
        </is>
      </c>
      <c r="O66" t="inlineStr">
        <is>
          <t>Piotr Skura</t>
        </is>
      </c>
      <c r="P66" t="inlineStr">
        <is>
          <t>1696554</t>
        </is>
      </c>
      <c r="Q66" t="inlineStr">
        <is>
          <t> </t>
        </is>
      </c>
      <c r="R66" t="inlineStr">
        <is>
          <t>grodzisk</t>
        </is>
      </c>
      <c r="S66" s="1" t="n">
        <v>46150.32222222222</v>
      </c>
      <c r="T66" t="n">
        <v>0</v>
      </c>
      <c r="U66" t="inlineStr">
        <is>
          <t>BUJALSKI TOMASZ</t>
        </is>
      </c>
    </row>
    <row r="67">
      <c r="A67" s="1" t="n">
        <v>46150</v>
      </c>
      <c r="B67" t="n">
        <v>31495216</v>
      </c>
      <c r="C67" t="inlineStr">
        <is>
          <t>IWONA PIETRASIAK</t>
        </is>
      </c>
      <c r="D67" t="n">
        <v>75050907584</v>
      </c>
      <c r="E67" s="1" t="n">
        <v>46150</v>
      </c>
      <c r="F67" t="inlineStr">
        <is>
          <t>CITO-CITO</t>
        </is>
      </c>
      <c r="G67" t="inlineStr">
        <is>
          <t>TK</t>
        </is>
      </c>
      <c r="H67" t="inlineStr">
        <is>
          <t>Tomografia komputerowa głowy bez kontrastu</t>
        </is>
      </c>
      <c r="I67" t="inlineStr">
        <is>
          <t>TK Zwykłe</t>
        </is>
      </c>
      <c r="J67" t="inlineStr">
        <is>
          <t>1 okolica anatomiczna</t>
        </is>
      </c>
      <c r="K67" t="inlineStr">
        <is>
          <t>Tomasz Bujalski</t>
        </is>
      </c>
      <c r="L67" t="inlineStr">
        <is>
          <t> </t>
        </is>
      </c>
      <c r="M67" t="inlineStr">
        <is>
          <t>SAMODZIELNY PUBLICZNY SPECJALISTYCZNY SZPITAL ZACHODNI IM.ŚW.JANA PAWŁA II</t>
        </is>
      </c>
      <c r="N67" t="inlineStr">
        <is>
          <t>Szpitalny Oddział Ratunkowy</t>
        </is>
      </c>
      <c r="O67" t="inlineStr">
        <is>
          <t>Małgorzata Cielica</t>
        </is>
      </c>
      <c r="P67" t="inlineStr">
        <is>
          <t>2648770</t>
        </is>
      </c>
      <c r="Q67" t="inlineStr">
        <is>
          <t> </t>
        </is>
      </c>
      <c r="R67" t="inlineStr">
        <is>
          <t>grodzisk</t>
        </is>
      </c>
      <c r="S67" s="1" t="n">
        <v>46150.32361111111</v>
      </c>
      <c r="T67" t="n">
        <v>0</v>
      </c>
      <c r="U67" t="inlineStr">
        <is>
          <t>BUJALSKI TOMASZ</t>
        </is>
      </c>
    </row>
    <row r="68">
      <c r="A68" s="1" t="n">
        <v>46150</v>
      </c>
      <c r="B68" t="n">
        <v>31495217</v>
      </c>
      <c r="C68" t="inlineStr">
        <is>
          <t>IWONA PIETRASIAK</t>
        </is>
      </c>
      <c r="D68" t="n">
        <v>75050907584</v>
      </c>
      <c r="E68" s="1" t="n">
        <v>46150</v>
      </c>
      <c r="F68" t="inlineStr">
        <is>
          <t>CITO-CITO</t>
        </is>
      </c>
      <c r="G68" t="inlineStr">
        <is>
          <t>TK</t>
        </is>
      </c>
      <c r="H68" t="inlineStr">
        <is>
          <t>Tomografia komputerowa kręgosłupa szyjnego bez kontrastu</t>
        </is>
      </c>
      <c r="I68" t="inlineStr">
        <is>
          <t>TK Zwykłe</t>
        </is>
      </c>
      <c r="J68" t="inlineStr">
        <is>
          <t>1 okolica anatomiczna</t>
        </is>
      </c>
      <c r="K68" t="inlineStr">
        <is>
          <t>Tomasz Bujalski</t>
        </is>
      </c>
      <c r="L68" t="inlineStr">
        <is>
          <t> </t>
        </is>
      </c>
      <c r="M68" t="inlineStr">
        <is>
          <t>SAMODZIELNY PUBLICZNY SPECJALISTYCZNY SZPITAL ZACHODNI IM.ŚW.JANA PAWŁA II</t>
        </is>
      </c>
      <c r="N68" t="inlineStr">
        <is>
          <t>Szpitalny Oddział Ratunkowy</t>
        </is>
      </c>
      <c r="O68" t="inlineStr">
        <is>
          <t>Małgorzata Cielica</t>
        </is>
      </c>
      <c r="P68" t="inlineStr">
        <is>
          <t>2648770</t>
        </is>
      </c>
      <c r="Q68" t="inlineStr">
        <is>
          <t> </t>
        </is>
      </c>
      <c r="R68" t="inlineStr">
        <is>
          <t>grodzisk</t>
        </is>
      </c>
      <c r="S68" s="1" t="n">
        <v>46150.32291666666</v>
      </c>
      <c r="T68" t="n">
        <v>0</v>
      </c>
      <c r="U68" t="inlineStr">
        <is>
          <t>BUJALSKI TOMASZ</t>
        </is>
      </c>
    </row>
    <row r="69">
      <c r="A69" s="1" t="n">
        <v>46152</v>
      </c>
      <c r="B69" t="n">
        <v>31507597</v>
      </c>
      <c r="C69" t="inlineStr">
        <is>
          <t>Paweł LEJBA</t>
        </is>
      </c>
      <c r="D69" t="n">
        <v>69032201959</v>
      </c>
      <c r="E69" s="1" t="n">
        <v>46152</v>
      </c>
      <c r="F69" t="inlineStr">
        <is>
          <t>CITO-CITO</t>
        </is>
      </c>
      <c r="G69" t="inlineStr">
        <is>
          <t>TK</t>
        </is>
      </c>
      <c r="H69" t="inlineStr">
        <is>
          <t>Tomografia komputerowa jamy brzusznej i miednicy małej bez kontrastu</t>
        </is>
      </c>
      <c r="I69" t="inlineStr">
        <is>
          <t>TK Zwykłe</t>
        </is>
      </c>
      <c r="J69" t="inlineStr">
        <is>
          <t>2 okolice anatomiczne</t>
        </is>
      </c>
      <c r="K69" t="inlineStr">
        <is>
          <t>Tomasz Bujalski</t>
        </is>
      </c>
      <c r="L69" t="inlineStr">
        <is>
          <t> </t>
        </is>
      </c>
      <c r="M69" t="inlineStr">
        <is>
          <t>SAMODZIELNY PUBLICZNY SPECJALISTYCZNY SZPITAL ZACHODNI IM.ŚW.JANA PAWŁA II</t>
        </is>
      </c>
      <c r="N69" t="inlineStr">
        <is>
          <t>Szpitalny Oddział Ratunkowy</t>
        </is>
      </c>
      <c r="O69" t="inlineStr">
        <is>
          <t>Tomasz Laus</t>
        </is>
      </c>
      <c r="P69" t="inlineStr">
        <is>
          <t>3288043</t>
        </is>
      </c>
      <c r="Q69" t="inlineStr">
        <is>
          <t> </t>
        </is>
      </c>
      <c r="R69" t="inlineStr">
        <is>
          <t>grodzisk</t>
        </is>
      </c>
      <c r="S69" s="1" t="n">
        <v>46152.53819444445</v>
      </c>
      <c r="T69" t="n">
        <v>0</v>
      </c>
      <c r="U69" t="inlineStr">
        <is>
          <t>BUJALSKI TOMASZ</t>
        </is>
      </c>
    </row>
    <row r="70">
      <c r="A70" s="1" t="n">
        <v>46152</v>
      </c>
      <c r="B70" t="n">
        <v>31507648</v>
      </c>
      <c r="C70" t="inlineStr">
        <is>
          <t>KAZIMIERZ FOŁTYN</t>
        </is>
      </c>
      <c r="D70" t="n">
        <v>47070601975</v>
      </c>
      <c r="E70" s="1" t="n">
        <v>46152</v>
      </c>
      <c r="F70" t="inlineStr">
        <is>
          <t>CITO-CITO</t>
        </is>
      </c>
      <c r="G70" t="inlineStr">
        <is>
          <t>TK</t>
        </is>
      </c>
      <c r="H70" t="inlineStr">
        <is>
          <t>Tomografia komputerowa głowy bez kontrastu</t>
        </is>
      </c>
      <c r="I70" t="inlineStr">
        <is>
          <t>TK Zwykłe</t>
        </is>
      </c>
      <c r="J70" t="inlineStr">
        <is>
          <t>1 okolica anatomiczna</t>
        </is>
      </c>
      <c r="K70" t="inlineStr">
        <is>
          <t>Tomasz Bujalski</t>
        </is>
      </c>
      <c r="L70" t="inlineStr">
        <is>
          <t> </t>
        </is>
      </c>
      <c r="M70" t="inlineStr">
        <is>
          <t>SAMODZIELNY PUBLICZNY SPECJALISTYCZNY SZPITAL ZACHODNI IM.ŚW.JANA PAWŁA II</t>
        </is>
      </c>
      <c r="N70" t="inlineStr">
        <is>
          <t>Szpitalny Oddział Ratunkowy</t>
        </is>
      </c>
      <c r="O70" t="inlineStr">
        <is>
          <t>Małgorzata Zajda</t>
        </is>
      </c>
      <c r="P70" t="inlineStr">
        <is>
          <t>2313991</t>
        </is>
      </c>
      <c r="Q70" t="inlineStr">
        <is>
          <t> </t>
        </is>
      </c>
      <c r="R70" t="inlineStr">
        <is>
          <t>grodzisk</t>
        </is>
      </c>
      <c r="S70" s="1" t="n">
        <v>46152.58194444444</v>
      </c>
      <c r="T70" t="n">
        <v>0</v>
      </c>
      <c r="U70" t="inlineStr">
        <is>
          <t>BUJALSKI TOMASZ</t>
        </is>
      </c>
    </row>
    <row r="71">
      <c r="A71" s="1" t="n">
        <v>46152</v>
      </c>
      <c r="B71" t="n">
        <v>31507982</v>
      </c>
      <c r="C71" t="inlineStr">
        <is>
          <t>Karol KLUSKA</t>
        </is>
      </c>
      <c r="D71" t="n">
        <v>272708831</v>
      </c>
      <c r="E71" s="1" t="n">
        <v>46152</v>
      </c>
      <c r="F71" t="inlineStr">
        <is>
          <t>CITO-CITO</t>
        </is>
      </c>
      <c r="G71" t="inlineStr">
        <is>
          <t>TK</t>
        </is>
      </c>
      <c r="H71" t="inlineStr">
        <is>
          <t>Tomografia komputerowa kończyny dolnej bez kontrastu</t>
        </is>
      </c>
      <c r="I71" t="inlineStr">
        <is>
          <t>TK Zwykłe</t>
        </is>
      </c>
      <c r="J71" t="inlineStr">
        <is>
          <t>1 okolica anatomiczna</t>
        </is>
      </c>
      <c r="K71" t="inlineStr">
        <is>
          <t>Tomasz Bujalski</t>
        </is>
      </c>
      <c r="L71" t="inlineStr">
        <is>
          <t> </t>
        </is>
      </c>
      <c r="M71" t="inlineStr">
        <is>
          <t>SAMODZIELNY PUBLICZNY SPECJALISTYCZNY SZPITAL ZACHODNI IM.ŚW.JANA PAWŁA II</t>
        </is>
      </c>
      <c r="N71" t="inlineStr">
        <is>
          <t>Szpitalny Oddział Ratunkowy</t>
        </is>
      </c>
      <c r="O71" t="inlineStr">
        <is>
          <t>Paweł Łagowski</t>
        </is>
      </c>
      <c r="P71" t="inlineStr">
        <is>
          <t>4458134</t>
        </is>
      </c>
      <c r="Q71" t="inlineStr">
        <is>
          <t>S83.5</t>
        </is>
      </c>
      <c r="R71" t="inlineStr">
        <is>
          <t>grodzisk</t>
        </is>
      </c>
      <c r="S71" s="1" t="n">
        <v>46152.50694444445</v>
      </c>
      <c r="T71" t="n">
        <v>0</v>
      </c>
      <c r="U71" t="inlineStr">
        <is>
          <t>BUJALSKI TOMASZ</t>
        </is>
      </c>
    </row>
    <row r="72">
      <c r="A72" s="1" t="n">
        <v>46152</v>
      </c>
      <c r="B72" t="n">
        <v>31508087</v>
      </c>
      <c r="C72" t="inlineStr">
        <is>
          <t>KRYSTYNA OKUROWSKA</t>
        </is>
      </c>
      <c r="D72" t="n">
        <v>54060311103</v>
      </c>
      <c r="E72" s="1" t="n">
        <v>46152</v>
      </c>
      <c r="F72" t="inlineStr">
        <is>
          <t>CITO-CITO</t>
        </is>
      </c>
      <c r="G72" t="inlineStr">
        <is>
          <t>TK</t>
        </is>
      </c>
      <c r="H72" t="inlineStr">
        <is>
          <t>Tomografia komputerowa kończyny górnej bez kontrastu</t>
        </is>
      </c>
      <c r="I72" t="inlineStr">
        <is>
          <t>TK Zwykłe</t>
        </is>
      </c>
      <c r="J72" t="inlineStr">
        <is>
          <t>1 okolica anatomiczna</t>
        </is>
      </c>
      <c r="K72" t="inlineStr">
        <is>
          <t>Tomasz Bujalski</t>
        </is>
      </c>
      <c r="L72" t="inlineStr">
        <is>
          <t> </t>
        </is>
      </c>
      <c r="M72" t="inlineStr">
        <is>
          <t>SAMODZIELNY PUBLICZNY SPECJALISTYCZNY SZPITAL ZACHODNI IM.ŚW.JANA PAWŁA II</t>
        </is>
      </c>
      <c r="N72" t="inlineStr">
        <is>
          <t>Szpitalny Oddział Ratunkowy</t>
        </is>
      </c>
      <c r="O72" t="inlineStr">
        <is>
          <t>Paweł Łagowski</t>
        </is>
      </c>
      <c r="P72" t="inlineStr">
        <is>
          <t>4458134</t>
        </is>
      </c>
      <c r="Q72" t="inlineStr">
        <is>
          <t> </t>
        </is>
      </c>
      <c r="R72" t="inlineStr">
        <is>
          <t>grodzisk</t>
        </is>
      </c>
      <c r="S72" s="1" t="n">
        <v>46152.56944444445</v>
      </c>
      <c r="T72" t="n">
        <v>0</v>
      </c>
      <c r="U72" t="inlineStr">
        <is>
          <t>BUJALSKI TOMASZ</t>
        </is>
      </c>
    </row>
    <row r="73">
      <c r="A73" s="1" t="n">
        <v>46153</v>
      </c>
      <c r="B73" t="n">
        <v>31499222</v>
      </c>
      <c r="C73" t="inlineStr">
        <is>
          <t>Tomasz REDEL</t>
        </is>
      </c>
      <c r="D73" t="n">
        <v>82011306652</v>
      </c>
      <c r="E73" s="1" t="n">
        <v>46153</v>
      </c>
      <c r="F73" t="inlineStr">
        <is>
          <t>CITO-CITO</t>
        </is>
      </c>
      <c r="G73" t="inlineStr">
        <is>
          <t>TK</t>
        </is>
      </c>
      <c r="H73" t="inlineStr">
        <is>
          <t>Tomografia komputerowa jamy brzusznej i miednicy małej z kontrastem</t>
        </is>
      </c>
      <c r="I73" t="inlineStr">
        <is>
          <t>TK Zwykłe</t>
        </is>
      </c>
      <c r="J73" t="inlineStr">
        <is>
          <t>2 okolice anatomiczne</t>
        </is>
      </c>
      <c r="K73" t="inlineStr">
        <is>
          <t>Tomasz Bujalski</t>
        </is>
      </c>
      <c r="L73" t="inlineStr">
        <is>
          <t> </t>
        </is>
      </c>
      <c r="M73" t="inlineStr">
        <is>
          <t>SAMODZIELNY PUBLICZNY SPECJALISTYCZNY SZPITAL ZACHODNI IM.ŚW.JANA PAWŁA II</t>
        </is>
      </c>
      <c r="N73" t="inlineStr">
        <is>
          <t>Oddział Wewnętrzny</t>
        </is>
      </c>
      <c r="O73" t="inlineStr">
        <is>
          <t>HANNA SITAREK</t>
        </is>
      </c>
      <c r="P73" t="inlineStr">
        <is>
          <t>4583459</t>
        </is>
      </c>
      <c r="Q73" t="inlineStr">
        <is>
          <t> </t>
        </is>
      </c>
      <c r="R73" t="inlineStr">
        <is>
          <t>grodzisk</t>
        </is>
      </c>
      <c r="S73" s="1" t="n">
        <v>46153.35</v>
      </c>
      <c r="T73" t="n">
        <v>0</v>
      </c>
      <c r="U73" t="inlineStr">
        <is>
          <t>BUJALSKI TOMASZ</t>
        </is>
      </c>
    </row>
    <row r="74">
      <c r="A74" s="1" t="n">
        <v>46153</v>
      </c>
      <c r="B74" t="n">
        <v>31509321</v>
      </c>
      <c r="C74" t="inlineStr">
        <is>
          <t>BARBARA REDES</t>
        </is>
      </c>
      <c r="D74" t="n">
        <v>35042702661</v>
      </c>
      <c r="E74" s="1" t="n">
        <v>46153</v>
      </c>
      <c r="F74" t="inlineStr">
        <is>
          <t>CITO-CITO</t>
        </is>
      </c>
      <c r="G74" t="inlineStr">
        <is>
          <t>TK</t>
        </is>
      </c>
      <c r="H74" t="inlineStr">
        <is>
          <t>Tomografia komputerowa głowy bez kontrastu</t>
        </is>
      </c>
      <c r="I74" t="inlineStr">
        <is>
          <t>TK Zwykłe</t>
        </is>
      </c>
      <c r="J74" t="inlineStr">
        <is>
          <t>1 okolica anatomiczna</t>
        </is>
      </c>
      <c r="K74" t="inlineStr">
        <is>
          <t>Tomasz Bujalski</t>
        </is>
      </c>
      <c r="L74" t="inlineStr">
        <is>
          <t> </t>
        </is>
      </c>
      <c r="M74" t="inlineStr">
        <is>
          <t>SAMODZIELNY PUBLICZNY SPECJALISTYCZNY SZPITAL ZACHODNI IM.ŚW.JANA PAWŁA II</t>
        </is>
      </c>
      <c r="N74" t="inlineStr">
        <is>
          <t>Oddział Udarowy</t>
        </is>
      </c>
      <c r="O74" t="inlineStr">
        <is>
          <t>SUREN BAHDASARYAN</t>
        </is>
      </c>
      <c r="P74" t="inlineStr">
        <is>
          <t>7457260</t>
        </is>
      </c>
      <c r="Q74" t="inlineStr">
        <is>
          <t> </t>
        </is>
      </c>
      <c r="R74" t="inlineStr">
        <is>
          <t>grodzisk</t>
        </is>
      </c>
      <c r="S74" s="1" t="n">
        <v>46153.35625</v>
      </c>
      <c r="T74" t="n">
        <v>0</v>
      </c>
      <c r="U74" t="inlineStr">
        <is>
          <t>BUJALSKI TOMASZ</t>
        </is>
      </c>
    </row>
    <row r="75">
      <c r="A75" s="1" t="n">
        <v>46154</v>
      </c>
      <c r="B75" t="n">
        <v>31493494</v>
      </c>
      <c r="C75" t="inlineStr">
        <is>
          <t>ANNA OZIĘBŁO</t>
        </is>
      </c>
      <c r="D75" t="n">
        <v>39062010342</v>
      </c>
      <c r="E75" s="1" t="n">
        <v>46150</v>
      </c>
      <c r="F75" t="inlineStr">
        <is>
          <t>Planowy</t>
        </is>
      </c>
      <c r="G75" t="inlineStr">
        <is>
          <t>TK</t>
        </is>
      </c>
      <c r="H75" t="inlineStr">
        <is>
          <t>Tomografia komputerowa klatki piersiowej z kontrastem</t>
        </is>
      </c>
      <c r="I75" t="inlineStr">
        <is>
          <t>TK Zwykłe</t>
        </is>
      </c>
      <c r="J75" t="inlineStr">
        <is>
          <t>3 okolice anatomiczne</t>
        </is>
      </c>
      <c r="K75" t="inlineStr">
        <is>
          <t>Tomasz Bujalski</t>
        </is>
      </c>
      <c r="L75" t="inlineStr">
        <is>
          <t> </t>
        </is>
      </c>
      <c r="M75" t="inlineStr">
        <is>
          <t>SAMODZIELNY PUBLICZNY SPECJALISTYCZNY SZPITAL ZACHODNI IM.ŚW.JANA PAWŁA II</t>
        </is>
      </c>
      <c r="N75" t="inlineStr">
        <is>
          <t>Oddział Wewnętrzny</t>
        </is>
      </c>
      <c r="O75" t="inlineStr">
        <is>
          <t>Anna Sypnik-Bombińska</t>
        </is>
      </c>
      <c r="P75" t="inlineStr">
        <is>
          <t>2354822</t>
        </is>
      </c>
      <c r="Q75" t="inlineStr">
        <is>
          <t> </t>
        </is>
      </c>
      <c r="R75" t="inlineStr">
        <is>
          <t>grodzisk</t>
        </is>
      </c>
      <c r="S75" s="1" t="n">
        <v>46152.36041666667</v>
      </c>
      <c r="T75" t="n">
        <v>3</v>
      </c>
      <c r="U75" t="inlineStr">
        <is>
          <t>BUJALSKI TOMASZ</t>
        </is>
      </c>
    </row>
    <row r="76">
      <c r="A76" s="1" t="n">
        <v>46154</v>
      </c>
      <c r="B76" t="n">
        <v>31519086</v>
      </c>
      <c r="C76" t="inlineStr">
        <is>
          <t>DARIUSZ KWAPIS</t>
        </is>
      </c>
      <c r="D76" t="n">
        <v>67121310032</v>
      </c>
      <c r="E76" s="1" t="n">
        <v>46154</v>
      </c>
      <c r="F76" t="inlineStr">
        <is>
          <t>CITO-CITO</t>
        </is>
      </c>
      <c r="G76" t="inlineStr">
        <is>
          <t>TK</t>
        </is>
      </c>
      <c r="H76" t="inlineStr">
        <is>
          <t>Tomografia komputerowa głowy bez kontrastu</t>
        </is>
      </c>
      <c r="I76" t="inlineStr">
        <is>
          <t>TK Zwykłe</t>
        </is>
      </c>
      <c r="J76" t="inlineStr">
        <is>
          <t>1 okolica anatomiczna</t>
        </is>
      </c>
      <c r="K76" t="inlineStr">
        <is>
          <t>Tomasz Bujalski</t>
        </is>
      </c>
      <c r="L76" t="inlineStr">
        <is>
          <t> </t>
        </is>
      </c>
      <c r="M76" t="inlineStr">
        <is>
          <t>SAMODZIELNY PUBLICZNY SPECJALISTYCZNY SZPITAL ZACHODNI IM.ŚW.JANA PAWŁA II</t>
        </is>
      </c>
      <c r="N76" t="inlineStr">
        <is>
          <t>Szpitalny Oddział Ratunkowy</t>
        </is>
      </c>
      <c r="O76" t="inlineStr">
        <is>
          <t>Tomasz Laus</t>
        </is>
      </c>
      <c r="P76" t="inlineStr">
        <is>
          <t>3288043</t>
        </is>
      </c>
      <c r="Q76" t="inlineStr">
        <is>
          <t> </t>
        </is>
      </c>
      <c r="R76" t="inlineStr">
        <is>
          <t>grodzisk</t>
        </is>
      </c>
      <c r="S76" s="1" t="n">
        <v>46154.27847222222</v>
      </c>
      <c r="T76" t="n">
        <v>0</v>
      </c>
      <c r="U76" t="inlineStr">
        <is>
          <t>BUJALSKI TOMASZ</t>
        </is>
      </c>
    </row>
    <row r="77">
      <c r="A77" s="1" t="n">
        <v>46155</v>
      </c>
      <c r="B77" t="n">
        <v>31375154</v>
      </c>
      <c r="C77" t="inlineStr">
        <is>
          <t>DARIUSZ WOJCIECHOWSKI</t>
        </is>
      </c>
      <c r="D77" t="n">
        <v>68040401133</v>
      </c>
      <c r="E77" s="1" t="n">
        <v>46133</v>
      </c>
      <c r="F77" t="inlineStr">
        <is>
          <t>CITO-CITO</t>
        </is>
      </c>
      <c r="G77" t="inlineStr">
        <is>
          <t>MR</t>
        </is>
      </c>
      <c r="H77" t="inlineStr">
        <is>
          <t>Rezonans Magnetyczny jamy brzusznej bez kontrastu</t>
        </is>
      </c>
      <c r="I77" t="inlineStr">
        <is>
          <t>MR Inne - wtym prostata, miednica, jama brzuszna tkanki miekkie</t>
        </is>
      </c>
      <c r="J77" t="inlineStr">
        <is>
          <t>1 okolica anatomiczna</t>
        </is>
      </c>
      <c r="K77" t="inlineStr">
        <is>
          <t>Tomasz Bujalski</t>
        </is>
      </c>
      <c r="L77" t="inlineStr">
        <is>
          <t> </t>
        </is>
      </c>
      <c r="M77" t="inlineStr">
        <is>
          <t>SAMODZIELNY PUBLICZNY SPECJALISTYCZNY SZPITAL ZACHODNI IM.ŚW.JANA PAWŁA II</t>
        </is>
      </c>
      <c r="N77" t="inlineStr">
        <is>
          <t>Oddział Kardiologii Inwazyjnej</t>
        </is>
      </c>
      <c r="O77" t="inlineStr">
        <is>
          <t>SZYMON STANETA</t>
        </is>
      </c>
      <c r="P77" t="inlineStr">
        <is>
          <t>4503826</t>
        </is>
      </c>
      <c r="Q77" t="inlineStr">
        <is>
          <t>I25.2</t>
        </is>
      </c>
      <c r="R77" t="inlineStr">
        <is>
          <t>grodzisk</t>
        </is>
      </c>
      <c r="S77" s="1" t="n">
        <v>46155.44305555556</v>
      </c>
      <c r="T77" t="n">
        <v>0</v>
      </c>
      <c r="U77" t="inlineStr">
        <is>
          <t>BUJALSKI TOMASZ</t>
        </is>
      </c>
    </row>
    <row r="78">
      <c r="A78" s="1" t="n">
        <v>46155</v>
      </c>
      <c r="B78" t="n">
        <v>31519583</v>
      </c>
      <c r="C78" t="inlineStr">
        <is>
          <t>ADELA PANAK</t>
        </is>
      </c>
      <c r="D78" t="n">
        <v>38091702187</v>
      </c>
      <c r="E78" s="1" t="n">
        <v>46155</v>
      </c>
      <c r="F78" t="inlineStr">
        <is>
          <t>CITO-CITO</t>
        </is>
      </c>
      <c r="G78" t="inlineStr">
        <is>
          <t>TK</t>
        </is>
      </c>
      <c r="H78" t="inlineStr">
        <is>
          <t>Tomografia komputerowa klatki piersiowej z kontrastem</t>
        </is>
      </c>
      <c r="I78" t="inlineStr">
        <is>
          <t>TK Zwykłe</t>
        </is>
      </c>
      <c r="J78" t="inlineStr">
        <is>
          <t>3 okolice anatomiczne</t>
        </is>
      </c>
      <c r="K78" t="inlineStr">
        <is>
          <t>Tomasz Bujalski</t>
        </is>
      </c>
      <c r="L78" t="inlineStr">
        <is>
          <t> </t>
        </is>
      </c>
      <c r="M78" t="inlineStr">
        <is>
          <t>SAMODZIELNY PUBLICZNY SPECJALISTYCZNY SZPITAL ZACHODNI IM.ŚW.JANA PAWŁA II</t>
        </is>
      </c>
      <c r="N78" t="inlineStr">
        <is>
          <t>Oddział Wewnętrzny</t>
        </is>
      </c>
      <c r="O78" t="inlineStr">
        <is>
          <t>Maciej Wyzgał</t>
        </is>
      </c>
      <c r="P78" t="inlineStr">
        <is>
          <t>3522178</t>
        </is>
      </c>
      <c r="Q78" t="inlineStr">
        <is>
          <t>Z00</t>
        </is>
      </c>
      <c r="R78" t="inlineStr">
        <is>
          <t>grodzisk</t>
        </is>
      </c>
      <c r="S78" s="1" t="n">
        <v>46155.625</v>
      </c>
      <c r="T78" t="n">
        <v>0</v>
      </c>
      <c r="U78" t="inlineStr">
        <is>
          <t>BUJALSKI TOMASZ</t>
        </is>
      </c>
    </row>
    <row r="79">
      <c r="A79" s="1" t="n">
        <v>46156</v>
      </c>
      <c r="B79" t="n">
        <v>31537858</v>
      </c>
      <c r="C79" t="inlineStr">
        <is>
          <t>JUSTYNA GAJEWSKA</t>
        </is>
      </c>
      <c r="D79" t="n">
        <v>83061718602</v>
      </c>
      <c r="E79" s="1" t="n">
        <v>46156</v>
      </c>
      <c r="F79" t="inlineStr">
        <is>
          <t>CITO-CITO</t>
        </is>
      </c>
      <c r="G79" t="inlineStr">
        <is>
          <t>MR</t>
        </is>
      </c>
      <c r="H79" t="inlineStr">
        <is>
          <t>Rezonans Magnetyczny jamy brzusznej z kontrastem</t>
        </is>
      </c>
      <c r="I79" t="inlineStr">
        <is>
          <t>MR Inne - wtym prostata, miednica, jama brzuszna tkanki miekkie</t>
        </is>
      </c>
      <c r="J79" t="inlineStr">
        <is>
          <t>1 okolica anatomiczna</t>
        </is>
      </c>
      <c r="K79" t="inlineStr">
        <is>
          <t>Tomasz Bujalski</t>
        </is>
      </c>
      <c r="L79" t="inlineStr">
        <is>
          <t> </t>
        </is>
      </c>
      <c r="M79" t="inlineStr">
        <is>
          <t>SAMODZIELNY PUBLICZNY SPECJALISTYCZNY SZPITAL ZACHODNI IM.ŚW.JANA PAWŁA II</t>
        </is>
      </c>
      <c r="N79" t="inlineStr">
        <is>
          <t>Oddział Wewnętrzny</t>
        </is>
      </c>
      <c r="O79" t="inlineStr">
        <is>
          <t>Mirosława Bednarska</t>
        </is>
      </c>
      <c r="P79" t="inlineStr">
        <is>
          <t>1287516</t>
        </is>
      </c>
      <c r="Q79" t="inlineStr">
        <is>
          <t>Z03</t>
        </is>
      </c>
      <c r="R79" t="inlineStr">
        <is>
          <t>grodzisk</t>
        </is>
      </c>
      <c r="S79" s="1" t="n">
        <v>46156.41805555556</v>
      </c>
      <c r="T79" t="n">
        <v>0</v>
      </c>
      <c r="U79" t="inlineStr">
        <is>
          <t>BUJALSKI TOMASZ</t>
        </is>
      </c>
    </row>
    <row r="80">
      <c r="A80" s="1" t="n">
        <v>46157</v>
      </c>
      <c r="B80" t="n">
        <v>29607809</v>
      </c>
      <c r="C80" t="inlineStr">
        <is>
          <t>Janina POGORZELSKA</t>
        </is>
      </c>
      <c r="D80" t="n">
        <v>54091212086</v>
      </c>
      <c r="E80" s="1" t="n">
        <v>46154</v>
      </c>
      <c r="F80" t="inlineStr">
        <is>
          <t>Planowy</t>
        </is>
      </c>
      <c r="G80" t="inlineStr">
        <is>
          <t>TK</t>
        </is>
      </c>
      <c r="H80" t="inlineStr">
        <is>
          <t>Tomografia komputerowa klatki piersiowej bez pontrastu</t>
        </is>
      </c>
      <c r="I80" t="inlineStr">
        <is>
          <t>TK Onkologia</t>
        </is>
      </c>
      <c r="J80" t="inlineStr">
        <is>
          <t>1 okolica anatomiczna</t>
        </is>
      </c>
      <c r="K80" t="inlineStr">
        <is>
          <t>Tomasz Bujalski</t>
        </is>
      </c>
      <c r="L80" t="inlineStr">
        <is>
          <t> </t>
        </is>
      </c>
      <c r="M80" t="inlineStr">
        <is>
          <t>SAMODZIELNY PUBLICZNY SPECJALISTYCZNY SZPITAL ZACHODNI IM.ŚW.JANA PAWŁA II</t>
        </is>
      </c>
      <c r="N80" t="inlineStr">
        <is>
          <t>Poradnia Pulmunologiczna</t>
        </is>
      </c>
      <c r="O80" t="inlineStr">
        <is>
          <t xml:space="preserve">Małgorzata MOSKAL </t>
        </is>
      </c>
      <c r="P80" t="inlineStr">
        <is>
          <t>2069952</t>
        </is>
      </c>
      <c r="Q80" t="inlineStr">
        <is>
          <t>D38.1</t>
        </is>
      </c>
      <c r="R80" t="inlineStr">
        <is>
          <t>grodzisk</t>
        </is>
      </c>
      <c r="S80" s="1" t="n">
        <v>46156.5125</v>
      </c>
      <c r="T80" t="n">
        <v>0</v>
      </c>
      <c r="U80" t="inlineStr">
        <is>
          <t>BUJALSKI TOMASZ</t>
        </is>
      </c>
    </row>
    <row r="81">
      <c r="A81" s="1" t="n">
        <v>46157</v>
      </c>
      <c r="B81" t="n">
        <v>31037118</v>
      </c>
      <c r="C81" t="inlineStr">
        <is>
          <t>WALDEMAR DUBIELECKI</t>
        </is>
      </c>
      <c r="D81" t="n">
        <v>57062501073</v>
      </c>
      <c r="E81" s="1" t="n">
        <v>46154</v>
      </c>
      <c r="F81" t="inlineStr">
        <is>
          <t>Planowy</t>
        </is>
      </c>
      <c r="G81" t="inlineStr">
        <is>
          <t>TK</t>
        </is>
      </c>
      <c r="H81" t="inlineStr">
        <is>
          <t>Tomografia komputerowa klatki piersiowej z kontrastem</t>
        </is>
      </c>
      <c r="I81" t="inlineStr">
        <is>
          <t>TK Onkologia</t>
        </is>
      </c>
      <c r="J81" t="inlineStr">
        <is>
          <t>3 okolice anatomiczne</t>
        </is>
      </c>
      <c r="K81" t="inlineStr">
        <is>
          <t>Tomasz Bujalski</t>
        </is>
      </c>
      <c r="L81" t="inlineStr">
        <is>
          <t> </t>
        </is>
      </c>
      <c r="M81" t="inlineStr">
        <is>
          <t>NARODOWY INSTYTUT ONKOLOGII IM. MARII SKŁODOWSKIEJ-CURIE - PAŃSTWOWY INSTYTUT BADAWCZY</t>
        </is>
      </c>
      <c r="N81" t="inlineStr">
        <is>
          <t>Cantrum onkologii-instytut im. Marii Skłodowskiej-Curie, Warszawa - Ochota, ul. Wawelska 15 Ambulatorium Kliniki Onkologii i chorób wewnętrznych</t>
        </is>
      </c>
      <c r="O81" t="inlineStr">
        <is>
          <t>GAWIŃSKI CIESZYMIERZ</t>
        </is>
      </c>
      <c r="P81" t="inlineStr">
        <is>
          <t>3306019</t>
        </is>
      </c>
      <c r="Q81" t="inlineStr">
        <is>
          <t>C16.0</t>
        </is>
      </c>
      <c r="R81" t="inlineStr">
        <is>
          <t>grodzisk</t>
        </is>
      </c>
      <c r="S81" s="1" t="n">
        <v>46156.5125</v>
      </c>
      <c r="T81" t="n">
        <v>0</v>
      </c>
      <c r="U81" t="inlineStr">
        <is>
          <t>BUJALSKI TOMASZ</t>
        </is>
      </c>
    </row>
    <row r="82">
      <c r="A82" s="1" t="n">
        <v>46157</v>
      </c>
      <c r="B82" t="n">
        <v>31380377</v>
      </c>
      <c r="C82" t="inlineStr">
        <is>
          <t>TOMASZ MAJDAX</t>
        </is>
      </c>
      <c r="D82" t="n">
        <v>50022304475</v>
      </c>
      <c r="E82" s="1" t="n">
        <v>46154</v>
      </c>
      <c r="F82" t="inlineStr">
        <is>
          <t>Planowy</t>
        </is>
      </c>
      <c r="G82" t="inlineStr">
        <is>
          <t>TK</t>
        </is>
      </c>
      <c r="H82" t="inlineStr">
        <is>
          <t>Tomografia komputerowa miednicy z kontrastem</t>
        </is>
      </c>
      <c r="I82" t="inlineStr">
        <is>
          <t>TK Onkologia</t>
        </is>
      </c>
      <c r="J82" t="inlineStr">
        <is>
          <t>1 okolica anatomiczna</t>
        </is>
      </c>
      <c r="K82" t="inlineStr">
        <is>
          <t>Tomasz Bujalski</t>
        </is>
      </c>
      <c r="L82" t="inlineStr">
        <is>
          <t> </t>
        </is>
      </c>
      <c r="M82" t="inlineStr">
        <is>
          <t>SAMODZIELNY PUBLICZNY SPECJALISTYCZNY SZPITAL ZACHODNI IM.ŚW.JANA PAWŁA II</t>
        </is>
      </c>
      <c r="N82" t="inlineStr">
        <is>
          <t>Poradnia Onkologiczna</t>
        </is>
      </c>
      <c r="O82" t="inlineStr">
        <is>
          <t>JACEK ZWOLIŃSKI</t>
        </is>
      </c>
      <c r="P82" t="inlineStr">
        <is>
          <t>6719429</t>
        </is>
      </c>
      <c r="Q82" t="inlineStr">
        <is>
          <t>D40.0</t>
        </is>
      </c>
      <c r="R82" t="inlineStr">
        <is>
          <t>grodzisk</t>
        </is>
      </c>
      <c r="S82" s="1" t="n">
        <v>46156.51180555556</v>
      </c>
      <c r="T82" t="n">
        <v>1</v>
      </c>
      <c r="U82" t="inlineStr">
        <is>
          <t>BUJALSKI TOMASZ</t>
        </is>
      </c>
    </row>
    <row r="83">
      <c r="A83" s="1" t="n">
        <v>46157</v>
      </c>
      <c r="B83" t="n">
        <v>31523482</v>
      </c>
      <c r="C83" t="inlineStr">
        <is>
          <t>GRAŻYNA KRZYSIAK</t>
        </is>
      </c>
      <c r="D83" t="n">
        <v>59020212207</v>
      </c>
      <c r="E83" s="1" t="n">
        <v>46157</v>
      </c>
      <c r="F83" t="inlineStr">
        <is>
          <t>CITO-CITO</t>
        </is>
      </c>
      <c r="G83" t="inlineStr">
        <is>
          <t>MR</t>
        </is>
      </c>
      <c r="H83" t="inlineStr">
        <is>
          <t>Rezonans Magnetyczny jamy brzusznej z kontrastem</t>
        </is>
      </c>
      <c r="I83" t="inlineStr">
        <is>
          <t>MR Inne - wtym prostata, miednica, jama brzuszna tkanki miekkie</t>
        </is>
      </c>
      <c r="J83" t="inlineStr">
        <is>
          <t>1 okolica anatomiczna</t>
        </is>
      </c>
      <c r="K83" t="inlineStr">
        <is>
          <t>Tomasz Bujalski</t>
        </is>
      </c>
      <c r="L83" t="inlineStr">
        <is>
          <t> </t>
        </is>
      </c>
      <c r="M83" t="inlineStr">
        <is>
          <t>SAMODZIELNY PUBLICZNY SPECJALISTYCZNY SZPITAL ZACHODNI IM.ŚW.JANA PAWŁA II</t>
        </is>
      </c>
      <c r="N83" t="inlineStr">
        <is>
          <t>Oddział Wewnętrzny</t>
        </is>
      </c>
      <c r="O83" t="inlineStr">
        <is>
          <t>Aleksandra Ścisły</t>
        </is>
      </c>
      <c r="P83" t="inlineStr">
        <is>
          <t>3347475</t>
        </is>
      </c>
      <c r="Q83" t="inlineStr">
        <is>
          <t> </t>
        </is>
      </c>
      <c r="R83" t="inlineStr">
        <is>
          <t>grodzisk</t>
        </is>
      </c>
      <c r="S83" s="1" t="n">
        <v>46157.42847222222</v>
      </c>
      <c r="T83" t="n">
        <v>0</v>
      </c>
      <c r="U83" t="inlineStr">
        <is>
          <t>BUJALSKI TOMASZ</t>
        </is>
      </c>
    </row>
    <row r="84">
      <c r="A84" s="1" t="n">
        <v>46157</v>
      </c>
      <c r="B84" t="n">
        <v>31533238</v>
      </c>
      <c r="C84" t="inlineStr">
        <is>
          <t>RYSZARD BUCZEK</t>
        </is>
      </c>
      <c r="D84" t="n">
        <v>47120509318</v>
      </c>
      <c r="E84" s="1" t="n">
        <v>46156</v>
      </c>
      <c r="F84" t="inlineStr">
        <is>
          <t>CITO-CITO</t>
        </is>
      </c>
      <c r="G84" t="inlineStr">
        <is>
          <t>TK</t>
        </is>
      </c>
      <c r="H84" t="inlineStr">
        <is>
          <t>Tomografia komputerowa jamy brzusznej i miednicy małej z kontrastem</t>
        </is>
      </c>
      <c r="I84" t="inlineStr">
        <is>
          <t>TK Zwykłe</t>
        </is>
      </c>
      <c r="J84" t="inlineStr">
        <is>
          <t>2 okolice anatomiczne</t>
        </is>
      </c>
      <c r="K84" t="inlineStr">
        <is>
          <t>Tomasz Bujalski</t>
        </is>
      </c>
      <c r="L84" t="inlineStr">
        <is>
          <t> </t>
        </is>
      </c>
      <c r="M84" t="inlineStr">
        <is>
          <t>SAMODZIELNY PUBLICZNY SPECJALISTYCZNY SZPITAL ZACHODNI IM.ŚW.JANA PAWŁA II</t>
        </is>
      </c>
      <c r="N84" t="inlineStr">
        <is>
          <t>Oddział Kardiologii Inwazyjnej</t>
        </is>
      </c>
      <c r="O84" t="inlineStr">
        <is>
          <t>Dagmara Gralak</t>
        </is>
      </c>
      <c r="P84" t="inlineStr">
        <is>
          <t>2312699</t>
        </is>
      </c>
      <c r="Q84" t="inlineStr">
        <is>
          <t>I21.4</t>
        </is>
      </c>
      <c r="R84" t="inlineStr">
        <is>
          <t>grodzisk</t>
        </is>
      </c>
      <c r="S84" s="1" t="n">
        <v>46157.26736111111</v>
      </c>
      <c r="T84" t="n">
        <v>0</v>
      </c>
      <c r="U84" t="inlineStr">
        <is>
          <t>BUJALSKI TOMASZ</t>
        </is>
      </c>
    </row>
    <row r="85">
      <c r="A85" s="1" t="n">
        <v>46157</v>
      </c>
      <c r="B85" t="n">
        <v>31537450</v>
      </c>
      <c r="C85" t="inlineStr">
        <is>
          <t>MAREK RYFKA</t>
        </is>
      </c>
      <c r="D85" t="n">
        <v>54010217473</v>
      </c>
      <c r="E85" s="1" t="n">
        <v>46157</v>
      </c>
      <c r="F85" t="inlineStr">
        <is>
          <t>CITO-CITO</t>
        </is>
      </c>
      <c r="G85" t="inlineStr">
        <is>
          <t>TK</t>
        </is>
      </c>
      <c r="H85" t="inlineStr">
        <is>
          <t>Tomografia komputerowa głowy bez kontrastu</t>
        </is>
      </c>
      <c r="I85" t="inlineStr">
        <is>
          <t>TK Zwykłe</t>
        </is>
      </c>
      <c r="J85" t="inlineStr">
        <is>
          <t>1 okolica anatomiczna</t>
        </is>
      </c>
      <c r="K85" t="inlineStr">
        <is>
          <t>Tomasz Bujalski</t>
        </is>
      </c>
      <c r="L85" t="inlineStr">
        <is>
          <t> </t>
        </is>
      </c>
      <c r="M85" t="inlineStr">
        <is>
          <t>SAMODZIELNY PUBLICZNY SPECJALISTYCZNY SZPITAL ZACHODNI IM.ŚW.JANA PAWŁA II</t>
        </is>
      </c>
      <c r="N85" t="inlineStr">
        <is>
          <t>Oddział Udarowy</t>
        </is>
      </c>
      <c r="O85" t="inlineStr">
        <is>
          <t>Anna Żółciak-Zamiela</t>
        </is>
      </c>
      <c r="P85" t="inlineStr">
        <is>
          <t>1552004</t>
        </is>
      </c>
      <c r="Q85" t="inlineStr">
        <is>
          <t> </t>
        </is>
      </c>
      <c r="R85" t="inlineStr">
        <is>
          <t>grodzisk</t>
        </is>
      </c>
      <c r="S85" s="1" t="n">
        <v>46157.26388888889</v>
      </c>
      <c r="T85" t="n">
        <v>0</v>
      </c>
      <c r="U85" t="inlineStr">
        <is>
          <t>BUJALSKI TOMASZ</t>
        </is>
      </c>
    </row>
    <row r="86">
      <c r="A86" s="1" t="n">
        <v>46157</v>
      </c>
      <c r="B86" t="n">
        <v>31547474</v>
      </c>
      <c r="C86" t="inlineStr">
        <is>
          <t>MARIANNA KRAJEWSKA</t>
        </is>
      </c>
      <c r="D86" t="n">
        <v>37022807948</v>
      </c>
      <c r="E86" s="1" t="n">
        <v>46157</v>
      </c>
      <c r="F86" t="inlineStr">
        <is>
          <t>CITO-CITO</t>
        </is>
      </c>
      <c r="G86" t="inlineStr">
        <is>
          <t>TK</t>
        </is>
      </c>
      <c r="H86" t="inlineStr">
        <is>
          <t>Tomografia komputerowa głowy bez kontrastu</t>
        </is>
      </c>
      <c r="I86" t="inlineStr">
        <is>
          <t>TK Zwykłe</t>
        </is>
      </c>
      <c r="J86" t="inlineStr">
        <is>
          <t>1 okolica anatomiczna</t>
        </is>
      </c>
      <c r="K86" t="inlineStr">
        <is>
          <t>Tomasz Bujalski</t>
        </is>
      </c>
      <c r="L86" t="inlineStr">
        <is>
          <t> </t>
        </is>
      </c>
      <c r="M86" t="inlineStr">
        <is>
          <t>SAMODZIELNY PUBLICZNY SPECJALISTYCZNY SZPITAL ZACHODNI IM.ŚW.JANA PAWŁA II</t>
        </is>
      </c>
      <c r="N86" t="inlineStr">
        <is>
          <t>Szpitalny Oddział Ratunkowy</t>
        </is>
      </c>
      <c r="O86" t="inlineStr">
        <is>
          <t>Anna Czajka-Bełz</t>
        </is>
      </c>
      <c r="P86" t="inlineStr">
        <is>
          <t>2300307</t>
        </is>
      </c>
      <c r="Q86" t="inlineStr">
        <is>
          <t>I63</t>
        </is>
      </c>
      <c r="R86" t="inlineStr">
        <is>
          <t>grodzisk</t>
        </is>
      </c>
      <c r="S86" s="1" t="n">
        <v>46157.27916666667</v>
      </c>
      <c r="T86" t="n">
        <v>1</v>
      </c>
      <c r="U86" t="inlineStr">
        <is>
          <t>BUJALSKI TOMASZ</t>
        </is>
      </c>
    </row>
    <row r="87">
      <c r="A87" s="1" t="n">
        <v>46157</v>
      </c>
      <c r="B87" t="n">
        <v>31547741</v>
      </c>
      <c r="C87" t="inlineStr">
        <is>
          <t>JANINA RYLSKA</t>
        </is>
      </c>
      <c r="D87" t="n">
        <v>50052209001</v>
      </c>
      <c r="E87" s="1" t="n">
        <v>46157</v>
      </c>
      <c r="F87" t="inlineStr">
        <is>
          <t>CITO-CITO</t>
        </is>
      </c>
      <c r="G87" t="inlineStr">
        <is>
          <t>MR</t>
        </is>
      </c>
      <c r="H87" t="inlineStr">
        <is>
          <t>Rezonans Magnetyczny głowy protokół udar</t>
        </is>
      </c>
      <c r="I87" t="inlineStr">
        <is>
          <t>MR Neurologia</t>
        </is>
      </c>
      <c r="J87" t="inlineStr">
        <is>
          <t>1 okolica anatomiczna</t>
        </is>
      </c>
      <c r="K87" t="inlineStr">
        <is>
          <t>Tomasz Bujalski</t>
        </is>
      </c>
      <c r="L87" t="inlineStr">
        <is>
          <t> </t>
        </is>
      </c>
      <c r="M87" t="inlineStr">
        <is>
          <t>SAMODZIELNY PUBLICZNY SPECJALISTYCZNY SZPITAL ZACHODNI IM.ŚW.JANA PAWŁA II</t>
        </is>
      </c>
      <c r="N87" t="inlineStr">
        <is>
          <t>Oddział Udarowy</t>
        </is>
      </c>
      <c r="O87" t="inlineStr">
        <is>
          <t>SUREN BAHDASARYAN</t>
        </is>
      </c>
      <c r="P87" t="inlineStr">
        <is>
          <t>7457260</t>
        </is>
      </c>
      <c r="Q87" t="inlineStr">
        <is>
          <t> </t>
        </is>
      </c>
      <c r="R87" t="inlineStr">
        <is>
          <t>grodzisk</t>
        </is>
      </c>
      <c r="S87" s="1" t="n">
        <v>46157.39097222222</v>
      </c>
      <c r="T87" t="n">
        <v>0</v>
      </c>
      <c r="U87" t="inlineStr">
        <is>
          <t>BUJALSKI TOMASZ</t>
        </is>
      </c>
    </row>
    <row r="88">
      <c r="A88" s="1" t="n">
        <v>46157</v>
      </c>
      <c r="B88" t="n">
        <v>31548128</v>
      </c>
      <c r="C88" t="inlineStr">
        <is>
          <t>PAWEŁ KRZEMIŃSKI</t>
        </is>
      </c>
      <c r="D88" t="n">
        <v>56061104256</v>
      </c>
      <c r="E88" s="1" t="n">
        <v>46157</v>
      </c>
      <c r="F88" t="inlineStr">
        <is>
          <t>CITO-CITO</t>
        </is>
      </c>
      <c r="G88" t="inlineStr">
        <is>
          <t>TK</t>
        </is>
      </c>
      <c r="H88" t="inlineStr">
        <is>
          <t>Tomografia komputerowa tętnic klatki piersiowej w tym aorta</t>
        </is>
      </c>
      <c r="I88" t="inlineStr">
        <is>
          <t>TK Angiografia</t>
        </is>
      </c>
      <c r="J88" t="inlineStr">
        <is>
          <t>1 okolica anatomiczna</t>
        </is>
      </c>
      <c r="K88" t="inlineStr">
        <is>
          <t>Tomasz Bujalski</t>
        </is>
      </c>
      <c r="L88" t="inlineStr">
        <is>
          <t> </t>
        </is>
      </c>
      <c r="M88" t="inlineStr">
        <is>
          <t>SAMODZIELNY PUBLICZNY SPECJALISTYCZNY SZPITAL ZACHODNI IM.ŚW.JANA PAWŁA II</t>
        </is>
      </c>
      <c r="N88" t="inlineStr">
        <is>
          <t>Szpitalny Oddział Ratunkowy</t>
        </is>
      </c>
      <c r="O88" t="inlineStr">
        <is>
          <t>Aleksandra Łuszczyńska-Torbicka</t>
        </is>
      </c>
      <c r="P88" t="inlineStr">
        <is>
          <t>2627979</t>
        </is>
      </c>
      <c r="Q88" t="inlineStr">
        <is>
          <t> </t>
        </is>
      </c>
      <c r="R88" t="inlineStr">
        <is>
          <t>grodzisk</t>
        </is>
      </c>
      <c r="S88" s="1" t="n">
        <v>46157.3375</v>
      </c>
      <c r="T88" t="n">
        <v>0</v>
      </c>
      <c r="U88" t="inlineStr">
        <is>
          <t>BUJALSKI TOMASZ</t>
        </is>
      </c>
    </row>
    <row r="89">
      <c r="A89" s="1" t="n">
        <v>46157</v>
      </c>
      <c r="B89" t="n">
        <v>31548356</v>
      </c>
      <c r="C89" t="inlineStr">
        <is>
          <t>DOMINIKA KMIECIK-MICALI</t>
        </is>
      </c>
      <c r="D89" t="n">
        <v>72052700382</v>
      </c>
      <c r="E89" s="1" t="n">
        <v>46157</v>
      </c>
      <c r="F89" t="inlineStr">
        <is>
          <t>CITO-CITO</t>
        </is>
      </c>
      <c r="G89" t="inlineStr">
        <is>
          <t>TK</t>
        </is>
      </c>
      <c r="H89" t="inlineStr">
        <is>
          <t>Tomografia komputerowa jamy brzusznej i miednicy małej bez kontrastu</t>
        </is>
      </c>
      <c r="I89" t="inlineStr">
        <is>
          <t>TK Zwykłe</t>
        </is>
      </c>
      <c r="J89" t="inlineStr">
        <is>
          <t>2 okolice anatomiczne</t>
        </is>
      </c>
      <c r="K89" t="inlineStr">
        <is>
          <t>Tomasz Bujalski</t>
        </is>
      </c>
      <c r="L89" t="inlineStr">
        <is>
          <t> </t>
        </is>
      </c>
      <c r="M89" t="inlineStr">
        <is>
          <t>SAMODZIELNY PUBLICZNY SPECJALISTYCZNY SZPITAL ZACHODNI IM.ŚW.JANA PAWŁA II</t>
        </is>
      </c>
      <c r="N89" t="inlineStr">
        <is>
          <t>Szpitalny Oddział Ratunkowy</t>
        </is>
      </c>
      <c r="O89" t="inlineStr">
        <is>
          <t>Tomasz Laus</t>
        </is>
      </c>
      <c r="P89" t="inlineStr">
        <is>
          <t>3288043</t>
        </is>
      </c>
      <c r="Q89" t="inlineStr">
        <is>
          <t> </t>
        </is>
      </c>
      <c r="R89" t="inlineStr">
        <is>
          <t>grodzisk</t>
        </is>
      </c>
      <c r="S89" s="1" t="n">
        <v>46157.34097222222</v>
      </c>
      <c r="T89" t="n">
        <v>0</v>
      </c>
      <c r="U89" t="inlineStr">
        <is>
          <t>BUJALSKI TOMASZ</t>
        </is>
      </c>
    </row>
    <row r="90">
      <c r="A90" s="1" t="n">
        <v>46157</v>
      </c>
      <c r="B90" t="n">
        <v>31548910</v>
      </c>
      <c r="C90" t="inlineStr">
        <is>
          <t>MACIEJ WAPIŃSKI</t>
        </is>
      </c>
      <c r="D90" t="n">
        <v>91091915571</v>
      </c>
      <c r="E90" s="1" t="n">
        <v>46157</v>
      </c>
      <c r="F90" t="inlineStr">
        <is>
          <t>CITO-CITO</t>
        </is>
      </c>
      <c r="G90" t="inlineStr">
        <is>
          <t>TK</t>
        </is>
      </c>
      <c r="H90" t="inlineStr">
        <is>
          <t>Tomografia komputerowa jamy brzusznej i miednicy małej bez kontrastu</t>
        </is>
      </c>
      <c r="I90" t="inlineStr">
        <is>
          <t>TK Zwykłe</t>
        </is>
      </c>
      <c r="J90" t="inlineStr">
        <is>
          <t>2 okolice anatomiczne</t>
        </is>
      </c>
      <c r="K90" t="inlineStr">
        <is>
          <t>Tomasz Bujalski</t>
        </is>
      </c>
      <c r="L90" t="inlineStr">
        <is>
          <t> </t>
        </is>
      </c>
      <c r="M90" t="inlineStr">
        <is>
          <t>SAMODZIELNY PUBLICZNY SPECJALISTYCZNY SZPITAL ZACHODNI IM.ŚW.JANA PAWŁA II</t>
        </is>
      </c>
      <c r="N90" t="inlineStr">
        <is>
          <t>Szpitalny Oddział Ratunkowy</t>
        </is>
      </c>
      <c r="O90" t="inlineStr">
        <is>
          <t>Tomasz Laus</t>
        </is>
      </c>
      <c r="P90" t="inlineStr">
        <is>
          <t>3288043</t>
        </is>
      </c>
      <c r="Q90" t="inlineStr">
        <is>
          <t> </t>
        </is>
      </c>
      <c r="R90" t="inlineStr">
        <is>
          <t>grodzisk</t>
        </is>
      </c>
      <c r="S90" s="1" t="n">
        <v>46157.33819444444</v>
      </c>
      <c r="T90" t="n">
        <v>0</v>
      </c>
      <c r="U90" t="inlineStr">
        <is>
          <t>BUJALSKI TOMASZ</t>
        </is>
      </c>
    </row>
    <row r="91">
      <c r="A91" s="1" t="n">
        <v>46157</v>
      </c>
      <c r="B91" t="n">
        <v>31549043</v>
      </c>
      <c r="C91" t="inlineStr">
        <is>
          <t>STANISLAV IASINETSKYI</t>
        </is>
      </c>
      <c r="D91" t="n">
        <v>67070914338</v>
      </c>
      <c r="E91" s="1" t="n">
        <v>46157</v>
      </c>
      <c r="F91" t="inlineStr">
        <is>
          <t>CITO-CITO</t>
        </is>
      </c>
      <c r="G91" t="inlineStr">
        <is>
          <t>TK</t>
        </is>
      </c>
      <c r="H91" t="inlineStr">
        <is>
          <t>Tomografia komputerowa jamy brzusznej i miednicy małej z kontrastem</t>
        </is>
      </c>
      <c r="I91" t="inlineStr">
        <is>
          <t>TK Zwykłe</t>
        </is>
      </c>
      <c r="J91" t="inlineStr">
        <is>
          <t>2 okolice anatomiczne</t>
        </is>
      </c>
      <c r="K91" t="inlineStr">
        <is>
          <t>Tomasz Bujalski</t>
        </is>
      </c>
      <c r="L91" t="inlineStr">
        <is>
          <t> </t>
        </is>
      </c>
      <c r="M91" t="inlineStr">
        <is>
          <t>SAMODZIELNY PUBLICZNY SPECJALISTYCZNY SZPITAL ZACHODNI IM.ŚW.JANA PAWŁA II</t>
        </is>
      </c>
      <c r="N91" t="inlineStr">
        <is>
          <t>Szpitalny Oddział Ratunkowy</t>
        </is>
      </c>
      <c r="O91" t="inlineStr">
        <is>
          <t>Tomasz Laus</t>
        </is>
      </c>
      <c r="P91" t="inlineStr">
        <is>
          <t>3288043</t>
        </is>
      </c>
      <c r="Q91" t="inlineStr">
        <is>
          <t> </t>
        </is>
      </c>
      <c r="R91" t="inlineStr">
        <is>
          <t>grodzisk</t>
        </is>
      </c>
      <c r="S91" s="1" t="n">
        <v>46157.44444444445</v>
      </c>
      <c r="T91" t="n">
        <v>0</v>
      </c>
      <c r="U91" t="inlineStr">
        <is>
          <t>BUJALSKI TOMASZ</t>
        </is>
      </c>
    </row>
    <row r="92">
      <c r="A92" s="1" t="n">
        <v>46157</v>
      </c>
      <c r="B92" t="n">
        <v>31549287</v>
      </c>
      <c r="C92" t="inlineStr">
        <is>
          <t>Hanna OLEWNIK</t>
        </is>
      </c>
      <c r="D92" t="n">
        <v>41070305549</v>
      </c>
      <c r="E92" s="1" t="n">
        <v>46157</v>
      </c>
      <c r="F92" t="inlineStr">
        <is>
          <t>CITO-CITO</t>
        </is>
      </c>
      <c r="G92" t="inlineStr">
        <is>
          <t>TK</t>
        </is>
      </c>
      <c r="H92" t="inlineStr">
        <is>
          <t>Tomografia komputerowa głowy bez kontrastu</t>
        </is>
      </c>
      <c r="I92" t="inlineStr">
        <is>
          <t>TK Zwykłe</t>
        </is>
      </c>
      <c r="J92" t="inlineStr">
        <is>
          <t>1 okolica anatomiczna</t>
        </is>
      </c>
      <c r="K92" t="inlineStr">
        <is>
          <t>Tomasz Bujalski</t>
        </is>
      </c>
      <c r="L92" t="inlineStr">
        <is>
          <t> </t>
        </is>
      </c>
      <c r="M92" t="inlineStr">
        <is>
          <t>SAMODZIELNY PUBLICZNY SPECJALISTYCZNY SZPITAL ZACHODNI IM.ŚW.JANA PAWŁA II</t>
        </is>
      </c>
      <c r="N92" t="inlineStr">
        <is>
          <t>Szpitalny Oddział Ratunkowy</t>
        </is>
      </c>
      <c r="O92" t="inlineStr">
        <is>
          <t>Małgorzata Zajda</t>
        </is>
      </c>
      <c r="P92" t="inlineStr">
        <is>
          <t>2313991</t>
        </is>
      </c>
      <c r="Q92" t="inlineStr">
        <is>
          <t> </t>
        </is>
      </c>
      <c r="R92" t="inlineStr">
        <is>
          <t>grodzisk</t>
        </is>
      </c>
      <c r="S92" s="1" t="n">
        <v>46157.35902777778</v>
      </c>
      <c r="T92" t="n">
        <v>0</v>
      </c>
      <c r="U92" t="inlineStr">
        <is>
          <t>BUJALSKI TOMASZ</t>
        </is>
      </c>
    </row>
    <row r="93">
      <c r="A93" s="1" t="n">
        <v>46157</v>
      </c>
      <c r="B93" t="n">
        <v>31549288</v>
      </c>
      <c r="C93" t="inlineStr">
        <is>
          <t>Hanna OLEWNIK</t>
        </is>
      </c>
      <c r="D93" t="n">
        <v>41070305549</v>
      </c>
      <c r="E93" s="1" t="n">
        <v>46157</v>
      </c>
      <c r="F93" t="inlineStr">
        <is>
          <t>CITO-CITO</t>
        </is>
      </c>
      <c r="G93" t="inlineStr">
        <is>
          <t>TK</t>
        </is>
      </c>
      <c r="H93" t="inlineStr">
        <is>
          <t>Tomografia komputerowa klatki piersiowej bez pontrastu</t>
        </is>
      </c>
      <c r="I93" t="inlineStr">
        <is>
          <t>TK Zwykłe</t>
        </is>
      </c>
      <c r="J93" t="inlineStr">
        <is>
          <t>1 okolica anatomiczna</t>
        </is>
      </c>
      <c r="K93" t="inlineStr">
        <is>
          <t>Tomasz Bujalski</t>
        </is>
      </c>
      <c r="L93" t="inlineStr">
        <is>
          <t> </t>
        </is>
      </c>
      <c r="M93" t="inlineStr">
        <is>
          <t>SAMODZIELNY PUBLICZNY SPECJALISTYCZNY SZPITAL ZACHODNI IM.ŚW.JANA PAWŁA II</t>
        </is>
      </c>
      <c r="N93" t="inlineStr">
        <is>
          <t>Szpitalny Oddział Ratunkowy</t>
        </is>
      </c>
      <c r="O93" t="inlineStr">
        <is>
          <t>Małgorzata Zajda</t>
        </is>
      </c>
      <c r="P93" t="inlineStr">
        <is>
          <t>2313991</t>
        </is>
      </c>
      <c r="Q93" t="inlineStr">
        <is>
          <t> </t>
        </is>
      </c>
      <c r="R93" t="inlineStr">
        <is>
          <t>grodzisk</t>
        </is>
      </c>
      <c r="S93" s="1" t="n">
        <v>46157.3625</v>
      </c>
      <c r="T93" t="n">
        <v>0</v>
      </c>
      <c r="U93" t="inlineStr">
        <is>
          <t>BUJALSKI TOMASZ</t>
        </is>
      </c>
    </row>
    <row r="94">
      <c r="A94" s="1" t="n">
        <v>46157</v>
      </c>
      <c r="B94" t="n">
        <v>31549307</v>
      </c>
      <c r="C94" t="inlineStr">
        <is>
          <t>Hanna OLEWNIK</t>
        </is>
      </c>
      <c r="D94" t="n">
        <v>41070305549</v>
      </c>
      <c r="E94" s="1" t="n">
        <v>46157</v>
      </c>
      <c r="F94" t="inlineStr">
        <is>
          <t>CITO-CITO</t>
        </is>
      </c>
      <c r="G94" t="inlineStr">
        <is>
          <t>TK</t>
        </is>
      </c>
      <c r="H94" t="inlineStr">
        <is>
          <t>gł+angio gł+tt szyjne</t>
        </is>
      </c>
      <c r="I94" t="inlineStr">
        <is>
          <t>TK Angiografia</t>
        </is>
      </c>
      <c r="J94" t="inlineStr">
        <is>
          <t>3 okolice anatomiczne</t>
        </is>
      </c>
      <c r="K94" t="inlineStr">
        <is>
          <t>Tomasz Bujalski</t>
        </is>
      </c>
      <c r="L94" t="inlineStr">
        <is>
          <t> </t>
        </is>
      </c>
      <c r="M94" t="inlineStr">
        <is>
          <t>SAMODZIELNY PUBLICZNY SPECJALISTYCZNY SZPITAL ZACHODNI IM.ŚW.JANA PAWŁA II</t>
        </is>
      </c>
      <c r="N94" t="inlineStr">
        <is>
          <t>Szpitalny Oddział Ratunkowy</t>
        </is>
      </c>
      <c r="O94" t="inlineStr">
        <is>
          <t>Małgorzata Zajda</t>
        </is>
      </c>
      <c r="P94" t="inlineStr">
        <is>
          <t>2313991</t>
        </is>
      </c>
      <c r="Q94" t="inlineStr">
        <is>
          <t> </t>
        </is>
      </c>
      <c r="R94" t="inlineStr">
        <is>
          <t>grodzisk</t>
        </is>
      </c>
      <c r="S94" s="1" t="n">
        <v>46157.36944444444</v>
      </c>
      <c r="T94" t="n">
        <v>0</v>
      </c>
      <c r="U94" t="inlineStr">
        <is>
          <t>BUJALSKI TOMASZ</t>
        </is>
      </c>
    </row>
    <row r="95">
      <c r="A95" s="1" t="n">
        <v>46157</v>
      </c>
      <c r="B95" t="n">
        <v>31550711</v>
      </c>
      <c r="C95" t="inlineStr">
        <is>
          <t>POLA SZWONDER</t>
        </is>
      </c>
      <c r="D95" t="n">
        <v>13301608725</v>
      </c>
      <c r="E95" s="1" t="n">
        <v>46157</v>
      </c>
      <c r="F95" t="inlineStr">
        <is>
          <t>CITO-CITO</t>
        </is>
      </c>
      <c r="G95" t="inlineStr">
        <is>
          <t>TK</t>
        </is>
      </c>
      <c r="H95" t="inlineStr">
        <is>
          <t>Tomografia komputerowa głowy bez kontrastu</t>
        </is>
      </c>
      <c r="I95" t="inlineStr">
        <is>
          <t>TK Zwykłe</t>
        </is>
      </c>
      <c r="J95" t="inlineStr">
        <is>
          <t>1 okolica anatomiczna</t>
        </is>
      </c>
      <c r="K95" t="inlineStr">
        <is>
          <t>Tomasz Bujalski</t>
        </is>
      </c>
      <c r="L95" t="inlineStr">
        <is>
          <t> </t>
        </is>
      </c>
      <c r="M95" t="inlineStr">
        <is>
          <t>SAMODZIELNY PUBLICZNY SPECJALISTYCZNY SZPITAL ZACHODNI IM.ŚW.JANA PAWŁA II</t>
        </is>
      </c>
      <c r="N95" t="inlineStr">
        <is>
          <t>Szpitalny Oddział Ratunkowy</t>
        </is>
      </c>
      <c r="O95" t="inlineStr">
        <is>
          <t>AGATA RZETELSKA</t>
        </is>
      </c>
      <c r="P95" t="inlineStr">
        <is>
          <t>3638401</t>
        </is>
      </c>
      <c r="Q95" t="inlineStr">
        <is>
          <t> </t>
        </is>
      </c>
      <c r="R95" t="inlineStr">
        <is>
          <t>grodzisk</t>
        </is>
      </c>
      <c r="S95" s="1" t="n">
        <v>46157.43333333333</v>
      </c>
      <c r="T95" t="n">
        <v>0</v>
      </c>
      <c r="U95" t="inlineStr">
        <is>
          <t>BUJALSKI TOMASZ</t>
        </is>
      </c>
    </row>
    <row r="96">
      <c r="A96" s="1" t="n">
        <v>46157</v>
      </c>
      <c r="B96" t="n">
        <v>31550984</v>
      </c>
      <c r="C96" t="inlineStr">
        <is>
          <t>MARIANNA BANASIAK</t>
        </is>
      </c>
      <c r="D96" t="n">
        <v>53022715485</v>
      </c>
      <c r="E96" s="1" t="n">
        <v>46157</v>
      </c>
      <c r="F96" t="inlineStr">
        <is>
          <t>CITO-CITO</t>
        </is>
      </c>
      <c r="G96" t="inlineStr">
        <is>
          <t>TK</t>
        </is>
      </c>
      <c r="H96" t="inlineStr">
        <is>
          <t>Tomografia komputerowa głowy bez kontrastu</t>
        </is>
      </c>
      <c r="I96" t="inlineStr">
        <is>
          <t>TK Zwykłe</t>
        </is>
      </c>
      <c r="J96" t="inlineStr">
        <is>
          <t>1 okolica anatomiczna</t>
        </is>
      </c>
      <c r="K96" t="inlineStr">
        <is>
          <t>Tomasz Bujalski</t>
        </is>
      </c>
      <c r="L96" t="inlineStr">
        <is>
          <t> </t>
        </is>
      </c>
      <c r="M96" t="inlineStr">
        <is>
          <t>SAMODZIELNY PUBLICZNY SPECJALISTYCZNY SZPITAL ZACHODNI IM.ŚW.JANA PAWŁA II</t>
        </is>
      </c>
      <c r="N96" t="inlineStr">
        <is>
          <t>Szpitalny Oddział Ratunkowy</t>
        </is>
      </c>
      <c r="O96" t="inlineStr">
        <is>
          <t>Aleksandra Krawczuk</t>
        </is>
      </c>
      <c r="P96" t="inlineStr">
        <is>
          <t>3981200</t>
        </is>
      </c>
      <c r="Q96" t="inlineStr">
        <is>
          <t> </t>
        </is>
      </c>
      <c r="R96" t="inlineStr">
        <is>
          <t>grodzisk</t>
        </is>
      </c>
      <c r="S96" s="1" t="n">
        <v>46157.44791666666</v>
      </c>
      <c r="T96" t="n">
        <v>0</v>
      </c>
      <c r="U96" t="inlineStr">
        <is>
          <t>BUJALSKI TOMASZ</t>
        </is>
      </c>
    </row>
    <row r="97">
      <c r="A97" s="1" t="n">
        <v>46162</v>
      </c>
      <c r="B97" t="n">
        <v>31580217</v>
      </c>
      <c r="C97" t="inlineStr">
        <is>
          <t>TERESA PACUŁA</t>
        </is>
      </c>
      <c r="D97" t="n">
        <v>40031307501</v>
      </c>
      <c r="E97" s="1" t="n">
        <v>46162</v>
      </c>
      <c r="F97" t="inlineStr">
        <is>
          <t>Planowy</t>
        </is>
      </c>
      <c r="G97" t="inlineStr">
        <is>
          <t>TK</t>
        </is>
      </c>
      <c r="H97" t="inlineStr">
        <is>
          <t>Tomografia komputerowa jamy brzusznej i miednicy małej z kontrastem</t>
        </is>
      </c>
      <c r="I97" t="inlineStr">
        <is>
          <t>TK Zwykłe</t>
        </is>
      </c>
      <c r="J97" t="inlineStr">
        <is>
          <t>2 okolice anatomiczne</t>
        </is>
      </c>
      <c r="K97" t="inlineStr">
        <is>
          <t>Tomasz Bujalski</t>
        </is>
      </c>
      <c r="L97" t="inlineStr">
        <is>
          <t> </t>
        </is>
      </c>
      <c r="M97" t="inlineStr">
        <is>
          <t>SAMODZIELNY PUBLICZNY SPECJALISTYCZNY SZPITAL ZACHODNI IM.ŚW.JANA PAWŁA II</t>
        </is>
      </c>
      <c r="N97" t="inlineStr">
        <is>
          <t>Oddział Chirurgii Ogólnej i Onkologicznej</t>
        </is>
      </c>
      <c r="O97" t="inlineStr">
        <is>
          <t>KLAUDIA KWIATEK</t>
        </is>
      </c>
      <c r="P97" t="inlineStr">
        <is>
          <t>4314658</t>
        </is>
      </c>
      <c r="Q97" t="inlineStr">
        <is>
          <t> </t>
        </is>
      </c>
      <c r="R97" t="inlineStr">
        <is>
          <t>grodzisk</t>
        </is>
      </c>
      <c r="S97" s="1" t="n">
        <v>46162.57986111111</v>
      </c>
      <c r="T97" t="n">
        <v>2</v>
      </c>
      <c r="U97" t="inlineStr">
        <is>
          <t>BUJALSKI TOMASZ</t>
        </is>
      </c>
    </row>
    <row r="98">
      <c r="A98" s="1" t="n">
        <v>46162</v>
      </c>
      <c r="B98" t="n">
        <v>31582183</v>
      </c>
      <c r="C98" t="inlineStr">
        <is>
          <t>RYSZARD GANDZIAROWSKI</t>
        </is>
      </c>
      <c r="D98" t="n">
        <v>58031312559</v>
      </c>
      <c r="E98" s="1" t="n">
        <v>46162</v>
      </c>
      <c r="F98" t="inlineStr">
        <is>
          <t>CITO-CITO</t>
        </is>
      </c>
      <c r="G98" t="inlineStr">
        <is>
          <t>TK</t>
        </is>
      </c>
      <c r="H98" t="inlineStr">
        <is>
          <t>Tomografia komputerowa tętnic klatki piersiowej w tym aorta</t>
        </is>
      </c>
      <c r="I98" t="inlineStr">
        <is>
          <t>TK Angiografia</t>
        </is>
      </c>
      <c r="J98" t="inlineStr">
        <is>
          <t>1 okolica anatomiczna</t>
        </is>
      </c>
      <c r="K98" t="inlineStr">
        <is>
          <t>Tomasz Bujalski</t>
        </is>
      </c>
      <c r="L98" t="inlineStr">
        <is>
          <t> </t>
        </is>
      </c>
      <c r="M98" t="inlineStr">
        <is>
          <t>SAMODZIELNY PUBLICZNY SPECJALISTYCZNY SZPITAL ZACHODNI IM.ŚW.JANA PAWŁA II</t>
        </is>
      </c>
      <c r="N98" t="inlineStr">
        <is>
          <t>Oddział Wewnętrzny</t>
        </is>
      </c>
      <c r="O98" t="inlineStr">
        <is>
          <t>Agata Ostrowska-Michalak</t>
        </is>
      </c>
      <c r="P98" t="inlineStr">
        <is>
          <t>2963087</t>
        </is>
      </c>
      <c r="Q98" t="inlineStr">
        <is>
          <t> </t>
        </is>
      </c>
      <c r="R98" t="inlineStr">
        <is>
          <t>grodzisk</t>
        </is>
      </c>
      <c r="S98" s="1" t="n">
        <v>46162.64027777778</v>
      </c>
      <c r="T98" t="n">
        <v>0</v>
      </c>
      <c r="U98" t="inlineStr">
        <is>
          <t>BUJALSKI TOMASZ</t>
        </is>
      </c>
    </row>
    <row r="99">
      <c r="A99" s="1" t="n">
        <v>46162</v>
      </c>
      <c r="B99" t="n">
        <v>31584957</v>
      </c>
      <c r="C99" t="inlineStr">
        <is>
          <t>Krystyna HAJDUK</t>
        </is>
      </c>
      <c r="D99" t="n">
        <v>37081806500</v>
      </c>
      <c r="E99" s="1" t="n">
        <v>46162</v>
      </c>
      <c r="F99" t="inlineStr">
        <is>
          <t>CITO-CITO</t>
        </is>
      </c>
      <c r="G99" t="inlineStr">
        <is>
          <t>TK</t>
        </is>
      </c>
      <c r="H99" t="inlineStr">
        <is>
          <t>klp+jb+m+kontrast</t>
        </is>
      </c>
      <c r="I99" t="inlineStr">
        <is>
          <t>TK Zwykłe</t>
        </is>
      </c>
      <c r="J99" t="inlineStr">
        <is>
          <t>3 okolice anatomiczne</t>
        </is>
      </c>
      <c r="K99" t="inlineStr">
        <is>
          <t>Tomasz Bujalski</t>
        </is>
      </c>
      <c r="L99" t="inlineStr">
        <is>
          <t> </t>
        </is>
      </c>
      <c r="M99" t="inlineStr">
        <is>
          <t>SAMODZIELNY PUBLICZNY SPECJALISTYCZNY SZPITAL ZACHODNI IM.ŚW.JANA PAWŁA II</t>
        </is>
      </c>
      <c r="N99" t="inlineStr">
        <is>
          <t>Oddział Wewnętrzny</t>
        </is>
      </c>
      <c r="O99" t="inlineStr">
        <is>
          <t>OLENA VIVCHAR</t>
        </is>
      </c>
      <c r="P99" t="inlineStr">
        <is>
          <t>4302755</t>
        </is>
      </c>
      <c r="Q99" t="inlineStr">
        <is>
          <t> </t>
        </is>
      </c>
      <c r="R99" t="inlineStr">
        <is>
          <t>grodzisk</t>
        </is>
      </c>
      <c r="S99" s="1" t="n">
        <v>46162.55902777778</v>
      </c>
      <c r="T99" t="n">
        <v>0</v>
      </c>
      <c r="U99" t="inlineStr">
        <is>
          <t>BUJALSKI TOMASZ</t>
        </is>
      </c>
    </row>
    <row r="100">
      <c r="A100" s="1" t="n">
        <v>46162</v>
      </c>
      <c r="B100" t="n">
        <v>31585628</v>
      </c>
      <c r="C100" t="inlineStr">
        <is>
          <t>MAGDALENA GUT</t>
        </is>
      </c>
      <c r="D100" t="n">
        <v>83100417981</v>
      </c>
      <c r="E100" s="1" t="n">
        <v>46162</v>
      </c>
      <c r="F100" t="inlineStr">
        <is>
          <t>CITO-CITO</t>
        </is>
      </c>
      <c r="G100" t="inlineStr">
        <is>
          <t>TK</t>
        </is>
      </c>
      <c r="H100" t="inlineStr">
        <is>
          <t>Tomografia komputerowa klatki piersiowej z kontrastem</t>
        </is>
      </c>
      <c r="I100" t="inlineStr">
        <is>
          <t>TK Zwykłe</t>
        </is>
      </c>
      <c r="J100" t="inlineStr">
        <is>
          <t>1 okolica anatomiczna</t>
        </is>
      </c>
      <c r="K100" t="inlineStr">
        <is>
          <t>Tomasz Bujalski</t>
        </is>
      </c>
      <c r="L100" t="inlineStr">
        <is>
          <t> </t>
        </is>
      </c>
      <c r="M100" t="inlineStr">
        <is>
          <t>SAMODZIELNY PUBLICZNY SPECJALISTYCZNY SZPITAL ZACHODNI IM.ŚW.JANA PAWŁA II</t>
        </is>
      </c>
      <c r="N100" t="inlineStr">
        <is>
          <t>Oddział Anestezjologii i Intensywnej Terapii</t>
        </is>
      </c>
      <c r="O100" t="inlineStr">
        <is>
          <t>Alicja Derlecka-byś</t>
        </is>
      </c>
      <c r="P100" t="inlineStr">
        <is>
          <t>5566028</t>
        </is>
      </c>
      <c r="Q100" t="inlineStr">
        <is>
          <t> </t>
        </is>
      </c>
      <c r="R100" t="inlineStr">
        <is>
          <t>grodzisk</t>
        </is>
      </c>
      <c r="S100" s="1" t="n">
        <v>46162.53958333333</v>
      </c>
      <c r="T100" t="n">
        <v>0</v>
      </c>
      <c r="U100" t="inlineStr">
        <is>
          <t>BUJALSKI TOMASZ</t>
        </is>
      </c>
    </row>
    <row r="101">
      <c r="A101" s="1" t="n">
        <v>46162</v>
      </c>
      <c r="B101" t="n">
        <v>31586999</v>
      </c>
      <c r="C101" t="inlineStr">
        <is>
          <t>EWELINA ŚLIWIŃSKA</t>
        </is>
      </c>
      <c r="D101" t="n">
        <v>88102508583</v>
      </c>
      <c r="E101" s="1" t="n">
        <v>46162</v>
      </c>
      <c r="F101" t="inlineStr">
        <is>
          <t>CITO-CITO</t>
        </is>
      </c>
      <c r="G101" t="inlineStr">
        <is>
          <t>TK</t>
        </is>
      </c>
      <c r="H101" t="inlineStr">
        <is>
          <t>Tomografia komputerowa tętnic klatki piersiowej w tym aorta</t>
        </is>
      </c>
      <c r="I101" t="inlineStr">
        <is>
          <t>TK Angiografia</t>
        </is>
      </c>
      <c r="J101" t="inlineStr">
        <is>
          <t>1 okolica anatomiczna</t>
        </is>
      </c>
      <c r="K101" t="inlineStr">
        <is>
          <t>Tomasz Bujalski</t>
        </is>
      </c>
      <c r="L101" t="inlineStr">
        <is>
          <t> </t>
        </is>
      </c>
      <c r="M101" t="inlineStr">
        <is>
          <t>SAMODZIELNY PUBLICZNY SPECJALISTYCZNY SZPITAL ZACHODNI IM.ŚW.JANA PAWŁA II</t>
        </is>
      </c>
      <c r="N101" t="inlineStr">
        <is>
          <t>Oddział Chirurgii Naczyniowej</t>
        </is>
      </c>
      <c r="O101" t="inlineStr">
        <is>
          <t>Monika Skalik</t>
        </is>
      </c>
      <c r="P101" t="inlineStr">
        <is>
          <t>2608672</t>
        </is>
      </c>
      <c r="Q101" t="inlineStr">
        <is>
          <t>I87</t>
        </is>
      </c>
      <c r="R101" t="inlineStr">
        <is>
          <t>grodzisk</t>
        </is>
      </c>
      <c r="S101" s="1" t="n">
        <v>46162.67916666667</v>
      </c>
      <c r="T101" t="n">
        <v>0</v>
      </c>
      <c r="U101" t="inlineStr">
        <is>
          <t>BUJALSKI TOMASZ</t>
        </is>
      </c>
    </row>
    <row r="102">
      <c r="A102" s="1" t="n">
        <v>46162</v>
      </c>
      <c r="B102" t="n">
        <v>31587343</v>
      </c>
      <c r="C102" t="inlineStr">
        <is>
          <t>MARCIN SĘK</t>
        </is>
      </c>
      <c r="D102" t="n">
        <v>94050914394</v>
      </c>
      <c r="E102" s="1" t="n">
        <v>46162</v>
      </c>
      <c r="F102" t="inlineStr">
        <is>
          <t>CITO-CITO</t>
        </is>
      </c>
      <c r="G102" t="inlineStr">
        <is>
          <t>TK</t>
        </is>
      </c>
      <c r="H102" t="inlineStr">
        <is>
          <t>Tomografia komputerowa jamy brzusznej i miednicy małej bez kontrastu</t>
        </is>
      </c>
      <c r="I102" t="inlineStr">
        <is>
          <t>TK Zwykłe</t>
        </is>
      </c>
      <c r="J102" t="inlineStr">
        <is>
          <t>2 okolice anatomiczne</t>
        </is>
      </c>
      <c r="K102" t="inlineStr">
        <is>
          <t>Tomasz Bujalski</t>
        </is>
      </c>
      <c r="L102" t="inlineStr">
        <is>
          <t> </t>
        </is>
      </c>
      <c r="M102" t="inlineStr">
        <is>
          <t>SAMODZIELNY PUBLICZNY SPECJALISTYCZNY SZPITAL ZACHODNI IM.ŚW.JANA PAWŁA II</t>
        </is>
      </c>
      <c r="N102" t="inlineStr">
        <is>
          <t>Szpitalny Oddział Ratunkowy</t>
        </is>
      </c>
      <c r="O102" t="inlineStr">
        <is>
          <t>Tomasz Laus</t>
        </is>
      </c>
      <c r="P102" t="inlineStr">
        <is>
          <t>3288043</t>
        </is>
      </c>
      <c r="Q102" t="inlineStr">
        <is>
          <t> </t>
        </is>
      </c>
      <c r="R102" t="inlineStr">
        <is>
          <t>grodzisk</t>
        </is>
      </c>
      <c r="S102" s="1" t="n">
        <v>46162.69583333333</v>
      </c>
      <c r="T102" t="n">
        <v>0</v>
      </c>
      <c r="U102" t="inlineStr">
        <is>
          <t>BUJALSKI TOMASZ</t>
        </is>
      </c>
    </row>
    <row r="103">
      <c r="A103" s="1" t="n">
        <v>46163</v>
      </c>
      <c r="B103" t="n">
        <v>31580986</v>
      </c>
      <c r="C103" t="inlineStr">
        <is>
          <t>ALICJA WILKOWSKA</t>
        </is>
      </c>
      <c r="D103" t="n">
        <v>36102301644</v>
      </c>
      <c r="E103" s="1" t="n">
        <v>46163</v>
      </c>
      <c r="F103" t="inlineStr">
        <is>
          <t>CITO-CITO</t>
        </is>
      </c>
      <c r="G103" t="inlineStr">
        <is>
          <t>MR</t>
        </is>
      </c>
      <c r="H103" t="inlineStr">
        <is>
          <t>Rezonans Magnetyczny głowy z kontrastem</t>
        </is>
      </c>
      <c r="I103" t="inlineStr">
        <is>
          <t>MR Neurologia</t>
        </is>
      </c>
      <c r="J103" t="inlineStr">
        <is>
          <t>1 okolica anatomiczna</t>
        </is>
      </c>
      <c r="K103" t="inlineStr">
        <is>
          <t>Tomasz Bujalski</t>
        </is>
      </c>
      <c r="L103" t="inlineStr">
        <is>
          <t> </t>
        </is>
      </c>
      <c r="M103" t="inlineStr">
        <is>
          <t>SAMODZIELNY PUBLICZNY SPECJALISTYCZNY SZPITAL ZACHODNI IM.ŚW.JANA PAWŁA II</t>
        </is>
      </c>
      <c r="N103" t="inlineStr">
        <is>
          <t>Oddział Udarowy</t>
        </is>
      </c>
      <c r="O103" t="inlineStr">
        <is>
          <t>DOROTA ORŁOWSKA</t>
        </is>
      </c>
      <c r="P103" t="inlineStr">
        <is>
          <t>3165369</t>
        </is>
      </c>
      <c r="Q103" t="inlineStr">
        <is>
          <t> </t>
        </is>
      </c>
      <c r="R103" t="inlineStr">
        <is>
          <t>grodzisk</t>
        </is>
      </c>
      <c r="S103" s="1" t="n">
        <v>46163.42986111111</v>
      </c>
      <c r="T103" t="n">
        <v>0</v>
      </c>
      <c r="U103" t="inlineStr">
        <is>
          <t>BUJALSKI TOMASZ</t>
        </is>
      </c>
    </row>
    <row r="104">
      <c r="A104" s="1" t="n">
        <v>46163</v>
      </c>
      <c r="B104" t="n">
        <v>31586698</v>
      </c>
      <c r="C104" t="inlineStr">
        <is>
          <t>HONORATA BEDNARCZYK</t>
        </is>
      </c>
      <c r="D104" t="n">
        <v>75082108924</v>
      </c>
      <c r="E104" s="1" t="n">
        <v>46163</v>
      </c>
      <c r="F104" t="inlineStr">
        <is>
          <t>CITO-CITO</t>
        </is>
      </c>
      <c r="G104" t="inlineStr">
        <is>
          <t>MR</t>
        </is>
      </c>
      <c r="H104" t="inlineStr">
        <is>
          <t>Rezonans Magnetyczny głowy z kontrastem</t>
        </is>
      </c>
      <c r="I104" t="inlineStr">
        <is>
          <t>MR Neurologia</t>
        </is>
      </c>
      <c r="J104" t="inlineStr">
        <is>
          <t>1 okolica anatomiczna</t>
        </is>
      </c>
      <c r="K104" t="inlineStr">
        <is>
          <t>Tomasz Bujalski</t>
        </is>
      </c>
      <c r="L104" t="inlineStr">
        <is>
          <t> </t>
        </is>
      </c>
      <c r="M104" t="inlineStr">
        <is>
          <t>SAMODZIELNY PUBLICZNY SPECJALISTYCZNY SZPITAL ZACHODNI IM.ŚW.JANA PAWŁA II</t>
        </is>
      </c>
      <c r="N104" t="inlineStr">
        <is>
          <t>Oddział Neurologiczny</t>
        </is>
      </c>
      <c r="O104" t="inlineStr">
        <is>
          <t>JOANNA PASZYN</t>
        </is>
      </c>
      <c r="P104" t="inlineStr">
        <is>
          <t>3781009</t>
        </is>
      </c>
      <c r="Q104" t="inlineStr">
        <is>
          <t> </t>
        </is>
      </c>
      <c r="R104" t="inlineStr">
        <is>
          <t>grodzisk</t>
        </is>
      </c>
      <c r="S104" s="1" t="n">
        <v>46163.42986111111</v>
      </c>
      <c r="T104" t="n">
        <v>0</v>
      </c>
      <c r="U104" t="inlineStr">
        <is>
          <t>BUJALSKI TOMASZ</t>
        </is>
      </c>
    </row>
    <row r="105">
      <c r="A105" s="1" t="n">
        <v>46163</v>
      </c>
      <c r="B105" t="n">
        <v>31589855</v>
      </c>
      <c r="C105" t="inlineStr">
        <is>
          <t>Janina ZIEJEWSKA</t>
        </is>
      </c>
      <c r="D105" t="n">
        <v>46010905588</v>
      </c>
      <c r="E105" s="1" t="n">
        <v>46163</v>
      </c>
      <c r="F105" t="inlineStr">
        <is>
          <t>CITO-CITO</t>
        </is>
      </c>
      <c r="G105" t="inlineStr">
        <is>
          <t>TK</t>
        </is>
      </c>
      <c r="H105" t="inlineStr">
        <is>
          <t>Tomografia komputerowa głowy bez kontrastu</t>
        </is>
      </c>
      <c r="I105" t="inlineStr">
        <is>
          <t>TK Zwykłe</t>
        </is>
      </c>
      <c r="J105" t="inlineStr">
        <is>
          <t>1 okolica anatomiczna</t>
        </is>
      </c>
      <c r="K105" t="inlineStr">
        <is>
          <t>Tomasz Bujalski</t>
        </is>
      </c>
      <c r="L105" t="inlineStr">
        <is>
          <t> </t>
        </is>
      </c>
      <c r="M105" t="inlineStr">
        <is>
          <t>SAMODZIELNY PUBLICZNY SPECJALISTYCZNY SZPITAL ZACHODNI IM.ŚW.JANA PAWŁA II</t>
        </is>
      </c>
      <c r="N105" t="inlineStr">
        <is>
          <t>Szpitalny Oddział Ratunkowy</t>
        </is>
      </c>
      <c r="O105" t="inlineStr">
        <is>
          <t>SUREN BAHDASARYAN</t>
        </is>
      </c>
      <c r="P105" t="inlineStr">
        <is>
          <t>7457260</t>
        </is>
      </c>
      <c r="Q105" t="inlineStr">
        <is>
          <t> </t>
        </is>
      </c>
      <c r="R105" t="inlineStr">
        <is>
          <t>grodzisk</t>
        </is>
      </c>
      <c r="S105" s="1" t="n">
        <v>46163.32083333333</v>
      </c>
      <c r="T105" t="n">
        <v>0</v>
      </c>
      <c r="U105" t="inlineStr">
        <is>
          <t>BUJALSKI TOMASZ</t>
        </is>
      </c>
    </row>
    <row r="106">
      <c r="A106" s="1" t="n">
        <v>46164</v>
      </c>
      <c r="B106" t="n">
        <v>31591491</v>
      </c>
      <c r="C106" t="inlineStr">
        <is>
          <t>JOLANTA RATYŃSKA</t>
        </is>
      </c>
      <c r="D106" t="n">
        <v>65010809241</v>
      </c>
      <c r="E106" s="1" t="n">
        <v>46164</v>
      </c>
      <c r="F106" t="inlineStr">
        <is>
          <t>CITO-CITO</t>
        </is>
      </c>
      <c r="G106" t="inlineStr">
        <is>
          <t>MR</t>
        </is>
      </c>
      <c r="H106" t="inlineStr">
        <is>
          <t>Rezonans Magnetyczny głowy z kontrastem</t>
        </is>
      </c>
      <c r="I106" t="inlineStr">
        <is>
          <t>MR Neurologia</t>
        </is>
      </c>
      <c r="J106" t="inlineStr">
        <is>
          <t>1 okolica anatomiczna</t>
        </is>
      </c>
      <c r="K106" t="inlineStr">
        <is>
          <t>Tomasz Bujalski</t>
        </is>
      </c>
      <c r="L106" t="inlineStr">
        <is>
          <t> </t>
        </is>
      </c>
      <c r="M106" t="inlineStr">
        <is>
          <t>SAMODZIELNY PUBLICZNY SPECJALISTYCZNY SZPITAL ZACHODNI IM.ŚW.JANA PAWŁA II</t>
        </is>
      </c>
      <c r="N106" t="inlineStr">
        <is>
          <t>Oddział Udarowy</t>
        </is>
      </c>
      <c r="O106" t="inlineStr">
        <is>
          <t>ALEKSANDRA JELONEK</t>
        </is>
      </c>
      <c r="P106" t="inlineStr">
        <is>
          <t>3163841</t>
        </is>
      </c>
      <c r="Q106" t="inlineStr">
        <is>
          <t> </t>
        </is>
      </c>
      <c r="R106" t="inlineStr">
        <is>
          <t>grodzisk</t>
        </is>
      </c>
      <c r="S106" s="1" t="n">
        <v>46164.40763888889</v>
      </c>
      <c r="T106" t="n">
        <v>0</v>
      </c>
      <c r="U106" t="inlineStr">
        <is>
          <t>BUJALSKI TOMASZ</t>
        </is>
      </c>
    </row>
    <row r="107">
      <c r="A107" s="1" t="n">
        <v>46164</v>
      </c>
      <c r="B107" t="n">
        <v>31593633</v>
      </c>
      <c r="C107" t="inlineStr">
        <is>
          <t>WOJCIECH JANKOWSKI</t>
        </is>
      </c>
      <c r="D107" t="n">
        <v>53052413133</v>
      </c>
      <c r="E107" s="1" t="n">
        <v>46164</v>
      </c>
      <c r="F107" t="inlineStr">
        <is>
          <t>CITO-CITO</t>
        </is>
      </c>
      <c r="G107" t="inlineStr">
        <is>
          <t>TK</t>
        </is>
      </c>
      <c r="H107" t="inlineStr">
        <is>
          <t>TK angio klp+angio jb+m</t>
        </is>
      </c>
      <c r="I107" t="inlineStr">
        <is>
          <t>TK Angiografia</t>
        </is>
      </c>
      <c r="J107" t="inlineStr">
        <is>
          <t>3 okolice anatomiczne</t>
        </is>
      </c>
      <c r="K107" t="inlineStr">
        <is>
          <t>Tomasz Bujalski</t>
        </is>
      </c>
      <c r="L107" t="inlineStr">
        <is>
          <t> </t>
        </is>
      </c>
      <c r="M107" t="inlineStr">
        <is>
          <t>SAMODZIELNY PUBLICZNY SPECJALISTYCZNY SZPITAL ZACHODNI IM.ŚW.JANA PAWŁA II</t>
        </is>
      </c>
      <c r="N107" t="inlineStr">
        <is>
          <t>Oddział Chirurgii Naczyniowej</t>
        </is>
      </c>
      <c r="O107" t="inlineStr">
        <is>
          <t>Szymon JASIŃSKI</t>
        </is>
      </c>
      <c r="P107" t="inlineStr">
        <is>
          <t>3297777</t>
        </is>
      </c>
      <c r="Q107" t="inlineStr">
        <is>
          <t> </t>
        </is>
      </c>
      <c r="R107" t="inlineStr">
        <is>
          <t>grodzisk</t>
        </is>
      </c>
      <c r="S107" s="1" t="n">
        <v>46164.28888888889</v>
      </c>
      <c r="T107" t="n">
        <v>0</v>
      </c>
      <c r="U107" t="inlineStr">
        <is>
          <t>BUJALSKI TOMASZ</t>
        </is>
      </c>
    </row>
    <row r="108">
      <c r="A108" s="1" t="n">
        <v>46164</v>
      </c>
      <c r="B108" t="n">
        <v>31596394</v>
      </c>
      <c r="C108" t="inlineStr">
        <is>
          <t>KRYSTYNA MATUSIAK</t>
        </is>
      </c>
      <c r="D108" t="n">
        <v>42071006682</v>
      </c>
      <c r="E108" s="1" t="n">
        <v>46164</v>
      </c>
      <c r="F108" t="inlineStr">
        <is>
          <t>CITO-CITO</t>
        </is>
      </c>
      <c r="G108" t="inlineStr">
        <is>
          <t>TK</t>
        </is>
      </c>
      <c r="H108" t="inlineStr">
        <is>
          <t>Tomografia komputerowa głowy bez kontrastu</t>
        </is>
      </c>
      <c r="I108" t="inlineStr">
        <is>
          <t>TK Zwykłe</t>
        </is>
      </c>
      <c r="J108" t="inlineStr">
        <is>
          <t>1 okolica anatomiczna</t>
        </is>
      </c>
      <c r="K108" t="inlineStr">
        <is>
          <t>Tomasz Bujalski</t>
        </is>
      </c>
      <c r="L108" t="inlineStr">
        <is>
          <t> </t>
        </is>
      </c>
      <c r="M108" t="inlineStr">
        <is>
          <t>SAMODZIELNY PUBLICZNY SPECJALISTYCZNY SZPITAL ZACHODNI IM.ŚW.JANA PAWŁA II</t>
        </is>
      </c>
      <c r="N108" t="inlineStr">
        <is>
          <t>Oddział Udarowy</t>
        </is>
      </c>
      <c r="O108" t="inlineStr">
        <is>
          <t>SUREN BAHDASARYAN</t>
        </is>
      </c>
      <c r="P108" t="inlineStr">
        <is>
          <t>7457260</t>
        </is>
      </c>
      <c r="Q108" t="inlineStr">
        <is>
          <t> </t>
        </is>
      </c>
      <c r="R108" t="inlineStr">
        <is>
          <t>grodzisk</t>
        </is>
      </c>
      <c r="S108" s="1" t="n">
        <v>46164.28611111111</v>
      </c>
      <c r="T108" t="n">
        <v>0</v>
      </c>
      <c r="U108" t="inlineStr">
        <is>
          <t>BUJALSKI TOMASZ</t>
        </is>
      </c>
    </row>
    <row r="109">
      <c r="A109" s="1" t="n">
        <v>46164</v>
      </c>
      <c r="B109" t="n">
        <v>31596782</v>
      </c>
      <c r="C109" t="inlineStr">
        <is>
          <t>MICHAŁ ADAMCZYK</t>
        </is>
      </c>
      <c r="D109" t="n">
        <v>80031710938</v>
      </c>
      <c r="E109" s="1" t="n">
        <v>46164</v>
      </c>
      <c r="F109" t="inlineStr">
        <is>
          <t>CITO-CITO</t>
        </is>
      </c>
      <c r="G109" t="inlineStr">
        <is>
          <t>TK</t>
        </is>
      </c>
      <c r="H109" t="inlineStr">
        <is>
          <t>Tomografia komputerowa jamy brzusznej z kontrastem</t>
        </is>
      </c>
      <c r="I109" t="inlineStr">
        <is>
          <t>TK Zwykłe</t>
        </is>
      </c>
      <c r="J109" t="inlineStr">
        <is>
          <t>2 okolice anatomiczne</t>
        </is>
      </c>
      <c r="K109" t="inlineStr">
        <is>
          <t>Tomasz Bujalski</t>
        </is>
      </c>
      <c r="L109" t="inlineStr">
        <is>
          <t> </t>
        </is>
      </c>
      <c r="M109" t="inlineStr">
        <is>
          <t>SAMODZIELNY PUBLICZNY SPECJALISTYCZNY SZPITAL ZACHODNI IM.ŚW.JANA PAWŁA II</t>
        </is>
      </c>
      <c r="N109" t="inlineStr">
        <is>
          <t>Szpitalny Oddział Ratunkowy</t>
        </is>
      </c>
      <c r="O109" t="inlineStr">
        <is>
          <t>Piotr Skura</t>
        </is>
      </c>
      <c r="P109" t="inlineStr">
        <is>
          <t>1696554</t>
        </is>
      </c>
      <c r="Q109" t="inlineStr">
        <is>
          <t> </t>
        </is>
      </c>
      <c r="R109" t="inlineStr">
        <is>
          <t>grodzisk</t>
        </is>
      </c>
      <c r="S109" s="1" t="n">
        <v>46164.26180555556</v>
      </c>
      <c r="T109" t="n">
        <v>0</v>
      </c>
      <c r="U109" t="inlineStr">
        <is>
          <t>BUJALSKI TOMASZ</t>
        </is>
      </c>
    </row>
    <row r="110">
      <c r="A110" s="1" t="n">
        <v>46164</v>
      </c>
      <c r="B110" t="n">
        <v>31598371</v>
      </c>
      <c r="C110" t="inlineStr">
        <is>
          <t>MARIUSZ OBŁĘKOWSKI</t>
        </is>
      </c>
      <c r="D110" t="n">
        <v>78012607212</v>
      </c>
      <c r="E110" s="1" t="n">
        <v>46164</v>
      </c>
      <c r="F110" t="inlineStr">
        <is>
          <t>CITO-CITO</t>
        </is>
      </c>
      <c r="G110" t="inlineStr">
        <is>
          <t>TK</t>
        </is>
      </c>
      <c r="H110" t="inlineStr">
        <is>
          <t>Tomografia komputerowa głowy bez kontrastu</t>
        </is>
      </c>
      <c r="I110" t="inlineStr">
        <is>
          <t>TK Zwykłe</t>
        </is>
      </c>
      <c r="J110" t="inlineStr">
        <is>
          <t>1 okolica anatomiczna</t>
        </is>
      </c>
      <c r="K110" t="inlineStr">
        <is>
          <t>Tomasz Bujalski</t>
        </is>
      </c>
      <c r="L110" t="inlineStr">
        <is>
          <t> </t>
        </is>
      </c>
      <c r="M110" t="inlineStr">
        <is>
          <t>SAMODZIELNY PUBLICZNY SPECJALISTYCZNY SZPITAL ZACHODNI IM.ŚW.JANA PAWŁA II</t>
        </is>
      </c>
      <c r="N110" t="inlineStr">
        <is>
          <t>Szpitalny Oddział Ratunkowy</t>
        </is>
      </c>
      <c r="O110" t="inlineStr">
        <is>
          <t>Tomasz Laus</t>
        </is>
      </c>
      <c r="P110" t="inlineStr">
        <is>
          <t>3288043</t>
        </is>
      </c>
      <c r="Q110" t="inlineStr">
        <is>
          <t> </t>
        </is>
      </c>
      <c r="R110" t="inlineStr">
        <is>
          <t>grodzisk</t>
        </is>
      </c>
      <c r="S110" s="1" t="n">
        <v>46164.39444444444</v>
      </c>
      <c r="T110" t="n">
        <v>0</v>
      </c>
      <c r="U110" t="inlineStr">
        <is>
          <t>BUJALSKI TOMASZ</t>
        </is>
      </c>
    </row>
    <row r="111">
      <c r="A111" s="1" t="n">
        <v>46164</v>
      </c>
      <c r="B111" t="n">
        <v>31598372</v>
      </c>
      <c r="C111" t="inlineStr">
        <is>
          <t>MARIUSZ OBŁĘKOWSKI</t>
        </is>
      </c>
      <c r="D111" t="n">
        <v>78012607212</v>
      </c>
      <c r="E111" s="1" t="n">
        <v>46164</v>
      </c>
      <c r="F111" t="inlineStr">
        <is>
          <t>CITO-CITO</t>
        </is>
      </c>
      <c r="G111" t="inlineStr">
        <is>
          <t>TK</t>
        </is>
      </c>
      <c r="H111" t="inlineStr">
        <is>
          <t>klp+jb+m</t>
        </is>
      </c>
      <c r="I111" t="inlineStr">
        <is>
          <t>TK Zwykłe</t>
        </is>
      </c>
      <c r="J111" t="inlineStr">
        <is>
          <t>3 okolice anatomiczne</t>
        </is>
      </c>
      <c r="K111" t="inlineStr">
        <is>
          <t>Tomasz Bujalski</t>
        </is>
      </c>
      <c r="L111" t="inlineStr">
        <is>
          <t> </t>
        </is>
      </c>
      <c r="M111" t="inlineStr">
        <is>
          <t>SAMODZIELNY PUBLICZNY SPECJALISTYCZNY SZPITAL ZACHODNI IM.ŚW.JANA PAWŁA II</t>
        </is>
      </c>
      <c r="N111" t="inlineStr">
        <is>
          <t>Szpitalny Oddział Ratunkowy</t>
        </is>
      </c>
      <c r="O111" t="inlineStr">
        <is>
          <t>Tomasz Laus</t>
        </is>
      </c>
      <c r="P111" t="inlineStr">
        <is>
          <t>3288043</t>
        </is>
      </c>
      <c r="Q111" t="inlineStr">
        <is>
          <t> </t>
        </is>
      </c>
      <c r="R111" t="inlineStr">
        <is>
          <t>grodzisk</t>
        </is>
      </c>
      <c r="S111" s="1" t="n">
        <v>46164.39861111111</v>
      </c>
      <c r="T111" t="n">
        <v>0</v>
      </c>
      <c r="U111" t="inlineStr">
        <is>
          <t>BUJALSKI TOMASZ</t>
        </is>
      </c>
    </row>
    <row r="112">
      <c r="A112" s="1" t="n">
        <v>46164</v>
      </c>
      <c r="B112" t="n">
        <v>31598375</v>
      </c>
      <c r="C112" t="inlineStr">
        <is>
          <t>MARIUSZ OBŁĘKOWSKI</t>
        </is>
      </c>
      <c r="D112" t="n">
        <v>78012607212</v>
      </c>
      <c r="E112" s="1" t="n">
        <v>46164</v>
      </c>
      <c r="F112" t="inlineStr">
        <is>
          <t>CITO-CITO</t>
        </is>
      </c>
      <c r="G112" t="inlineStr">
        <is>
          <t>TK</t>
        </is>
      </c>
      <c r="H112" t="inlineStr">
        <is>
          <t>Tomografia komputerowa kręgosłupa szyjnego bez kontrastu</t>
        </is>
      </c>
      <c r="I112" t="inlineStr">
        <is>
          <t>TK Zwykłe</t>
        </is>
      </c>
      <c r="J112" t="inlineStr">
        <is>
          <t>1 okolica anatomiczna</t>
        </is>
      </c>
      <c r="K112" t="inlineStr">
        <is>
          <t>Tomasz Bujalski</t>
        </is>
      </c>
      <c r="L112" t="inlineStr">
        <is>
          <t> </t>
        </is>
      </c>
      <c r="M112" t="inlineStr">
        <is>
          <t>SAMODZIELNY PUBLICZNY SPECJALISTYCZNY SZPITAL ZACHODNI IM.ŚW.JANA PAWŁA II</t>
        </is>
      </c>
      <c r="N112" t="inlineStr">
        <is>
          <t>Szpitalny Oddział Ratunkowy</t>
        </is>
      </c>
      <c r="O112" t="inlineStr">
        <is>
          <t>Tomasz Laus</t>
        </is>
      </c>
      <c r="P112" t="inlineStr">
        <is>
          <t>3288043</t>
        </is>
      </c>
      <c r="Q112" t="inlineStr">
        <is>
          <t> </t>
        </is>
      </c>
      <c r="R112" t="inlineStr">
        <is>
          <t>grodzisk</t>
        </is>
      </c>
      <c r="S112" s="1" t="n">
        <v>46164.39583333334</v>
      </c>
      <c r="T112" t="n">
        <v>0</v>
      </c>
      <c r="U112" t="inlineStr">
        <is>
          <t>BUJALSKI TOMASZ</t>
        </is>
      </c>
    </row>
    <row r="113">
      <c r="A113" s="1" t="n">
        <v>46165</v>
      </c>
      <c r="B113" t="n">
        <v>31605478</v>
      </c>
      <c r="C113" t="inlineStr">
        <is>
          <t>MARIANNA GAŁĄZKA</t>
        </is>
      </c>
      <c r="D113" t="n">
        <v>37081407589</v>
      </c>
      <c r="E113" s="1" t="n">
        <v>46165</v>
      </c>
      <c r="F113" t="inlineStr">
        <is>
          <t>CITO-CITO</t>
        </is>
      </c>
      <c r="G113" t="inlineStr">
        <is>
          <t>TK</t>
        </is>
      </c>
      <c r="H113" t="inlineStr">
        <is>
          <t>Tomografia komputerowa jamy brzusznej bez kontrastu</t>
        </is>
      </c>
      <c r="I113" t="inlineStr">
        <is>
          <t>TK Zwykłe</t>
        </is>
      </c>
      <c r="J113" t="inlineStr">
        <is>
          <t>2 okolice anatomiczne</t>
        </is>
      </c>
      <c r="K113" t="inlineStr">
        <is>
          <t>Tomasz Bujalski</t>
        </is>
      </c>
      <c r="L113" t="inlineStr">
        <is>
          <t> </t>
        </is>
      </c>
      <c r="M113" t="inlineStr">
        <is>
          <t>SAMODZIELNY PUBLICZNY SPECJALISTYCZNY SZPITAL ZACHODNI IM.ŚW.JANA PAWŁA II</t>
        </is>
      </c>
      <c r="N113" t="inlineStr">
        <is>
          <t>Szpitalny Oddział Ratunkowy</t>
        </is>
      </c>
      <c r="O113" t="inlineStr">
        <is>
          <t>Piotr Skura</t>
        </is>
      </c>
      <c r="P113" t="inlineStr">
        <is>
          <t>1696554</t>
        </is>
      </c>
      <c r="Q113" t="inlineStr">
        <is>
          <t> </t>
        </is>
      </c>
      <c r="R113" t="inlineStr">
        <is>
          <t>grodzisk</t>
        </is>
      </c>
      <c r="S113" s="1" t="n">
        <v>46165.62430555555</v>
      </c>
      <c r="T113" t="n">
        <v>0</v>
      </c>
      <c r="U113" t="inlineStr">
        <is>
          <t>BUJALSKI TOMASZ</t>
        </is>
      </c>
    </row>
    <row r="114">
      <c r="A114" s="1" t="n">
        <v>46167</v>
      </c>
      <c r="B114" t="n">
        <v>31610194</v>
      </c>
      <c r="C114" t="inlineStr">
        <is>
          <t>KLAUDIUSZ POKORA</t>
        </is>
      </c>
      <c r="D114" t="n">
        <v>24320201293</v>
      </c>
      <c r="E114" s="1" t="n">
        <v>46167</v>
      </c>
      <c r="F114" t="inlineStr">
        <is>
          <t>CITO-CITO</t>
        </is>
      </c>
      <c r="G114" t="inlineStr">
        <is>
          <t>TK</t>
        </is>
      </c>
      <c r="H114" t="inlineStr">
        <is>
          <t>Tomografia komputerowa głowy bez kontrastu</t>
        </is>
      </c>
      <c r="I114" t="inlineStr">
        <is>
          <t>TK Zwykłe</t>
        </is>
      </c>
      <c r="J114" t="inlineStr">
        <is>
          <t>1 okolica anatomiczna</t>
        </is>
      </c>
      <c r="K114" t="inlineStr">
        <is>
          <t>Tomasz Bujalski</t>
        </is>
      </c>
      <c r="L114" t="inlineStr">
        <is>
          <t> </t>
        </is>
      </c>
      <c r="M114" t="inlineStr">
        <is>
          <t>SAMODZIELNY PUBLICZNY SPECJALISTYCZNY SZPITAL ZACHODNI IM.ŚW.JANA PAWŁA II</t>
        </is>
      </c>
      <c r="N114" t="inlineStr">
        <is>
          <t>Szpitalny Oddział Ratunkowy</t>
        </is>
      </c>
      <c r="O114" t="inlineStr">
        <is>
          <t>KAROLINA BARTUSIK</t>
        </is>
      </c>
      <c r="P114" t="inlineStr">
        <is>
          <t>3623983</t>
        </is>
      </c>
      <c r="Q114" t="inlineStr">
        <is>
          <t> </t>
        </is>
      </c>
      <c r="R114" t="inlineStr">
        <is>
          <t>grodzisk</t>
        </is>
      </c>
      <c r="S114" s="1" t="n">
        <v>46167.2625</v>
      </c>
      <c r="T114" t="n">
        <v>0</v>
      </c>
      <c r="U114" t="inlineStr">
        <is>
          <t>BUJALSKI TOMASZ</t>
        </is>
      </c>
    </row>
    <row r="115">
      <c r="A115" s="1" t="n">
        <v>46167</v>
      </c>
      <c r="B115" t="n">
        <v>31610672</v>
      </c>
      <c r="C115" t="inlineStr">
        <is>
          <t>YURII ZAPOTICHNYI</t>
        </is>
      </c>
      <c r="D115" t="n">
        <v>87051119936</v>
      </c>
      <c r="E115" s="1" t="n">
        <v>46167</v>
      </c>
      <c r="F115" t="inlineStr">
        <is>
          <t>CITO-CITO</t>
        </is>
      </c>
      <c r="G115" t="inlineStr">
        <is>
          <t>TK</t>
        </is>
      </c>
      <c r="H115" t="inlineStr">
        <is>
          <t>tomografia komputerowa angio głowy</t>
        </is>
      </c>
      <c r="I115" t="inlineStr">
        <is>
          <t>TK Angiografia</t>
        </is>
      </c>
      <c r="J115" t="inlineStr">
        <is>
          <t>1 okolica anatomiczna</t>
        </is>
      </c>
      <c r="K115" t="inlineStr">
        <is>
          <t>Tomasz Bujalski</t>
        </is>
      </c>
      <c r="L115" t="inlineStr">
        <is>
          <t> </t>
        </is>
      </c>
      <c r="M115" t="inlineStr">
        <is>
          <t>SAMODZIELNY PUBLICZNY SPECJALISTYCZNY SZPITAL ZACHODNI IM.ŚW.JANA PAWŁA II</t>
        </is>
      </c>
      <c r="N115" t="inlineStr">
        <is>
          <t>Oddział Anestezjologii i Intensywnej Terapii</t>
        </is>
      </c>
      <c r="O115" t="inlineStr">
        <is>
          <t>Viktar Anikevich</t>
        </is>
      </c>
      <c r="P115" t="inlineStr">
        <is>
          <t>3789299</t>
        </is>
      </c>
      <c r="Q115" t="inlineStr">
        <is>
          <t> </t>
        </is>
      </c>
      <c r="R115" t="inlineStr">
        <is>
          <t>grodzisk</t>
        </is>
      </c>
      <c r="S115" s="1" t="n">
        <v>46167.35347222222</v>
      </c>
      <c r="T115" t="n">
        <v>1</v>
      </c>
      <c r="U115" t="inlineStr">
        <is>
          <t>BUJALSKI TOMASZ</t>
        </is>
      </c>
    </row>
    <row r="116">
      <c r="A116" s="1" t="n">
        <v>46167</v>
      </c>
      <c r="B116" t="n">
        <v>31610857</v>
      </c>
      <c r="C116" t="inlineStr">
        <is>
          <t>GRZEGORZ CZARNECKI</t>
        </is>
      </c>
      <c r="D116" t="n">
        <v>53121301194</v>
      </c>
      <c r="E116" s="1" t="n">
        <v>46167</v>
      </c>
      <c r="F116" t="inlineStr">
        <is>
          <t>CITO-CITO</t>
        </is>
      </c>
      <c r="G116" t="inlineStr">
        <is>
          <t>TK</t>
        </is>
      </c>
      <c r="H116" t="inlineStr">
        <is>
          <t>Tomografia komputerowa głowy bez kontrastu</t>
        </is>
      </c>
      <c r="I116" t="inlineStr">
        <is>
          <t>TK Zwykłe</t>
        </is>
      </c>
      <c r="J116" t="inlineStr">
        <is>
          <t>1 okolica anatomiczna</t>
        </is>
      </c>
      <c r="K116" t="inlineStr">
        <is>
          <t>Tomasz Bujalski</t>
        </is>
      </c>
      <c r="L116" t="inlineStr">
        <is>
          <t> </t>
        </is>
      </c>
      <c r="M116" t="inlineStr">
        <is>
          <t>SAMODZIELNY PUBLICZNY SPECJALISTYCZNY SZPITAL ZACHODNI IM.ŚW.JANA PAWŁA II</t>
        </is>
      </c>
      <c r="N116" t="inlineStr">
        <is>
          <t>Oddział Udarowy</t>
        </is>
      </c>
      <c r="O116" t="inlineStr">
        <is>
          <t>Ala Fiłonowicz</t>
        </is>
      </c>
      <c r="P116" t="inlineStr">
        <is>
          <t>1552151</t>
        </is>
      </c>
      <c r="Q116" t="inlineStr">
        <is>
          <t> </t>
        </is>
      </c>
      <c r="R116" t="inlineStr">
        <is>
          <t>grodzisk</t>
        </is>
      </c>
      <c r="S116" s="1" t="n">
        <v>46167.3625</v>
      </c>
      <c r="T116" t="n">
        <v>0</v>
      </c>
      <c r="U116" t="inlineStr">
        <is>
          <t>BUJALSKI TOMASZ</t>
        </is>
      </c>
    </row>
    <row r="117">
      <c r="A117" s="1" t="n">
        <v>46167</v>
      </c>
      <c r="B117" t="n">
        <v>31612702</v>
      </c>
      <c r="C117" t="inlineStr">
        <is>
          <t>Jan BRZOZA</t>
        </is>
      </c>
      <c r="D117" t="n">
        <v>49101019850</v>
      </c>
      <c r="E117" s="1" t="n">
        <v>46167</v>
      </c>
      <c r="F117" t="inlineStr">
        <is>
          <t>CITO-CITO</t>
        </is>
      </c>
      <c r="G117" t="inlineStr">
        <is>
          <t>TK</t>
        </is>
      </c>
      <c r="H117" t="inlineStr">
        <is>
          <t>TK angio jb+angio k. dolnych</t>
        </is>
      </c>
      <c r="I117" t="inlineStr">
        <is>
          <t>TK Angiografia</t>
        </is>
      </c>
      <c r="J117" t="inlineStr">
        <is>
          <t>3 okolice anatomiczne</t>
        </is>
      </c>
      <c r="K117" t="inlineStr">
        <is>
          <t>Tomasz Bujalski</t>
        </is>
      </c>
      <c r="L117" t="inlineStr">
        <is>
          <t> </t>
        </is>
      </c>
      <c r="M117" t="inlineStr">
        <is>
          <t>SAMODZIELNY PUBLICZNY SPECJALISTYCZNY SZPITAL ZACHODNI IM.ŚW.JANA PAWŁA II</t>
        </is>
      </c>
      <c r="N117" t="inlineStr">
        <is>
          <t>Szpitalny Oddział Ratunkowy</t>
        </is>
      </c>
      <c r="O117" t="inlineStr">
        <is>
          <t>Anna Czajka-Bełz</t>
        </is>
      </c>
      <c r="P117" t="inlineStr">
        <is>
          <t>2300307</t>
        </is>
      </c>
      <c r="Q117" t="inlineStr">
        <is>
          <t> </t>
        </is>
      </c>
      <c r="R117" t="inlineStr">
        <is>
          <t>grodzisk</t>
        </is>
      </c>
      <c r="S117" s="1" t="n">
        <v>46167.43541666667</v>
      </c>
      <c r="T117" t="n">
        <v>0</v>
      </c>
      <c r="U117" t="inlineStr">
        <is>
          <t>BUJALSKI TOMASZ</t>
        </is>
      </c>
    </row>
    <row r="118">
      <c r="A118" s="1" t="n">
        <v>46169</v>
      </c>
      <c r="B118" t="n">
        <v>31633247</v>
      </c>
      <c r="C118" t="inlineStr">
        <is>
          <t>BARBARA ZADROWSKA</t>
        </is>
      </c>
      <c r="D118" t="n">
        <v>45120401784</v>
      </c>
      <c r="E118" s="1" t="n">
        <v>46169</v>
      </c>
      <c r="F118" t="inlineStr">
        <is>
          <t>Planowy</t>
        </is>
      </c>
      <c r="G118" t="inlineStr">
        <is>
          <t>TK</t>
        </is>
      </c>
      <c r="H118" t="inlineStr">
        <is>
          <t>Tomografia komputerowa miednicy bez kontrastu</t>
        </is>
      </c>
      <c r="I118" t="inlineStr">
        <is>
          <t>TK Zwykłe</t>
        </is>
      </c>
      <c r="J118" t="inlineStr">
        <is>
          <t>1 okolica anatomiczna</t>
        </is>
      </c>
      <c r="K118" t="inlineStr">
        <is>
          <t>Tomasz Bujalski</t>
        </is>
      </c>
      <c r="L118" t="inlineStr">
        <is>
          <t> </t>
        </is>
      </c>
      <c r="M118" t="inlineStr">
        <is>
          <t>SAMODZIELNY PUBLICZNY SPECJALISTYCZNY SZPITAL ZACHODNI IM.ŚW.JANA PAWŁA II</t>
        </is>
      </c>
      <c r="N118" t="inlineStr">
        <is>
          <t>Oddział Neurochirurgiczny</t>
        </is>
      </c>
      <c r="O118" t="inlineStr">
        <is>
          <t>Paweł Kowalczyk</t>
        </is>
      </c>
      <c r="P118" t="inlineStr">
        <is>
          <t>3523470</t>
        </is>
      </c>
      <c r="Q118" t="inlineStr">
        <is>
          <t> </t>
        </is>
      </c>
      <c r="R118" t="inlineStr">
        <is>
          <t>grodzisk</t>
        </is>
      </c>
      <c r="S118" s="1" t="n">
        <v>46169.52986111111</v>
      </c>
      <c r="T118" t="n">
        <v>0</v>
      </c>
      <c r="U118" t="inlineStr">
        <is>
          <t>BUJALSKI TOMASZ</t>
        </is>
      </c>
    </row>
    <row r="119">
      <c r="A119" s="1" t="n">
        <v>46169</v>
      </c>
      <c r="B119" t="n">
        <v>31633252</v>
      </c>
      <c r="C119" t="inlineStr">
        <is>
          <t>BARBARA ZADROWSKA</t>
        </is>
      </c>
      <c r="D119" t="n">
        <v>45120401784</v>
      </c>
      <c r="E119" s="1" t="n">
        <v>46169</v>
      </c>
      <c r="F119" t="inlineStr">
        <is>
          <t>Planowy</t>
        </is>
      </c>
      <c r="G119" t="inlineStr">
        <is>
          <t>TK</t>
        </is>
      </c>
      <c r="H119" t="inlineStr">
        <is>
          <t>Tomografia komputerowa kręgosłupa lędźwiowo-krzyżowego bez kontrastem</t>
        </is>
      </c>
      <c r="I119" t="inlineStr">
        <is>
          <t>TK Zwykłe</t>
        </is>
      </c>
      <c r="J119" t="inlineStr">
        <is>
          <t>1 okolica anatomiczna</t>
        </is>
      </c>
      <c r="K119" t="inlineStr">
        <is>
          <t>Tomasz Bujalski</t>
        </is>
      </c>
      <c r="L119" t="inlineStr">
        <is>
          <t> </t>
        </is>
      </c>
      <c r="M119" t="inlineStr">
        <is>
          <t>SAMODZIELNY PUBLICZNY SPECJALISTYCZNY SZPITAL ZACHODNI IM.ŚW.JANA PAWŁA II</t>
        </is>
      </c>
      <c r="N119" t="inlineStr">
        <is>
          <t>Oddział Neurochirurgiczny</t>
        </is>
      </c>
      <c r="O119" t="inlineStr">
        <is>
          <t>Paweł Kowalczyk</t>
        </is>
      </c>
      <c r="P119" t="inlineStr">
        <is>
          <t>3523470</t>
        </is>
      </c>
      <c r="Q119" t="inlineStr">
        <is>
          <t> </t>
        </is>
      </c>
      <c r="R119" t="inlineStr">
        <is>
          <t>grodzisk</t>
        </is>
      </c>
      <c r="S119" s="1" t="n">
        <v>46169.53125</v>
      </c>
      <c r="T119" t="n">
        <v>0</v>
      </c>
      <c r="U119" t="inlineStr">
        <is>
          <t>BUJALSKI TOMASZ</t>
        </is>
      </c>
    </row>
    <row r="120">
      <c r="A120" s="1" t="n">
        <v>46169</v>
      </c>
      <c r="B120" t="n">
        <v>31633487</v>
      </c>
      <c r="C120" t="inlineStr">
        <is>
          <t>HALINA MACIEJEWSKA</t>
        </is>
      </c>
      <c r="D120" t="n">
        <v>55030710609</v>
      </c>
      <c r="E120" s="1" t="n">
        <v>46169</v>
      </c>
      <c r="F120" t="inlineStr">
        <is>
          <t>CITO-CITO</t>
        </is>
      </c>
      <c r="G120" t="inlineStr">
        <is>
          <t>TK</t>
        </is>
      </c>
      <c r="H120" t="inlineStr">
        <is>
          <t>Tomografia komputerowa jamy brzusznej i miednicy małej z kontrastem</t>
        </is>
      </c>
      <c r="I120" t="inlineStr">
        <is>
          <t>TK Onkologia</t>
        </is>
      </c>
      <c r="J120" t="inlineStr">
        <is>
          <t>2 okolice anatomiczne</t>
        </is>
      </c>
      <c r="K120" t="inlineStr">
        <is>
          <t>Tomasz Bujalski</t>
        </is>
      </c>
      <c r="L120" t="inlineStr">
        <is>
          <t> </t>
        </is>
      </c>
      <c r="M120" t="inlineStr">
        <is>
          <t>SAMODZIELNY PUBLICZNY SPECJALISTYCZNY SZPITAL ZACHODNI IM.ŚW.JANA PAWŁA II</t>
        </is>
      </c>
      <c r="N120" t="inlineStr">
        <is>
          <t>Szpitalny Oddział Ratunkowy</t>
        </is>
      </c>
      <c r="O120" t="inlineStr">
        <is>
          <t>Tomasz Laus</t>
        </is>
      </c>
      <c r="P120" t="inlineStr">
        <is>
          <t>3288043</t>
        </is>
      </c>
      <c r="Q120" t="inlineStr">
        <is>
          <t> </t>
        </is>
      </c>
      <c r="R120" t="inlineStr">
        <is>
          <t>grodzisk</t>
        </is>
      </c>
      <c r="S120" s="1" t="n">
        <v>46169.61111111111</v>
      </c>
      <c r="T120" t="n">
        <v>0</v>
      </c>
      <c r="U120" t="inlineStr">
        <is>
          <t>BUJALSKI TOMASZ</t>
        </is>
      </c>
    </row>
    <row r="121">
      <c r="A121" s="1" t="n">
        <v>46170</v>
      </c>
      <c r="B121" t="n">
        <v>31635687</v>
      </c>
      <c r="C121" t="inlineStr">
        <is>
          <t>DARIUSZ DĄBROWSKI</t>
        </is>
      </c>
      <c r="D121" t="n">
        <v>72111400077</v>
      </c>
      <c r="E121" s="1" t="n">
        <v>46170</v>
      </c>
      <c r="F121" t="inlineStr">
        <is>
          <t>CITO-CITO</t>
        </is>
      </c>
      <c r="G121" t="inlineStr">
        <is>
          <t>MR</t>
        </is>
      </c>
      <c r="H121" t="inlineStr">
        <is>
          <t>Rezonans Magnetyczny głowy protokół udar</t>
        </is>
      </c>
      <c r="I121" t="inlineStr">
        <is>
          <t>MR Ortopedia</t>
        </is>
      </c>
      <c r="J121" t="inlineStr">
        <is>
          <t>1 okolica anatomiczna</t>
        </is>
      </c>
      <c r="K121" t="inlineStr">
        <is>
          <t>Tomasz Bujalski</t>
        </is>
      </c>
      <c r="L121" t="inlineStr">
        <is>
          <t> </t>
        </is>
      </c>
      <c r="M121" t="inlineStr">
        <is>
          <t>SAMODZIELNY PUBLICZNY SPECJALISTYCZNY SZPITAL ZACHODNI IM.ŚW.JANA PAWŁA II</t>
        </is>
      </c>
      <c r="N121" t="inlineStr">
        <is>
          <t>Oddział Udarowy</t>
        </is>
      </c>
      <c r="O121" t="inlineStr">
        <is>
          <t xml:space="preserve">Lidia OCHOCIŃSKA </t>
        </is>
      </c>
      <c r="P121" t="inlineStr">
        <is>
          <t>1898571</t>
        </is>
      </c>
      <c r="Q121" t="inlineStr">
        <is>
          <t> </t>
        </is>
      </c>
      <c r="R121" t="inlineStr">
        <is>
          <t>grodzisk</t>
        </is>
      </c>
      <c r="S121" s="1" t="n">
        <v>46170.34097222222</v>
      </c>
      <c r="T121" t="n">
        <v>0</v>
      </c>
      <c r="U121" t="inlineStr">
        <is>
          <t>BUJALSKI TOMASZ</t>
        </is>
      </c>
    </row>
    <row r="122">
      <c r="A122" s="1" t="n">
        <v>46171</v>
      </c>
      <c r="B122" t="n">
        <v>30781283</v>
      </c>
      <c r="C122" t="inlineStr">
        <is>
          <t>BRAJAN TENGLI-OLCZAK</t>
        </is>
      </c>
      <c r="D122" t="n">
        <v>8281311752</v>
      </c>
      <c r="E122" s="1" t="n">
        <v>46170</v>
      </c>
      <c r="F122" t="inlineStr">
        <is>
          <t>Planowy</t>
        </is>
      </c>
      <c r="G122" t="inlineStr">
        <is>
          <t>TK</t>
        </is>
      </c>
      <c r="H122" t="inlineStr">
        <is>
          <t>Tomografia komputerowa klatki piersiowej z kontrastem</t>
        </is>
      </c>
      <c r="I122" t="inlineStr">
        <is>
          <t>TK Zwykłe</t>
        </is>
      </c>
      <c r="J122" t="inlineStr">
        <is>
          <t>1 okolica anatomiczna</t>
        </is>
      </c>
      <c r="K122" t="inlineStr">
        <is>
          <t>Tomasz Bujalski</t>
        </is>
      </c>
      <c r="L122" t="inlineStr">
        <is>
          <t> </t>
        </is>
      </c>
      <c r="M122" t="inlineStr">
        <is>
          <t>SAMODZIELNY PUBLICZNY SPECJALISTYCZNY SZPITAL ZACHODNI IM.ŚW.JANA PAWŁA II</t>
        </is>
      </c>
      <c r="N122" t="inlineStr">
        <is>
          <t>Poradnia Pulmunologiczna</t>
        </is>
      </c>
      <c r="O122" t="inlineStr">
        <is>
          <t xml:space="preserve">Małgorzata MOSKAL </t>
        </is>
      </c>
      <c r="P122" t="inlineStr">
        <is>
          <t>2069952</t>
        </is>
      </c>
      <c r="Q122" t="inlineStr">
        <is>
          <t>Z03</t>
        </is>
      </c>
      <c r="R122" t="inlineStr">
        <is>
          <t>grodzisk</t>
        </is>
      </c>
      <c r="S122" s="1" t="n">
        <v>46170.64791666667</v>
      </c>
      <c r="T122" t="n">
        <v>1</v>
      </c>
      <c r="U122" t="inlineStr">
        <is>
          <t>BUJALSKI TOMASZ</t>
        </is>
      </c>
    </row>
    <row r="123">
      <c r="A123" s="1" t="n">
        <v>46171</v>
      </c>
      <c r="B123" t="n">
        <v>31282721</v>
      </c>
      <c r="C123" t="inlineStr">
        <is>
          <t>EWA KOWALCZYK</t>
        </is>
      </c>
      <c r="D123" t="n">
        <v>65040204827</v>
      </c>
      <c r="E123" s="1" t="n">
        <v>46167</v>
      </c>
      <c r="F123" t="inlineStr">
        <is>
          <t>Planowy</t>
        </is>
      </c>
      <c r="G123" t="inlineStr">
        <is>
          <t>MR</t>
        </is>
      </c>
      <c r="H123" t="inlineStr">
        <is>
          <t>Rezonans Magnetyczny jamy brzusznej z kontrastem</t>
        </is>
      </c>
      <c r="I123" t="inlineStr">
        <is>
          <t>MR Inne - wtym prostata, miednica, jama brzuszna tkanki miekkie</t>
        </is>
      </c>
      <c r="J123" t="inlineStr">
        <is>
          <t>1 okolica anatomiczna</t>
        </is>
      </c>
      <c r="K123" t="inlineStr">
        <is>
          <t>Tomasz Bujalski</t>
        </is>
      </c>
      <c r="L123" t="inlineStr">
        <is>
          <t> </t>
        </is>
      </c>
      <c r="M123" t="inlineStr">
        <is>
          <t>SAMODZIELNY PUBLICZNY SPECJALISTYCZNY SZPITAL ZACHODNI IM.ŚW.JANA PAWŁA II</t>
        </is>
      </c>
      <c r="N123" t="inlineStr">
        <is>
          <t>Poradnia Onkologiczna</t>
        </is>
      </c>
      <c r="O123" t="inlineStr">
        <is>
          <t>JACEK ZWOLIŃSKI</t>
        </is>
      </c>
      <c r="P123" t="inlineStr">
        <is>
          <t>6719429</t>
        </is>
      </c>
      <c r="Q123" t="inlineStr">
        <is>
          <t>D37.6</t>
        </is>
      </c>
      <c r="R123" t="inlineStr">
        <is>
          <t>grodzisk</t>
        </is>
      </c>
      <c r="S123" s="1" t="n">
        <v>46170.48611111111</v>
      </c>
      <c r="T123" t="n">
        <v>0</v>
      </c>
      <c r="U123" t="inlineStr">
        <is>
          <t>BUJALSKI TOMASZ</t>
        </is>
      </c>
    </row>
    <row r="124">
      <c r="A124" s="1" t="n">
        <v>46171</v>
      </c>
      <c r="B124" t="n">
        <v>31635506</v>
      </c>
      <c r="C124" t="inlineStr">
        <is>
          <t>HENRYK ZALEWSKI</t>
        </is>
      </c>
      <c r="D124" t="n">
        <v>64011811392</v>
      </c>
      <c r="E124" s="1" t="n">
        <v>46170</v>
      </c>
      <c r="F124" t="inlineStr">
        <is>
          <t>CITO-CITO</t>
        </is>
      </c>
      <c r="G124" t="inlineStr">
        <is>
          <t>MR</t>
        </is>
      </c>
      <c r="H124" t="inlineStr">
        <is>
          <t>Rezonans Magnetyczny kręgosłupa piersiowego z kontrastem</t>
        </is>
      </c>
      <c r="I124" t="inlineStr">
        <is>
          <t>MR Neurologia</t>
        </is>
      </c>
      <c r="J124" t="inlineStr">
        <is>
          <t>1 okolica anatomiczna</t>
        </is>
      </c>
      <c r="K124" t="inlineStr">
        <is>
          <t>Tomasz Bujalski</t>
        </is>
      </c>
      <c r="L124" t="inlineStr">
        <is>
          <t> </t>
        </is>
      </c>
      <c r="M124" t="inlineStr">
        <is>
          <t>SAMODZIELNY PUBLICZNY SPECJALISTYCZNY SZPITAL ZACHODNI IM.ŚW.JANA PAWŁA II</t>
        </is>
      </c>
      <c r="N124" t="inlineStr">
        <is>
          <t>Oddział Neurologiczny</t>
        </is>
      </c>
      <c r="O124" t="inlineStr">
        <is>
          <t>JOANNA PASZYN</t>
        </is>
      </c>
      <c r="P124" t="inlineStr">
        <is>
          <t>3781009</t>
        </is>
      </c>
      <c r="Q124" t="inlineStr">
        <is>
          <t> </t>
        </is>
      </c>
      <c r="R124" t="inlineStr">
        <is>
          <t>grodzisk</t>
        </is>
      </c>
      <c r="S124" s="1" t="n">
        <v>46171.37152777778</v>
      </c>
      <c r="T124" t="n">
        <v>0</v>
      </c>
      <c r="U124" t="inlineStr">
        <is>
          <t>BUJALSKI TOMASZ</t>
        </is>
      </c>
    </row>
    <row r="125">
      <c r="A125" s="1" t="n">
        <v>46171</v>
      </c>
      <c r="B125" t="n">
        <v>31638283</v>
      </c>
      <c r="C125" t="inlineStr">
        <is>
          <t>JACEK JAKUBIAK</t>
        </is>
      </c>
      <c r="D125" t="n">
        <v>80071408059</v>
      </c>
      <c r="E125" s="1" t="n">
        <v>46170</v>
      </c>
      <c r="F125" t="inlineStr">
        <is>
          <t>CITO-CITO</t>
        </is>
      </c>
      <c r="G125" t="inlineStr">
        <is>
          <t>MR</t>
        </is>
      </c>
      <c r="H125" t="inlineStr">
        <is>
          <t>Rezonans Magnetyczny głowy z kontrastem</t>
        </is>
      </c>
      <c r="I125" t="inlineStr">
        <is>
          <t>MR Neurologia</t>
        </is>
      </c>
      <c r="J125" t="inlineStr">
        <is>
          <t>1 okolica anatomiczna</t>
        </is>
      </c>
      <c r="K125" t="inlineStr">
        <is>
          <t>Tomasz Bujalski</t>
        </is>
      </c>
      <c r="L125" t="inlineStr">
        <is>
          <t> </t>
        </is>
      </c>
      <c r="M125" t="inlineStr">
        <is>
          <t>SAMODZIELNY PUBLICZNY SPECJALISTYCZNY SZPITAL ZACHODNI IM.ŚW.JANA PAWŁA II</t>
        </is>
      </c>
      <c r="N125" t="inlineStr">
        <is>
          <t>Oddział Udarowy</t>
        </is>
      </c>
      <c r="O125" t="inlineStr">
        <is>
          <t xml:space="preserve">Lidia OCHOCIŃSKA </t>
        </is>
      </c>
      <c r="P125" t="inlineStr">
        <is>
          <t>1898571</t>
        </is>
      </c>
      <c r="Q125" t="inlineStr">
        <is>
          <t> </t>
        </is>
      </c>
      <c r="R125" t="inlineStr">
        <is>
          <t>grodzisk</t>
        </is>
      </c>
      <c r="S125" s="1" t="n">
        <v>46171.37083333333</v>
      </c>
      <c r="T125" t="n">
        <v>0</v>
      </c>
      <c r="U125" t="inlineStr">
        <is>
          <t>BUJALSKI TOMASZ</t>
        </is>
      </c>
    </row>
    <row r="126">
      <c r="A126" s="1" t="n">
        <v>46171</v>
      </c>
      <c r="B126" t="n">
        <v>31644500</v>
      </c>
      <c r="C126" t="inlineStr">
        <is>
          <t>Wanda ŚCICHOWSKA</t>
        </is>
      </c>
      <c r="D126" t="n">
        <v>46090802623</v>
      </c>
      <c r="E126" s="1" t="n">
        <v>46171</v>
      </c>
      <c r="F126" t="inlineStr">
        <is>
          <t>CITO-CITO</t>
        </is>
      </c>
      <c r="G126" t="inlineStr">
        <is>
          <t>TK</t>
        </is>
      </c>
      <c r="H126" t="inlineStr">
        <is>
          <t>Tomografia komputerowa głowy bez kontrastu</t>
        </is>
      </c>
      <c r="I126" t="inlineStr">
        <is>
          <t>TK Zwykłe</t>
        </is>
      </c>
      <c r="J126" t="inlineStr">
        <is>
          <t>1 okolica anatomiczna</t>
        </is>
      </c>
      <c r="K126" t="inlineStr">
        <is>
          <t>Tomasz Bujalski</t>
        </is>
      </c>
      <c r="L126" t="inlineStr">
        <is>
          <t> </t>
        </is>
      </c>
      <c r="M126" t="inlineStr">
        <is>
          <t>SAMODZIELNY PUBLICZNY SPECJALISTYCZNY SZPITAL ZACHODNI IM.ŚW.JANA PAWŁA II</t>
        </is>
      </c>
      <c r="N126" t="inlineStr">
        <is>
          <t>Szpitalny Oddział Ratunkowy</t>
        </is>
      </c>
      <c r="O126" t="inlineStr">
        <is>
          <t>Anna Czajka-Bełz</t>
        </is>
      </c>
      <c r="P126" t="inlineStr">
        <is>
          <t>2300307</t>
        </is>
      </c>
      <c r="Q126" t="inlineStr">
        <is>
          <t> </t>
        </is>
      </c>
      <c r="R126" t="inlineStr">
        <is>
          <t>grodzisk</t>
        </is>
      </c>
      <c r="S126" s="1" t="n">
        <v>46171.28263888889</v>
      </c>
      <c r="T126" t="n">
        <v>0</v>
      </c>
      <c r="U126" t="inlineStr">
        <is>
          <t>BUJALSKI TOMASZ</t>
        </is>
      </c>
    </row>
    <row r="127">
      <c r="A127" s="1" t="n">
        <v>46171</v>
      </c>
      <c r="B127" t="n">
        <v>31645243</v>
      </c>
      <c r="C127" t="inlineStr">
        <is>
          <t>NATALIA STRZESZEWSKA</t>
        </is>
      </c>
      <c r="D127" t="n">
        <v>98072309149</v>
      </c>
      <c r="E127" s="1" t="n">
        <v>46171</v>
      </c>
      <c r="F127" t="inlineStr">
        <is>
          <t>CITO-CITO</t>
        </is>
      </c>
      <c r="G127" t="inlineStr">
        <is>
          <t>TK</t>
        </is>
      </c>
      <c r="H127" t="inlineStr">
        <is>
          <t>Tomografia komputerowa jamy brzusznej i miednicy małej bez kontrastu</t>
        </is>
      </c>
      <c r="I127" t="inlineStr">
        <is>
          <t>TK Zwykłe</t>
        </is>
      </c>
      <c r="J127" t="inlineStr">
        <is>
          <t>2 okolice anatomiczne</t>
        </is>
      </c>
      <c r="K127" t="inlineStr">
        <is>
          <t>Tomasz Bujalski</t>
        </is>
      </c>
      <c r="L127" t="inlineStr">
        <is>
          <t> </t>
        </is>
      </c>
      <c r="M127" t="inlineStr">
        <is>
          <t>SAMODZIELNY PUBLICZNY SPECJALISTYCZNY SZPITAL ZACHODNI IM.ŚW.JANA PAWŁA II</t>
        </is>
      </c>
      <c r="N127" t="inlineStr">
        <is>
          <t>Szpitalny Oddział Ratunkowy</t>
        </is>
      </c>
      <c r="O127" t="inlineStr">
        <is>
          <t>Tomasz Laus</t>
        </is>
      </c>
      <c r="P127" t="inlineStr">
        <is>
          <t>3288043</t>
        </is>
      </c>
      <c r="Q127" t="inlineStr">
        <is>
          <t> </t>
        </is>
      </c>
      <c r="R127" t="inlineStr">
        <is>
          <t>grodzisk</t>
        </is>
      </c>
      <c r="S127" s="1" t="n">
        <v>46171.30347222222</v>
      </c>
      <c r="T127" t="n">
        <v>0</v>
      </c>
      <c r="U127" t="inlineStr">
        <is>
          <t>BUJALSKI TOMASZ</t>
        </is>
      </c>
    </row>
    <row r="128">
      <c r="A128" s="1" t="n">
        <v>46171</v>
      </c>
      <c r="B128" t="n">
        <v>31645502</v>
      </c>
      <c r="C128" t="inlineStr">
        <is>
          <t>KARYNA SURAŁA</t>
        </is>
      </c>
      <c r="D128" t="n">
        <v>40102904646</v>
      </c>
      <c r="E128" s="1" t="n">
        <v>46171</v>
      </c>
      <c r="F128" t="inlineStr">
        <is>
          <t>CITO-CITO</t>
        </is>
      </c>
      <c r="G128" t="inlineStr">
        <is>
          <t>TK</t>
        </is>
      </c>
      <c r="H128" t="inlineStr">
        <is>
          <t>Tomografia komputerowa głowy bez kontrastu</t>
        </is>
      </c>
      <c r="I128" t="inlineStr">
        <is>
          <t>TK Zwykłe</t>
        </is>
      </c>
      <c r="J128" t="inlineStr">
        <is>
          <t>1 okolica anatomiczna</t>
        </is>
      </c>
      <c r="K128" t="inlineStr">
        <is>
          <t>Tomasz Bujalski</t>
        </is>
      </c>
      <c r="L128" t="inlineStr">
        <is>
          <t> </t>
        </is>
      </c>
      <c r="M128" t="inlineStr">
        <is>
          <t>SAMODZIELNY PUBLICZNY SPECJALISTYCZNY SZPITAL ZACHODNI IM.ŚW.JANA PAWŁA II</t>
        </is>
      </c>
      <c r="N128" t="inlineStr">
        <is>
          <t>Oddział Anestezjologii i Intensywnej Terapii</t>
        </is>
      </c>
      <c r="O128" t="inlineStr">
        <is>
          <t>Jakub Jakubiak</t>
        </is>
      </c>
      <c r="P128" t="inlineStr">
        <is>
          <t>2559626</t>
        </is>
      </c>
      <c r="Q128" t="inlineStr">
        <is>
          <t> </t>
        </is>
      </c>
      <c r="R128" t="inlineStr">
        <is>
          <t>grodzisk</t>
        </is>
      </c>
      <c r="S128" s="1" t="n">
        <v>46171.29652777778</v>
      </c>
      <c r="T128" t="n">
        <v>0</v>
      </c>
      <c r="U128" t="inlineStr">
        <is>
          <t>BUJALSKI TOMASZ</t>
        </is>
      </c>
    </row>
    <row r="129">
      <c r="A129" s="1" t="n">
        <v>46172</v>
      </c>
      <c r="B129" t="n">
        <v>31653192</v>
      </c>
      <c r="C129" t="inlineStr">
        <is>
          <t>HENRYK ZIELIŃSKI</t>
        </is>
      </c>
      <c r="D129" t="n">
        <v>61070908436</v>
      </c>
      <c r="E129" s="1" t="n">
        <v>46172</v>
      </c>
      <c r="F129" t="inlineStr">
        <is>
          <t>CITO-CITO</t>
        </is>
      </c>
      <c r="G129" t="inlineStr">
        <is>
          <t>TK</t>
        </is>
      </c>
      <c r="H129" t="inlineStr">
        <is>
          <t>Tomografia komputerowa głowy bez kontrastu</t>
        </is>
      </c>
      <c r="I129" t="inlineStr">
        <is>
          <t>TK Zwykłe</t>
        </is>
      </c>
      <c r="J129" t="inlineStr">
        <is>
          <t>1 okolica anatomiczna</t>
        </is>
      </c>
      <c r="K129" t="inlineStr">
        <is>
          <t>Tomasz Bujalski</t>
        </is>
      </c>
      <c r="L129" t="inlineStr">
        <is>
          <t> </t>
        </is>
      </c>
      <c r="M129" t="inlineStr">
        <is>
          <t>SAMODZIELNY PUBLICZNY SPECJALISTYCZNY SZPITAL ZACHODNI IM.ŚW.JANA PAWŁA II</t>
        </is>
      </c>
      <c r="N129" t="inlineStr">
        <is>
          <t>Szpitalny Oddział Ratunkowy</t>
        </is>
      </c>
      <c r="O129" t="inlineStr">
        <is>
          <t>KRZYSZTOF WYSZOMIRSKI</t>
        </is>
      </c>
      <c r="P129" t="inlineStr">
        <is>
          <t>3965607</t>
        </is>
      </c>
      <c r="Q129" t="inlineStr">
        <is>
          <t> </t>
        </is>
      </c>
      <c r="R129" t="inlineStr">
        <is>
          <t>grodzisk</t>
        </is>
      </c>
      <c r="S129" s="1" t="n">
        <v>46172.49236111111</v>
      </c>
      <c r="T129" t="n">
        <v>0</v>
      </c>
      <c r="U129" t="inlineStr">
        <is>
          <t>BUJALSKI TOMASZ</t>
        </is>
      </c>
    </row>
    <row r="130">
      <c r="A130" s="1" t="n">
        <v>46172</v>
      </c>
      <c r="B130" t="n">
        <v>31653193</v>
      </c>
      <c r="C130" t="inlineStr">
        <is>
          <t>HENRYK ZIELIŃSKI</t>
        </is>
      </c>
      <c r="D130" t="n">
        <v>61070908436</v>
      </c>
      <c r="E130" s="1" t="n">
        <v>46172</v>
      </c>
      <c r="F130" t="inlineStr">
        <is>
          <t>CITO-CITO</t>
        </is>
      </c>
      <c r="G130" t="inlineStr">
        <is>
          <t>TK</t>
        </is>
      </c>
      <c r="H130" t="inlineStr">
        <is>
          <t>Tomografia komputerowa klatki piersiowej bez pontrastu</t>
        </is>
      </c>
      <c r="I130" t="inlineStr">
        <is>
          <t>TK Zwykłe</t>
        </is>
      </c>
      <c r="J130" t="inlineStr">
        <is>
          <t>1 okolica anatomiczna</t>
        </is>
      </c>
      <c r="K130" t="inlineStr">
        <is>
          <t>Tomasz Bujalski</t>
        </is>
      </c>
      <c r="L130" t="inlineStr">
        <is>
          <t> </t>
        </is>
      </c>
      <c r="M130" t="inlineStr">
        <is>
          <t>SAMODZIELNY PUBLICZNY SPECJALISTYCZNY SZPITAL ZACHODNI IM.ŚW.JANA PAWŁA II</t>
        </is>
      </c>
      <c r="N130" t="inlineStr">
        <is>
          <t>Szpitalny Oddział Ratunkowy</t>
        </is>
      </c>
      <c r="O130" t="inlineStr">
        <is>
          <t>KRZYSZTOF WYSZOMIRSKI</t>
        </is>
      </c>
      <c r="P130" t="inlineStr">
        <is>
          <t>3965607</t>
        </is>
      </c>
      <c r="Q130" t="inlineStr">
        <is>
          <t> </t>
        </is>
      </c>
      <c r="R130" t="inlineStr">
        <is>
          <t>grodzisk</t>
        </is>
      </c>
      <c r="S130" s="1" t="n">
        <v>46172.49305555555</v>
      </c>
      <c r="T130" t="n">
        <v>0</v>
      </c>
      <c r="U130" t="inlineStr">
        <is>
          <t>BUJALSKI TOMASZ</t>
        </is>
      </c>
    </row>
    <row r="131">
      <c r="A131" s="1" t="n">
        <v>46172</v>
      </c>
      <c r="B131" t="n">
        <v>31653194</v>
      </c>
      <c r="C131" t="inlineStr">
        <is>
          <t>HENRYK ZIELIŃSKI</t>
        </is>
      </c>
      <c r="D131" t="n">
        <v>61070908436</v>
      </c>
      <c r="E131" s="1" t="n">
        <v>46172</v>
      </c>
      <c r="F131" t="inlineStr">
        <is>
          <t>CITO-CITO</t>
        </is>
      </c>
      <c r="G131" t="inlineStr">
        <is>
          <t>TK</t>
        </is>
      </c>
      <c r="H131" t="inlineStr">
        <is>
          <t>Tomografia komputerowa jamy brzusznej i miednicy małej bez kontrastu</t>
        </is>
      </c>
      <c r="I131" t="inlineStr">
        <is>
          <t>TK Zwykłe</t>
        </is>
      </c>
      <c r="J131" t="inlineStr">
        <is>
          <t>2 okolice anatomiczne</t>
        </is>
      </c>
      <c r="K131" t="inlineStr">
        <is>
          <t>Tomasz Bujalski</t>
        </is>
      </c>
      <c r="L131" t="inlineStr">
        <is>
          <t> </t>
        </is>
      </c>
      <c r="M131" t="inlineStr">
        <is>
          <t>SAMODZIELNY PUBLICZNY SPECJALISTYCZNY SZPITAL ZACHODNI IM.ŚW.JANA PAWŁA II</t>
        </is>
      </c>
      <c r="N131" t="inlineStr">
        <is>
          <t>Szpitalny Oddział Ratunkowy</t>
        </is>
      </c>
      <c r="O131" t="inlineStr">
        <is>
          <t>KRZYSZTOF WYSZOMIRSKI</t>
        </is>
      </c>
      <c r="P131" t="inlineStr">
        <is>
          <t>3965607</t>
        </is>
      </c>
      <c r="Q131" t="inlineStr">
        <is>
          <t> </t>
        </is>
      </c>
      <c r="R131" t="inlineStr">
        <is>
          <t>grodzisk</t>
        </is>
      </c>
      <c r="S131" s="1" t="n">
        <v>46172.49375</v>
      </c>
      <c r="T131" t="n">
        <v>0</v>
      </c>
      <c r="U131" t="inlineStr">
        <is>
          <t>BUJALSKI TOMASZ</t>
        </is>
      </c>
    </row>
    <row r="132">
      <c r="A132" s="1" t="n">
        <v>46172</v>
      </c>
      <c r="B132" t="n">
        <v>31653490</v>
      </c>
      <c r="C132" t="inlineStr">
        <is>
          <t>LESZEK WLAZIŃSKI</t>
        </is>
      </c>
      <c r="D132" t="n">
        <v>61072010030</v>
      </c>
      <c r="E132" s="1" t="n">
        <v>46172</v>
      </c>
      <c r="F132" t="inlineStr">
        <is>
          <t>CITO-CITO</t>
        </is>
      </c>
      <c r="G132" t="inlineStr">
        <is>
          <t>TK</t>
        </is>
      </c>
      <c r="H132" t="inlineStr">
        <is>
          <t>Tomografia komputerowa jamy brzusznej i miednicy małej z kontrastem</t>
        </is>
      </c>
      <c r="I132" t="inlineStr">
        <is>
          <t>TK Zwykłe</t>
        </is>
      </c>
      <c r="J132" t="inlineStr">
        <is>
          <t>2 okolice anatomiczne</t>
        </is>
      </c>
      <c r="K132" t="inlineStr">
        <is>
          <t>Tomasz Bujalski</t>
        </is>
      </c>
      <c r="L132" t="inlineStr">
        <is>
          <t> </t>
        </is>
      </c>
      <c r="M132" t="inlineStr">
        <is>
          <t>SAMODZIELNY PUBLICZNY SPECJALISTYCZNY SZPITAL ZACHODNI IM.ŚW.JANA PAWŁA II</t>
        </is>
      </c>
      <c r="N132" t="inlineStr">
        <is>
          <t>Szpitalny Oddział Ratunkowy</t>
        </is>
      </c>
      <c r="O132" t="inlineStr">
        <is>
          <t>KRZYSZTOF WYSZOMIRSKI</t>
        </is>
      </c>
      <c r="P132" t="inlineStr">
        <is>
          <t>3965607</t>
        </is>
      </c>
      <c r="Q132" t="inlineStr">
        <is>
          <t> </t>
        </is>
      </c>
      <c r="R132" t="inlineStr">
        <is>
          <t>grodzisk</t>
        </is>
      </c>
      <c r="S132" s="1" t="n">
        <v>46172.48055555556</v>
      </c>
      <c r="T132" t="n">
        <v>0</v>
      </c>
      <c r="U132" t="inlineStr">
        <is>
          <t>BUJALSKI TOMASZ</t>
        </is>
      </c>
    </row>
    <row r="133">
      <c r="A133" s="1" t="n">
        <v>46172</v>
      </c>
      <c r="B133" t="n">
        <v>31653757</v>
      </c>
      <c r="C133" t="inlineStr">
        <is>
          <t>IZABELA KRYSIŃSKA</t>
        </is>
      </c>
      <c r="D133" t="n">
        <v>5241807229</v>
      </c>
      <c r="E133" s="1" t="n">
        <v>46172</v>
      </c>
      <c r="F133" t="inlineStr">
        <is>
          <t>CITO-CITO</t>
        </is>
      </c>
      <c r="G133" t="inlineStr">
        <is>
          <t>TK</t>
        </is>
      </c>
      <c r="H133" t="inlineStr">
        <is>
          <t>Tomografia komputerowa angio (tętnic) kończyn</t>
        </is>
      </c>
      <c r="I133" t="inlineStr">
        <is>
          <t>TK Angiografia</t>
        </is>
      </c>
      <c r="J133" t="inlineStr">
        <is>
          <t>2 okolice anatomiczne</t>
        </is>
      </c>
      <c r="K133" t="inlineStr">
        <is>
          <t>Tomasz Bujalski</t>
        </is>
      </c>
      <c r="L133" t="inlineStr">
        <is>
          <t> </t>
        </is>
      </c>
      <c r="M133" t="inlineStr">
        <is>
          <t>SAMODZIELNY PUBLICZNY SPECJALISTYCZNY SZPITAL ZACHODNI IM.ŚW.JANA PAWŁA II</t>
        </is>
      </c>
      <c r="N133" t="inlineStr">
        <is>
          <t>Szpitalny Oddział Ratunkowy</t>
        </is>
      </c>
      <c r="O133" t="inlineStr">
        <is>
          <t>Małgorzata Cielica</t>
        </is>
      </c>
      <c r="P133" t="inlineStr">
        <is>
          <t>2648770</t>
        </is>
      </c>
      <c r="Q133" t="inlineStr">
        <is>
          <t> </t>
        </is>
      </c>
      <c r="R133" t="inlineStr">
        <is>
          <t>grodzisk</t>
        </is>
      </c>
      <c r="S133" s="1" t="n">
        <v>46172.59722222222</v>
      </c>
      <c r="T133" t="n">
        <v>0</v>
      </c>
      <c r="U133" t="inlineStr">
        <is>
          <t>BUJALSKI TOMASZ</t>
        </is>
      </c>
    </row>
    <row r="134">
      <c r="A134" s="1" t="n">
        <v>46157</v>
      </c>
      <c r="B134" t="inlineStr">
        <is>
          <t>TK/26/1204</t>
        </is>
      </c>
      <c r="C134" t="inlineStr">
        <is>
          <t>HENRYK NARUSZEWICZ</t>
        </is>
      </c>
      <c r="D134" t="inlineStr">
        <is>
          <t>49071901658</t>
        </is>
      </c>
      <c r="E134" s="1" t="n">
        <v>46156</v>
      </c>
      <c r="F134" t="inlineStr">
        <is>
          <t>Pilny</t>
        </is>
      </c>
      <c r="G134" t="inlineStr">
        <is>
          <t>TK</t>
        </is>
      </c>
      <c r="H134" t="inlineStr">
        <is>
          <t>TK - klatki piersiowej</t>
        </is>
      </c>
      <c r="I134" t="inlineStr">
        <is>
          <t>TK Onkologia</t>
        </is>
      </c>
      <c r="J134" t="inlineStr">
        <is>
          <t>1 okolica anatomiczna</t>
        </is>
      </c>
      <c r="K134" t="inlineStr">
        <is>
          <t>Tomasz Bujalski</t>
        </is>
      </c>
      <c r="L134" t="inlineStr">
        <is>
          <t> </t>
        </is>
      </c>
      <c r="M134" t="inlineStr">
        <is>
          <t>SZPITAL GŁOWNO GRUPA ZDROWIE SPÓŁKA Z OGRANICZONĄ ODPOWIEDZIALNOŚCIĄ</t>
        </is>
      </c>
      <c r="N134" t="inlineStr">
        <is>
          <t>Oddział Chirurgii Ogólnej</t>
        </is>
      </c>
      <c r="O134" t="inlineStr">
        <is>
          <t>WIKTORIA KUROPATWA</t>
        </is>
      </c>
      <c r="P134" t="inlineStr">
        <is>
          <t>2455560</t>
        </is>
      </c>
      <c r="Q134" t="inlineStr">
        <is>
          <t> </t>
        </is>
      </c>
      <c r="R134" t="inlineStr">
        <is>
          <t>grupazdrowie</t>
        </is>
      </c>
      <c r="S134" s="1" t="n">
        <v>46156.49236111111</v>
      </c>
      <c r="T134" t="n">
        <v>0</v>
      </c>
      <c r="U134" t="inlineStr">
        <is>
          <t>BUJALSKI TOMASZ</t>
        </is>
      </c>
    </row>
    <row r="135">
      <c r="A135" s="1" t="n">
        <v>46165</v>
      </c>
      <c r="B135" t="inlineStr">
        <is>
          <t>TK/26/1276</t>
        </is>
      </c>
      <c r="C135" t="inlineStr">
        <is>
          <t>EWA BLUM</t>
        </is>
      </c>
      <c r="D135" t="inlineStr">
        <is>
          <t>45042802728</t>
        </is>
      </c>
      <c r="E135" s="1" t="n">
        <v>46165</v>
      </c>
      <c r="F135" t="inlineStr">
        <is>
          <t>CITO-CITO</t>
        </is>
      </c>
      <c r="G135" t="inlineStr">
        <is>
          <t>TK</t>
        </is>
      </c>
      <c r="H135" t="inlineStr">
        <is>
          <t>TK - głowy</t>
        </is>
      </c>
      <c r="I135" t="inlineStr">
        <is>
          <t>TK Zwykłe</t>
        </is>
      </c>
      <c r="J135" t="inlineStr">
        <is>
          <t>1 okolica anatomiczna</t>
        </is>
      </c>
      <c r="K135" t="inlineStr">
        <is>
          <t>Tomasz Bujalski</t>
        </is>
      </c>
      <c r="L135" t="inlineStr">
        <is>
          <t> </t>
        </is>
      </c>
      <c r="M135" t="inlineStr">
        <is>
          <t>SZPITAL GŁOWNO GRUPA ZDROWIE SPÓŁKA Z OGRANICZONĄ ODPOWIEDZIALNOŚCIĄ</t>
        </is>
      </c>
      <c r="N135" t="inlineStr">
        <is>
          <t>Oddział Chorób Wewnętrznych</t>
        </is>
      </c>
      <c r="O135" t="inlineStr">
        <is>
          <t>EWA DEBSKA</t>
        </is>
      </c>
      <c r="P135" t="inlineStr">
        <is>
          <t>5285617</t>
        </is>
      </c>
      <c r="Q135" t="inlineStr">
        <is>
          <t>G44</t>
        </is>
      </c>
      <c r="R135" t="inlineStr">
        <is>
          <t>grupazdrowie</t>
        </is>
      </c>
      <c r="S135" s="1" t="n">
        <v>46165.54375</v>
      </c>
      <c r="T135" t="n">
        <v>0</v>
      </c>
      <c r="U135" t="inlineStr">
        <is>
          <t>BUJALSKI TOMASZ</t>
        </is>
      </c>
    </row>
    <row r="136">
      <c r="A136" s="1" t="n">
        <v>46149</v>
      </c>
      <c r="B136" t="n">
        <v>3788196</v>
      </c>
      <c r="C136" t="inlineStr">
        <is>
          <t>JOANNA GAPSKA-WICKA</t>
        </is>
      </c>
      <c r="D136" t="inlineStr">
        <is>
          <t>72111306342</t>
        </is>
      </c>
      <c r="E136" s="1" t="n">
        <v>46134</v>
      </c>
      <c r="F136" t="inlineStr">
        <is>
          <t>Planowy</t>
        </is>
      </c>
      <c r="G136" t="inlineStr">
        <is>
          <t>MR</t>
        </is>
      </c>
      <c r="H136" t="inlineStr">
        <is>
          <t>RM  miednicy bez i ze wzmocnieniem kontrastowym</t>
        </is>
      </c>
      <c r="I136" t="inlineStr">
        <is>
          <t>MR Inne - wtym prostata, miednica, jama brzuszna tkanki miekkie</t>
        </is>
      </c>
      <c r="J136" t="inlineStr">
        <is>
          <t>1 okolica anatomiczna</t>
        </is>
      </c>
      <c r="K136" t="inlineStr">
        <is>
          <t>Tomasz Bujalski</t>
        </is>
      </c>
      <c r="L136" t="inlineStr">
        <is>
          <t> </t>
        </is>
      </c>
      <c r="M136" t="inlineStr">
        <is>
          <t>CENTRUM MEDYCZNE ŚWIĘTEGO ŁUKASZA SPÓŁKA Z O.O. SPÓŁKA KOMANDYTOWA</t>
        </is>
      </c>
      <c r="N136" t="inlineStr">
        <is>
          <t>CENTRUM MEDYCZNE ŚWIĘTEGO ŁUKASZA SPÓŁKA Z O.O. SPÓŁKA KOMANDYTOWA</t>
        </is>
      </c>
      <c r="O136" t="inlineStr">
        <is>
          <t>MONIKA ANNA KLASA-HINCA</t>
        </is>
      </c>
      <c r="P136" t="inlineStr">
        <is>
          <t>3316140</t>
        </is>
      </c>
      <c r="Q136" t="inlineStr">
        <is>
          <t>D27</t>
        </is>
      </c>
      <c r="R136" t="inlineStr">
        <is>
          <t>kartuzy</t>
        </is>
      </c>
      <c r="S136" s="1" t="n">
        <v>46134.52638888889</v>
      </c>
      <c r="T136" t="n">
        <v>0</v>
      </c>
      <c r="U136" t="inlineStr">
        <is>
          <t>BUJALSKI TOMASZ</t>
        </is>
      </c>
    </row>
    <row r="137">
      <c r="A137" s="1" t="n">
        <v>46149</v>
      </c>
      <c r="B137" t="n">
        <v>3802366</v>
      </c>
      <c r="C137" t="inlineStr">
        <is>
          <t>ZYGMUNT MEHRING</t>
        </is>
      </c>
      <c r="D137" t="inlineStr">
        <is>
          <t>55120607134</t>
        </is>
      </c>
      <c r="E137" s="1" t="n">
        <v>46148</v>
      </c>
      <c r="F137" t="inlineStr">
        <is>
          <t>CITO-CITO</t>
        </is>
      </c>
      <c r="G137" t="inlineStr">
        <is>
          <t>TK</t>
        </is>
      </c>
      <c r="H137" t="inlineStr">
        <is>
          <t>TK j.brzusznej i miednicy bez i co najmniej dwie fazy ze wzmocnieniem kontrastowym</t>
        </is>
      </c>
      <c r="I137" t="inlineStr">
        <is>
          <t>TK Zwykłe</t>
        </is>
      </c>
      <c r="J137" t="inlineStr">
        <is>
          <t>2 okolice anatomiczne</t>
        </is>
      </c>
      <c r="K137" t="inlineStr">
        <is>
          <t>Tomasz Bujalski</t>
        </is>
      </c>
      <c r="L137" t="inlineStr">
        <is>
          <t> </t>
        </is>
      </c>
      <c r="M137" t="inlineStr">
        <is>
          <t>Szpitalny Oddział Ratunkowy</t>
        </is>
      </c>
      <c r="N137" t="inlineStr">
        <is>
          <t>Szpitalny Oddział Ratunkowy</t>
        </is>
      </c>
      <c r="O137" t="inlineStr">
        <is>
          <t>MARCELINA SADOWSKA</t>
        </is>
      </c>
      <c r="P137" t="inlineStr">
        <is>
          <t>4344484</t>
        </is>
      </c>
      <c r="Q137" t="inlineStr">
        <is>
          <t> </t>
        </is>
      </c>
      <c r="R137" t="inlineStr">
        <is>
          <t>kartuzy</t>
        </is>
      </c>
      <c r="S137" s="1" t="n">
        <v>46148.96111111111</v>
      </c>
      <c r="T137" t="n">
        <v>0</v>
      </c>
      <c r="U137" t="inlineStr">
        <is>
          <t>BUJALSKI TOMASZ</t>
        </is>
      </c>
    </row>
    <row r="138">
      <c r="A138" s="1" t="n">
        <v>46149</v>
      </c>
      <c r="B138" t="n">
        <v>3802403</v>
      </c>
      <c r="C138" t="inlineStr">
        <is>
          <t>HELENA KLOSKOWSKA</t>
        </is>
      </c>
      <c r="D138" t="inlineStr">
        <is>
          <t>41071505443</t>
        </is>
      </c>
      <c r="E138" s="1" t="n">
        <v>46149</v>
      </c>
      <c r="F138" t="inlineStr">
        <is>
          <t>CITO-CITO</t>
        </is>
      </c>
      <c r="G138" t="inlineStr">
        <is>
          <t>TK</t>
        </is>
      </c>
      <c r="H138" t="inlineStr">
        <is>
          <t>TK głowy bez wzmocnienia kontrastowego</t>
        </is>
      </c>
      <c r="I138" t="inlineStr">
        <is>
          <t>TK Zwykłe</t>
        </is>
      </c>
      <c r="J138" t="inlineStr">
        <is>
          <t>1 okolica anatomiczna</t>
        </is>
      </c>
      <c r="K138" t="inlineStr">
        <is>
          <t>Tomasz Bujalski</t>
        </is>
      </c>
      <c r="L138" t="inlineStr">
        <is>
          <t> </t>
        </is>
      </c>
      <c r="M138" t="inlineStr">
        <is>
          <t>Szpitalny Oddział Ratunkowy</t>
        </is>
      </c>
      <c r="N138" t="inlineStr">
        <is>
          <t>Szpitalny Oddział Ratunkowy</t>
        </is>
      </c>
      <c r="O138" t="inlineStr">
        <is>
          <t>MARCELINA SADOWSKA</t>
        </is>
      </c>
      <c r="P138" t="inlineStr">
        <is>
          <t>4344484</t>
        </is>
      </c>
      <c r="Q138" t="inlineStr">
        <is>
          <t> </t>
        </is>
      </c>
      <c r="R138" t="inlineStr">
        <is>
          <t>kartuzy</t>
        </is>
      </c>
      <c r="S138" s="1" t="n">
        <v>46149.17430555556</v>
      </c>
      <c r="T138" t="n">
        <v>0</v>
      </c>
      <c r="U138" t="inlineStr">
        <is>
          <t>BUJALSKI TOMASZ</t>
        </is>
      </c>
    </row>
    <row r="139">
      <c r="A139" s="1" t="n">
        <v>46149</v>
      </c>
      <c r="B139" t="n">
        <v>3802410</v>
      </c>
      <c r="C139" t="inlineStr">
        <is>
          <t>HELENA KLOSKOWSKA</t>
        </is>
      </c>
      <c r="D139" t="inlineStr">
        <is>
          <t>41071505443</t>
        </is>
      </c>
      <c r="E139" s="1" t="n">
        <v>46149</v>
      </c>
      <c r="F139" t="inlineStr">
        <is>
          <t>CITO-CITO</t>
        </is>
      </c>
      <c r="G139" t="inlineStr">
        <is>
          <t>TK</t>
        </is>
      </c>
      <c r="H139" t="inlineStr">
        <is>
          <t>TK twarzoczaszki bez wzmocnienia kontrastowego</t>
        </is>
      </c>
      <c r="I139" t="inlineStr">
        <is>
          <t>TK Zwykłe</t>
        </is>
      </c>
      <c r="J139" t="inlineStr">
        <is>
          <t>1 okolica anatomiczna</t>
        </is>
      </c>
      <c r="K139" t="inlineStr">
        <is>
          <t>Tomasz Bujalski</t>
        </is>
      </c>
      <c r="L139" t="inlineStr">
        <is>
          <t> </t>
        </is>
      </c>
      <c r="M139" t="inlineStr">
        <is>
          <t>Szpitalny Oddział Ratunkowy</t>
        </is>
      </c>
      <c r="N139" t="inlineStr">
        <is>
          <t>Szpitalny Oddział Ratunkowy</t>
        </is>
      </c>
      <c r="O139" t="inlineStr">
        <is>
          <t>MARCELINA SADOWSKA</t>
        </is>
      </c>
      <c r="P139" t="inlineStr">
        <is>
          <t>4344484</t>
        </is>
      </c>
      <c r="Q139" t="inlineStr">
        <is>
          <t> </t>
        </is>
      </c>
      <c r="R139" t="inlineStr">
        <is>
          <t>kartuzy</t>
        </is>
      </c>
      <c r="S139" s="1" t="n">
        <v>46149.17708333334</v>
      </c>
      <c r="T139" t="n">
        <v>0</v>
      </c>
      <c r="U139" t="inlineStr">
        <is>
          <t>BUJALSKI TOMASZ</t>
        </is>
      </c>
    </row>
    <row r="140">
      <c r="A140" s="1" t="n">
        <v>46156</v>
      </c>
      <c r="B140" t="n">
        <v>3810286</v>
      </c>
      <c r="C140" t="inlineStr">
        <is>
          <t>EWA PANEK</t>
        </is>
      </c>
      <c r="D140" t="inlineStr">
        <is>
          <t>55051409902</t>
        </is>
      </c>
      <c r="E140" s="1" t="n">
        <v>46156</v>
      </c>
      <c r="F140" t="inlineStr">
        <is>
          <t>CITO-CITO</t>
        </is>
      </c>
      <c r="G140" t="inlineStr">
        <is>
          <t>TK</t>
        </is>
      </c>
      <c r="H140" t="inlineStr">
        <is>
          <t>TK j.brzusznej i miednicy bez i co najmniej dwie fazy ze wzmocnieniem kontrastowym</t>
        </is>
      </c>
      <c r="I140" t="inlineStr">
        <is>
          <t>TK Zwykłe</t>
        </is>
      </c>
      <c r="J140" t="inlineStr">
        <is>
          <t>2 okolice anatomiczne</t>
        </is>
      </c>
      <c r="K140" t="inlineStr">
        <is>
          <t>Tomasz Bujalski</t>
        </is>
      </c>
      <c r="L140" t="inlineStr">
        <is>
          <t> </t>
        </is>
      </c>
      <c r="M140" t="inlineStr">
        <is>
          <t>Szpitalny Oddział Ratunkowy</t>
        </is>
      </c>
      <c r="N140" t="inlineStr">
        <is>
          <t>Szpitalny Oddział Ratunkowy</t>
        </is>
      </c>
      <c r="O140" t="inlineStr">
        <is>
          <t>Ewa OLEJARCZYK</t>
        </is>
      </c>
      <c r="P140" t="inlineStr">
        <is>
          <t>2753875</t>
        </is>
      </c>
      <c r="Q140" t="inlineStr">
        <is>
          <t>R10.4</t>
        </is>
      </c>
      <c r="R140" t="inlineStr">
        <is>
          <t>kartuzy</t>
        </is>
      </c>
      <c r="S140" s="1" t="n">
        <v>46156.3</v>
      </c>
      <c r="T140" t="n">
        <v>0</v>
      </c>
      <c r="U140" t="inlineStr">
        <is>
          <t>BUJALSKI TOMASZ</t>
        </is>
      </c>
    </row>
    <row r="141">
      <c r="A141" s="1" t="n">
        <v>46156</v>
      </c>
      <c r="B141" t="n">
        <v>3810460</v>
      </c>
      <c r="C141" t="inlineStr">
        <is>
          <t>REGINA CIBOROWSKA</t>
        </is>
      </c>
      <c r="D141" t="inlineStr">
        <is>
          <t>44061800845</t>
        </is>
      </c>
      <c r="E141" s="1" t="n">
        <v>46156</v>
      </c>
      <c r="F141" t="inlineStr">
        <is>
          <t>CITO-CITO</t>
        </is>
      </c>
      <c r="G141" t="inlineStr">
        <is>
          <t>TK</t>
        </is>
      </c>
      <c r="H141" t="inlineStr">
        <is>
          <t>TK kl.piersiowej bez i ze wzmocnieniem kontrastowym</t>
        </is>
      </c>
      <c r="I141" t="inlineStr">
        <is>
          <t>TK Zwykłe</t>
        </is>
      </c>
      <c r="J141" t="inlineStr">
        <is>
          <t>1 okolica anatomiczna</t>
        </is>
      </c>
      <c r="K141" t="inlineStr">
        <is>
          <t>Tomasz Bujalski</t>
        </is>
      </c>
      <c r="L141" t="inlineStr">
        <is>
          <t> </t>
        </is>
      </c>
      <c r="M141" t="inlineStr">
        <is>
          <t>Oddział Chorób Wewnętrznych A</t>
        </is>
      </c>
      <c r="N141" t="inlineStr">
        <is>
          <t>Oddział Chorób Wewnętrznych A</t>
        </is>
      </c>
      <c r="O141" t="inlineStr">
        <is>
          <t>Judyta Estera Ekman</t>
        </is>
      </c>
      <c r="P141" t="inlineStr">
        <is>
          <t>4521749</t>
        </is>
      </c>
      <c r="Q141" t="inlineStr">
        <is>
          <t>E87.5</t>
        </is>
      </c>
      <c r="R141" t="inlineStr">
        <is>
          <t>kartuzy</t>
        </is>
      </c>
      <c r="S141" s="1" t="n">
        <v>46156.37847222222</v>
      </c>
      <c r="T141" t="n">
        <v>0</v>
      </c>
      <c r="U141" t="inlineStr">
        <is>
          <t>BUJALSKI TOMASZ</t>
        </is>
      </c>
    </row>
    <row r="142">
      <c r="A142" s="1" t="n">
        <v>46156</v>
      </c>
      <c r="B142" t="n">
        <v>3810477</v>
      </c>
      <c r="C142" t="inlineStr">
        <is>
          <t>REGINA CIBOROWSKA</t>
        </is>
      </c>
      <c r="D142" t="inlineStr">
        <is>
          <t>44061800845</t>
        </is>
      </c>
      <c r="E142" s="1" t="n">
        <v>46156</v>
      </c>
      <c r="F142" t="inlineStr">
        <is>
          <t>CITO-CITO</t>
        </is>
      </c>
      <c r="G142" t="inlineStr">
        <is>
          <t>TK</t>
        </is>
      </c>
      <c r="H142" t="inlineStr">
        <is>
          <t>TK j.brzusznej i miednicy bez i co najmniej dwie fazy ze wzmocnieniem kontrastowym</t>
        </is>
      </c>
      <c r="I142" t="inlineStr">
        <is>
          <t>TK Zwykłe</t>
        </is>
      </c>
      <c r="J142" t="inlineStr">
        <is>
          <t>2 okolice anatomiczne</t>
        </is>
      </c>
      <c r="K142" t="inlineStr">
        <is>
          <t>Tomasz Bujalski</t>
        </is>
      </c>
      <c r="L142" t="inlineStr">
        <is>
          <t> </t>
        </is>
      </c>
      <c r="M142" t="inlineStr">
        <is>
          <t>Oddział Chorób Wewnętrznych A</t>
        </is>
      </c>
      <c r="N142" t="inlineStr">
        <is>
          <t>Oddział Chorób Wewnętrznych A</t>
        </is>
      </c>
      <c r="O142" t="inlineStr">
        <is>
          <t>Judyta Estera Ekman</t>
        </is>
      </c>
      <c r="P142" t="inlineStr">
        <is>
          <t>4521749</t>
        </is>
      </c>
      <c r="Q142" t="inlineStr">
        <is>
          <t>E87.5</t>
        </is>
      </c>
      <c r="R142" t="inlineStr">
        <is>
          <t>kartuzy</t>
        </is>
      </c>
      <c r="S142" s="1" t="n">
        <v>46156.35694444444</v>
      </c>
      <c r="T142" t="n">
        <v>0</v>
      </c>
      <c r="U142" t="inlineStr">
        <is>
          <t>BUJALSKI TOMASZ</t>
        </is>
      </c>
    </row>
    <row r="143">
      <c r="A143" s="1" t="n">
        <v>46156</v>
      </c>
      <c r="B143" t="n">
        <v>3810613</v>
      </c>
      <c r="C143" t="inlineStr">
        <is>
          <t>WANDA RADOMSKA</t>
        </is>
      </c>
      <c r="D143" t="inlineStr">
        <is>
          <t>39072107504</t>
        </is>
      </c>
      <c r="E143" s="1" t="n">
        <v>46156</v>
      </c>
      <c r="F143" t="inlineStr">
        <is>
          <t>CITO-CITO</t>
        </is>
      </c>
      <c r="G143" t="inlineStr">
        <is>
          <t>TK</t>
        </is>
      </c>
      <c r="H143" t="inlineStr">
        <is>
          <t>TK głowy bez wzmocnienia kontrastowego</t>
        </is>
      </c>
      <c r="I143" t="inlineStr">
        <is>
          <t>TK Zwykłe</t>
        </is>
      </c>
      <c r="J143" t="inlineStr">
        <is>
          <t>1 okolica anatomiczna</t>
        </is>
      </c>
      <c r="K143" t="inlineStr">
        <is>
          <t>Tomasz Bujalski</t>
        </is>
      </c>
      <c r="L143" t="inlineStr">
        <is>
          <t> </t>
        </is>
      </c>
      <c r="M143" t="inlineStr">
        <is>
          <t>Oddział Chorób Wewnętrznych A</t>
        </is>
      </c>
      <c r="N143" t="inlineStr">
        <is>
          <t>Oddział Chorób Wewnętrznych A</t>
        </is>
      </c>
      <c r="O143" t="inlineStr">
        <is>
          <t>Natalia Słomińska</t>
        </is>
      </c>
      <c r="P143" t="inlineStr">
        <is>
          <t>3883197</t>
        </is>
      </c>
      <c r="Q143" t="inlineStr">
        <is>
          <t>R41.8</t>
        </is>
      </c>
      <c r="R143" t="inlineStr">
        <is>
          <t>kartuzy</t>
        </is>
      </c>
      <c r="S143" s="1" t="n">
        <v>46156.38819444444</v>
      </c>
      <c r="T143" t="n">
        <v>0</v>
      </c>
      <c r="U143" t="inlineStr">
        <is>
          <t>BUJALSKI TOMASZ</t>
        </is>
      </c>
    </row>
    <row r="144">
      <c r="A144" s="1" t="n">
        <v>46158</v>
      </c>
      <c r="B144" t="n">
        <v>3813164</v>
      </c>
      <c r="C144" t="inlineStr">
        <is>
          <t>TERESA GRONDA</t>
        </is>
      </c>
      <c r="D144" t="inlineStr">
        <is>
          <t>52081110907</t>
        </is>
      </c>
      <c r="E144" s="1" t="n">
        <v>46158</v>
      </c>
      <c r="F144" t="inlineStr">
        <is>
          <t>CITO-CITO</t>
        </is>
      </c>
      <c r="G144" t="inlineStr">
        <is>
          <t>TK</t>
        </is>
      </c>
      <c r="H144" t="inlineStr">
        <is>
          <t>TK głowy bez wzmocnienia kontrastowego</t>
        </is>
      </c>
      <c r="I144" t="inlineStr">
        <is>
          <t>TK Zwykłe</t>
        </is>
      </c>
      <c r="J144" t="inlineStr">
        <is>
          <t>1 okolica anatomiczna</t>
        </is>
      </c>
      <c r="K144" t="inlineStr">
        <is>
          <t>Tomasz Bujalski</t>
        </is>
      </c>
      <c r="L144" t="inlineStr">
        <is>
          <t> </t>
        </is>
      </c>
      <c r="M144" t="inlineStr">
        <is>
          <t>Szpitalny Oddział Ratunkowy</t>
        </is>
      </c>
      <c r="N144" t="inlineStr">
        <is>
          <t>Szpitalny Oddział Ratunkowy</t>
        </is>
      </c>
      <c r="O144" t="inlineStr">
        <is>
          <t>KRZYSZTOF KAMIŃSKI</t>
        </is>
      </c>
      <c r="P144" t="inlineStr">
        <is>
          <t>4529388</t>
        </is>
      </c>
      <c r="Q144" t="inlineStr">
        <is>
          <t> </t>
        </is>
      </c>
      <c r="R144" t="inlineStr">
        <is>
          <t>kartuzy</t>
        </is>
      </c>
      <c r="S144" s="1" t="n">
        <v>46158.64930555555</v>
      </c>
      <c r="T144" t="n">
        <v>0</v>
      </c>
      <c r="U144" t="inlineStr">
        <is>
          <t>BUJALSKI TOMASZ</t>
        </is>
      </c>
    </row>
    <row r="145">
      <c r="A145" s="1" t="n">
        <v>46165</v>
      </c>
      <c r="B145" t="n">
        <v>3820896</v>
      </c>
      <c r="C145" t="inlineStr">
        <is>
          <t>YENIFER RIOS VALENCIA</t>
        </is>
      </c>
      <c r="D145" t="inlineStr">
        <is>
          <t>05260211920</t>
        </is>
      </c>
      <c r="E145" s="1" t="n">
        <v>46165</v>
      </c>
      <c r="F145" t="inlineStr">
        <is>
          <t>CITO-CITO</t>
        </is>
      </c>
      <c r="G145" t="inlineStr">
        <is>
          <t>TK</t>
        </is>
      </c>
      <c r="H145" t="inlineStr">
        <is>
          <t>TK głowy bez wzmocnienia kontrastowego</t>
        </is>
      </c>
      <c r="I145" t="inlineStr">
        <is>
          <t>TK Zwykłe</t>
        </is>
      </c>
      <c r="J145" t="inlineStr">
        <is>
          <t>1 okolica anatomiczna</t>
        </is>
      </c>
      <c r="K145" t="inlineStr">
        <is>
          <t>Tomasz Bujalski</t>
        </is>
      </c>
      <c r="L145" t="inlineStr">
        <is>
          <t> </t>
        </is>
      </c>
      <c r="M145" t="inlineStr">
        <is>
          <t>Szpitalny Oddział Ratunkowy</t>
        </is>
      </c>
      <c r="N145" t="inlineStr">
        <is>
          <t>Szpitalny Oddział Ratunkowy</t>
        </is>
      </c>
      <c r="O145" t="inlineStr">
        <is>
          <t>PAULINA SKRZYPIŃSKA</t>
        </is>
      </c>
      <c r="P145" t="inlineStr">
        <is>
          <t>4526671</t>
        </is>
      </c>
      <c r="Q145" t="inlineStr">
        <is>
          <t> </t>
        </is>
      </c>
      <c r="R145" t="inlineStr">
        <is>
          <t>kartuzy</t>
        </is>
      </c>
      <c r="S145" s="1" t="n">
        <v>46165.54652777778</v>
      </c>
      <c r="T145" t="n">
        <v>0</v>
      </c>
      <c r="U145" t="inlineStr">
        <is>
          <t>BUJALSKI TOMASZ</t>
        </is>
      </c>
    </row>
    <row r="146">
      <c r="A146" s="1" t="n">
        <v>46165</v>
      </c>
      <c r="B146" t="n">
        <v>3820902</v>
      </c>
      <c r="C146" t="inlineStr">
        <is>
          <t>YENIFER RIOS VALENCIA</t>
        </is>
      </c>
      <c r="D146" t="inlineStr">
        <is>
          <t>05260211920</t>
        </is>
      </c>
      <c r="E146" s="1" t="n">
        <v>46165</v>
      </c>
      <c r="F146" t="inlineStr">
        <is>
          <t>CITO-CITO</t>
        </is>
      </c>
      <c r="G146" t="inlineStr">
        <is>
          <t>TK</t>
        </is>
      </c>
      <c r="H146" t="inlineStr">
        <is>
          <t>TK kl.piersiowej bez wzmocnienia kontrastowego</t>
        </is>
      </c>
      <c r="I146" t="inlineStr">
        <is>
          <t>TK Zwykłe</t>
        </is>
      </c>
      <c r="J146" t="inlineStr">
        <is>
          <t>1 okolica anatomiczna</t>
        </is>
      </c>
      <c r="K146" t="inlineStr">
        <is>
          <t>Tomasz Bujalski</t>
        </is>
      </c>
      <c r="L146" t="inlineStr">
        <is>
          <t> </t>
        </is>
      </c>
      <c r="M146" t="inlineStr">
        <is>
          <t>Szpitalny Oddział Ratunkowy</t>
        </is>
      </c>
      <c r="N146" t="inlineStr">
        <is>
          <t>Szpitalny Oddział Ratunkowy</t>
        </is>
      </c>
      <c r="O146" t="inlineStr">
        <is>
          <t>PAULINA SKRZYPIŃSKA</t>
        </is>
      </c>
      <c r="P146" t="inlineStr">
        <is>
          <t>4526671</t>
        </is>
      </c>
      <c r="Q146" t="inlineStr">
        <is>
          <t> </t>
        </is>
      </c>
      <c r="R146" t="inlineStr">
        <is>
          <t>kartuzy</t>
        </is>
      </c>
      <c r="S146" s="1" t="n">
        <v>46165.54652777778</v>
      </c>
      <c r="T146" t="n">
        <v>0</v>
      </c>
      <c r="U146" t="inlineStr">
        <is>
          <t>BUJALSKI TOMASZ</t>
        </is>
      </c>
    </row>
    <row r="147">
      <c r="A147" s="1" t="n">
        <v>46165</v>
      </c>
      <c r="B147" t="n">
        <v>3820919</v>
      </c>
      <c r="C147" t="inlineStr">
        <is>
          <t>DANIEL PIOCH</t>
        </is>
      </c>
      <c r="D147" t="inlineStr">
        <is>
          <t>81051711013</t>
        </is>
      </c>
      <c r="E147" s="1" t="n">
        <v>46165</v>
      </c>
      <c r="F147" t="inlineStr">
        <is>
          <t>CITO-CITO</t>
        </is>
      </c>
      <c r="G147" t="inlineStr">
        <is>
          <t>TK</t>
        </is>
      </c>
      <c r="H147" t="inlineStr">
        <is>
          <t>TK głowy bez wzmocnienia kontrastowego</t>
        </is>
      </c>
      <c r="I147" t="inlineStr">
        <is>
          <t>TK Zwykłe</t>
        </is>
      </c>
      <c r="J147" t="inlineStr">
        <is>
          <t>1 okolica anatomiczna</t>
        </is>
      </c>
      <c r="K147" t="inlineStr">
        <is>
          <t>Tomasz Bujalski</t>
        </is>
      </c>
      <c r="L147" t="inlineStr">
        <is>
          <t> </t>
        </is>
      </c>
      <c r="M147" t="inlineStr">
        <is>
          <t>Szpitalny Oddział Ratunkowy</t>
        </is>
      </c>
      <c r="N147" t="inlineStr">
        <is>
          <t>Szpitalny Oddział Ratunkowy</t>
        </is>
      </c>
      <c r="O147" t="inlineStr">
        <is>
          <t>PAULINA SKRZYPIŃSKA</t>
        </is>
      </c>
      <c r="P147" t="inlineStr">
        <is>
          <t>4526671</t>
        </is>
      </c>
      <c r="Q147" t="inlineStr">
        <is>
          <t> </t>
        </is>
      </c>
      <c r="R147" t="inlineStr">
        <is>
          <t>kartuzy</t>
        </is>
      </c>
      <c r="S147" s="1" t="n">
        <v>46165.54652777778</v>
      </c>
      <c r="T147" t="n">
        <v>0</v>
      </c>
      <c r="U147" t="inlineStr">
        <is>
          <t>BUJALSKI TOMASZ</t>
        </is>
      </c>
    </row>
    <row r="148">
      <c r="A148" s="1" t="n">
        <v>46165</v>
      </c>
      <c r="B148" t="n">
        <v>3820940</v>
      </c>
      <c r="C148" t="inlineStr">
        <is>
          <t>SANDRA WĘSIERSKA</t>
        </is>
      </c>
      <c r="D148" t="inlineStr">
        <is>
          <t>02281002689</t>
        </is>
      </c>
      <c r="E148" s="1" t="n">
        <v>46165</v>
      </c>
      <c r="F148" t="inlineStr">
        <is>
          <t>CITO-CITO</t>
        </is>
      </c>
      <c r="G148" t="inlineStr">
        <is>
          <t>TK</t>
        </is>
      </c>
      <c r="H148" t="inlineStr">
        <is>
          <t>TK j.brzusznej i miednicy bez i co najmniej dwie fazy ze wzmocnieniem kontrastowym</t>
        </is>
      </c>
      <c r="I148" t="inlineStr">
        <is>
          <t>TK Zwykłe</t>
        </is>
      </c>
      <c r="J148" t="inlineStr">
        <is>
          <t>2 okolice anatomiczne</t>
        </is>
      </c>
      <c r="K148" t="inlineStr">
        <is>
          <t>Tomasz Bujalski</t>
        </is>
      </c>
      <c r="L148" t="inlineStr">
        <is>
          <t> </t>
        </is>
      </c>
      <c r="M148" t="inlineStr">
        <is>
          <t>Szpitalny Oddział Ratunkowy</t>
        </is>
      </c>
      <c r="N148" t="inlineStr">
        <is>
          <t>Szpitalny Oddział Ratunkowy</t>
        </is>
      </c>
      <c r="O148" t="inlineStr">
        <is>
          <t>PAULINA SKRZYPIŃSKA</t>
        </is>
      </c>
      <c r="P148" t="inlineStr">
        <is>
          <t>4526671</t>
        </is>
      </c>
      <c r="Q148" t="inlineStr">
        <is>
          <t> </t>
        </is>
      </c>
      <c r="R148" t="inlineStr">
        <is>
          <t>kartuzy</t>
        </is>
      </c>
      <c r="S148" s="1" t="n">
        <v>46165.62569444445</v>
      </c>
      <c r="T148" t="n">
        <v>0</v>
      </c>
      <c r="U148" t="inlineStr">
        <is>
          <t>BUJALSKI TOMASZ</t>
        </is>
      </c>
    </row>
    <row r="149">
      <c r="A149" s="1" t="n">
        <v>46170</v>
      </c>
      <c r="B149" t="n">
        <v>3814185</v>
      </c>
      <c r="C149" t="inlineStr">
        <is>
          <t>EWA MALEK</t>
        </is>
      </c>
      <c r="D149" t="inlineStr">
        <is>
          <t>62022813048</t>
        </is>
      </c>
      <c r="E149" s="1" t="n">
        <v>46160</v>
      </c>
      <c r="F149" t="inlineStr">
        <is>
          <t>Planowy</t>
        </is>
      </c>
      <c r="G149" t="inlineStr">
        <is>
          <t>MR</t>
        </is>
      </c>
      <c r="H149" t="inlineStr">
        <is>
          <t>RM szyi bez i ze wzmocnieniem kontrastowym</t>
        </is>
      </c>
      <c r="I149" t="inlineStr">
        <is>
          <t>MR Inne - wtym prostata, miednica, jama brzuszna tkanki miekkie</t>
        </is>
      </c>
      <c r="J149" t="inlineStr">
        <is>
          <t>1 okolica anatomiczna</t>
        </is>
      </c>
      <c r="K149" t="inlineStr">
        <is>
          <t>Tomasz Bujalski</t>
        </is>
      </c>
      <c r="L149" t="inlineStr">
        <is>
          <t> </t>
        </is>
      </c>
      <c r="M149" t="inlineStr">
        <is>
          <t>samodzielny publiczny ośrodek zdrowia w żukowie</t>
        </is>
      </c>
      <c r="N149" t="inlineStr">
        <is>
          <t>samodzielny publiczny ośrodek zdrowia w żukowie</t>
        </is>
      </c>
      <c r="O149" t="inlineStr">
        <is>
          <t>Zuzanna Kurzela</t>
        </is>
      </c>
      <c r="P149" t="inlineStr">
        <is>
          <t>2629154</t>
        </is>
      </c>
      <c r="Q149" t="inlineStr">
        <is>
          <t>K09</t>
        </is>
      </c>
      <c r="R149" t="inlineStr">
        <is>
          <t>kartuzy</t>
        </is>
      </c>
      <c r="S149" s="1" t="n">
        <v>46160.52638888889</v>
      </c>
      <c r="T149" t="n">
        <v>0</v>
      </c>
      <c r="U149" t="inlineStr">
        <is>
          <t>BUJALSKI TOMASZ</t>
        </is>
      </c>
    </row>
    <row r="150">
      <c r="A150" s="1" t="n">
        <v>46170</v>
      </c>
      <c r="B150" t="n">
        <v>3825808</v>
      </c>
      <c r="C150" t="inlineStr">
        <is>
          <t>JAN KONKEL</t>
        </is>
      </c>
      <c r="D150" t="inlineStr">
        <is>
          <t>71090413553</t>
        </is>
      </c>
      <c r="E150" s="1" t="n">
        <v>46169</v>
      </c>
      <c r="F150" t="inlineStr">
        <is>
          <t>CITO-CITO</t>
        </is>
      </c>
      <c r="G150" t="inlineStr">
        <is>
          <t>TK</t>
        </is>
      </c>
      <c r="H150" t="inlineStr">
        <is>
          <t>TK szyi bez i ze wzmocnieniem kontrastowym</t>
        </is>
      </c>
      <c r="I150" t="inlineStr">
        <is>
          <t>TK Zwykłe</t>
        </is>
      </c>
      <c r="J150" t="inlineStr">
        <is>
          <t>2 okolice anatomiczne</t>
        </is>
      </c>
      <c r="K150" t="inlineStr">
        <is>
          <t>Tomasz Bujalski</t>
        </is>
      </c>
      <c r="L150" t="inlineStr">
        <is>
          <t> </t>
        </is>
      </c>
      <c r="M150" t="inlineStr">
        <is>
          <t>Szpitalny Oddział Ratunkowy</t>
        </is>
      </c>
      <c r="N150" t="inlineStr">
        <is>
          <t>Szpitalny Oddział Ratunkowy</t>
        </is>
      </c>
      <c r="O150" t="inlineStr">
        <is>
          <t>KRZYSZTOF KAMIŃSKI</t>
        </is>
      </c>
      <c r="P150" t="inlineStr">
        <is>
          <t>4529388</t>
        </is>
      </c>
      <c r="Q150" t="inlineStr">
        <is>
          <t> </t>
        </is>
      </c>
      <c r="R150" t="inlineStr">
        <is>
          <t>kartuzy</t>
        </is>
      </c>
      <c r="S150" s="1" t="n">
        <v>46170.20138888889</v>
      </c>
      <c r="T150" t="n">
        <v>0</v>
      </c>
      <c r="U150" t="inlineStr">
        <is>
          <t>BUJALSKI TOMASZ</t>
        </is>
      </c>
    </row>
    <row r="151">
      <c r="A151" s="1" t="n">
        <v>46171</v>
      </c>
      <c r="B151" t="n">
        <v>3818541</v>
      </c>
      <c r="C151" t="inlineStr">
        <is>
          <t>KATARZYNA SOLDATKE</t>
        </is>
      </c>
      <c r="D151" t="inlineStr">
        <is>
          <t>69120303143</t>
        </is>
      </c>
      <c r="E151" s="1" t="n">
        <v>46163</v>
      </c>
      <c r="F151" t="inlineStr">
        <is>
          <t>Planowy</t>
        </is>
      </c>
      <c r="G151" t="inlineStr">
        <is>
          <t>MR</t>
        </is>
      </c>
      <c r="H151" t="inlineStr">
        <is>
          <t>RM MRCP</t>
        </is>
      </c>
      <c r="I151" t="inlineStr">
        <is>
          <t>MR Inne - wtym prostata, miednica, jama brzuszna tkanki miekkie</t>
        </is>
      </c>
      <c r="J151" t="inlineStr">
        <is>
          <t>1 okolica anatomiczna</t>
        </is>
      </c>
      <c r="K151" t="inlineStr">
        <is>
          <t>Tomasz Bujalski</t>
        </is>
      </c>
      <c r="L151" t="inlineStr">
        <is>
          <t> </t>
        </is>
      </c>
      <c r="M151" t="inlineStr">
        <is>
          <t>Niepubliczny Zakład Opieki Zdrowotnej CENTRUM MEDYCZNE KASZUBY w Kartuzach</t>
        </is>
      </c>
      <c r="N151" t="inlineStr">
        <is>
          <t>Niepubliczny Zakład Opieki Zdrowotnej CENTRUM MEDYCZNE KASZUBY w Kartuzach</t>
        </is>
      </c>
      <c r="O151" t="inlineStr">
        <is>
          <t>Jerzy Tokarczyk</t>
        </is>
      </c>
      <c r="P151" t="inlineStr">
        <is>
          <t>6066224</t>
        </is>
      </c>
      <c r="Q151" t="inlineStr">
        <is>
          <t> </t>
        </is>
      </c>
      <c r="R151" t="inlineStr">
        <is>
          <t>kartuzy</t>
        </is>
      </c>
      <c r="S151" s="1" t="n">
        <v>46163.50277777778</v>
      </c>
      <c r="T151" t="n">
        <v>0</v>
      </c>
      <c r="U151" t="inlineStr">
        <is>
          <t>BUJALSKI TOMASZ</t>
        </is>
      </c>
    </row>
    <row r="152">
      <c r="A152" s="1" t="n">
        <v>46172</v>
      </c>
      <c r="B152" t="n">
        <v>3828595</v>
      </c>
      <c r="C152" t="inlineStr">
        <is>
          <t>ANNA GNIAZDOWSKA</t>
        </is>
      </c>
      <c r="D152" t="inlineStr">
        <is>
          <t>87051607608</t>
        </is>
      </c>
      <c r="E152" s="1" t="n">
        <v>46172</v>
      </c>
      <c r="F152" t="inlineStr">
        <is>
          <t>CITO-CITO</t>
        </is>
      </c>
      <c r="G152" t="inlineStr">
        <is>
          <t>TK</t>
        </is>
      </c>
      <c r="H152" t="inlineStr">
        <is>
          <t>TK j.brzusznej i miednicy bez i co najmniej dwie fazy ze wzmocnieniem kontrastowym</t>
        </is>
      </c>
      <c r="I152" t="inlineStr">
        <is>
          <t>TK Zwykłe</t>
        </is>
      </c>
      <c r="J152" t="inlineStr">
        <is>
          <t>2 okolice anatomiczne</t>
        </is>
      </c>
      <c r="K152" t="inlineStr">
        <is>
          <t>Tomasz Bujalski</t>
        </is>
      </c>
      <c r="L152" t="inlineStr">
        <is>
          <t> </t>
        </is>
      </c>
      <c r="M152" t="inlineStr">
        <is>
          <t>Szpitalny Oddział Ratunkowy</t>
        </is>
      </c>
      <c r="N152" t="inlineStr">
        <is>
          <t>Szpitalny Oddział Ratunkowy</t>
        </is>
      </c>
      <c r="O152" t="inlineStr">
        <is>
          <t>Marek Rulkowski</t>
        </is>
      </c>
      <c r="P152" t="inlineStr">
        <is>
          <t>1282487</t>
        </is>
      </c>
      <c r="Q152" t="inlineStr">
        <is>
          <t> </t>
        </is>
      </c>
      <c r="R152" t="inlineStr">
        <is>
          <t>kartuzy</t>
        </is>
      </c>
      <c r="S152" s="1" t="n">
        <v>46172.44722222222</v>
      </c>
      <c r="T152" t="n">
        <v>0</v>
      </c>
      <c r="U152" t="inlineStr">
        <is>
          <t>BUJALSKI TOMASZ</t>
        </is>
      </c>
    </row>
    <row r="153">
      <c r="A153" s="1" t="n">
        <v>46149</v>
      </c>
      <c r="B153" t="n">
        <v>266693389</v>
      </c>
      <c r="C153" t="inlineStr">
        <is>
          <t>Piotr Nowicki</t>
        </is>
      </c>
      <c r="D153" t="n">
        <v>87120511258</v>
      </c>
      <c r="E153" s="1" t="n">
        <v>46149</v>
      </c>
      <c r="F153" t="inlineStr">
        <is>
          <t>Planowy</t>
        </is>
      </c>
      <c r="G153" t="inlineStr">
        <is>
          <t>MR</t>
        </is>
      </c>
      <c r="H153" t="inlineStr">
        <is>
          <t>MR głowy ze wzmocnieniem kontrastowym</t>
        </is>
      </c>
      <c r="I153" t="inlineStr">
        <is>
          <t>MR Neurologia</t>
        </is>
      </c>
      <c r="J153" t="inlineStr">
        <is>
          <t>2 okolice anatomiczne</t>
        </is>
      </c>
      <c r="K153" t="inlineStr">
        <is>
          <t>Tomasz Bujalski</t>
        </is>
      </c>
      <c r="L153" t="inlineStr">
        <is>
          <t> </t>
        </is>
      </c>
      <c r="M153" t="inlineStr">
        <is>
          <t>Oddział Neurologiczny z pododdziałem udarowym</t>
        </is>
      </c>
      <c r="N153" t="inlineStr">
        <is>
          <t>Oddział Neurologiczny z pododdziałem udarowym</t>
        </is>
      </c>
      <c r="O153" t="inlineStr">
        <is>
          <t>Gabriela Król</t>
        </is>
      </c>
      <c r="P153" t="n">
        <v>2185495</v>
      </c>
      <c r="Q153" t="inlineStr">
        <is>
          <t>G25.9</t>
        </is>
      </c>
      <c r="R153" t="inlineStr">
        <is>
          <t>klodzko</t>
        </is>
      </c>
      <c r="S153" s="1" t="n">
        <v>46149.35069444445</v>
      </c>
      <c r="T153" t="n">
        <v>0</v>
      </c>
      <c r="U153" t="inlineStr">
        <is>
          <t>BUJALSKI TOMASZ</t>
        </is>
      </c>
    </row>
    <row r="154">
      <c r="A154" s="1" t="n">
        <v>46151</v>
      </c>
      <c r="B154" t="n">
        <v>266884901</v>
      </c>
      <c r="C154" t="inlineStr">
        <is>
          <t>AGNIESZKA GRZESIAK</t>
        </is>
      </c>
      <c r="D154" t="n">
        <v>78032314664</v>
      </c>
      <c r="E154" s="1" t="n">
        <v>46151</v>
      </c>
      <c r="F154" t="inlineStr">
        <is>
          <t>CITO-CITO</t>
        </is>
      </c>
      <c r="G154" t="inlineStr">
        <is>
          <t>TK</t>
        </is>
      </c>
      <c r="H154" t="inlineStr">
        <is>
          <t>TK głowy podstawowe</t>
        </is>
      </c>
      <c r="I154" t="inlineStr">
        <is>
          <t>TK Onkologia</t>
        </is>
      </c>
      <c r="J154" t="inlineStr">
        <is>
          <t>1 okolica anatomiczna</t>
        </is>
      </c>
      <c r="K154" t="inlineStr">
        <is>
          <t>Tomasz Bujalski</t>
        </is>
      </c>
      <c r="L154" t="inlineStr">
        <is>
          <t> </t>
        </is>
      </c>
      <c r="M154" t="inlineStr">
        <is>
          <t>Izba Przyjęć</t>
        </is>
      </c>
      <c r="N154" t="inlineStr">
        <is>
          <t>Izba Przyjęć</t>
        </is>
      </c>
      <c r="O154" t="inlineStr">
        <is>
          <t>Grażyna Magdalena CHYŻEWSKA</t>
        </is>
      </c>
      <c r="P154" t="n">
        <v>6179737</v>
      </c>
      <c r="Q154" t="inlineStr">
        <is>
          <t>I64</t>
        </is>
      </c>
      <c r="R154" t="inlineStr">
        <is>
          <t>klodzko</t>
        </is>
      </c>
      <c r="S154" s="1" t="n">
        <v>46151.62986111111</v>
      </c>
      <c r="T154" t="n">
        <v>0</v>
      </c>
      <c r="U154" t="inlineStr">
        <is>
          <t>BUJALSKI TOMASZ</t>
        </is>
      </c>
    </row>
    <row r="155">
      <c r="A155" s="1" t="n">
        <v>46153</v>
      </c>
      <c r="B155" t="n">
        <v>266958241</v>
      </c>
      <c r="C155" t="inlineStr">
        <is>
          <t>Krystyna Lenartowicz-Poniewierska</t>
        </is>
      </c>
      <c r="D155" t="n">
        <v>48081701641</v>
      </c>
      <c r="E155" s="1" t="n">
        <v>46153</v>
      </c>
      <c r="F155" t="inlineStr">
        <is>
          <t>CITO-CITO</t>
        </is>
      </c>
      <c r="G155" t="inlineStr">
        <is>
          <t>TK</t>
        </is>
      </c>
      <c r="H155" t="inlineStr">
        <is>
          <t>TK głowy podstawowe</t>
        </is>
      </c>
      <c r="I155" t="inlineStr">
        <is>
          <t>TK Onkologia</t>
        </is>
      </c>
      <c r="J155" t="inlineStr">
        <is>
          <t>1 okolica anatomiczna</t>
        </is>
      </c>
      <c r="K155" t="inlineStr">
        <is>
          <t>Tomasz Bujalski</t>
        </is>
      </c>
      <c r="L155" t="inlineStr">
        <is>
          <t> </t>
        </is>
      </c>
      <c r="M155" t="inlineStr">
        <is>
          <t>Izba Przyjęć</t>
        </is>
      </c>
      <c r="N155" t="inlineStr">
        <is>
          <t>Izba Przyjęć</t>
        </is>
      </c>
      <c r="O155" t="inlineStr">
        <is>
          <t>Natalya Batyi</t>
        </is>
      </c>
      <c r="P155" t="n">
        <v>4374347</v>
      </c>
      <c r="Q155" t="inlineStr">
        <is>
          <t>R26.8</t>
        </is>
      </c>
      <c r="R155" t="inlineStr">
        <is>
          <t>klodzko</t>
        </is>
      </c>
      <c r="S155" s="1" t="n">
        <v>46153.37013888889</v>
      </c>
      <c r="T155" t="n">
        <v>0</v>
      </c>
      <c r="U155" t="inlineStr">
        <is>
          <t>BUJALSKI TOMASZ</t>
        </is>
      </c>
    </row>
    <row r="156">
      <c r="A156" s="1" t="n">
        <v>46153</v>
      </c>
      <c r="B156" t="n">
        <v>266965311</v>
      </c>
      <c r="C156" t="inlineStr">
        <is>
          <t>Artur Leki</t>
        </is>
      </c>
      <c r="D156" t="n">
        <v>10242707331</v>
      </c>
      <c r="E156" s="1" t="n">
        <v>46153</v>
      </c>
      <c r="F156" t="inlineStr">
        <is>
          <t>CITO-CITO</t>
        </is>
      </c>
      <c r="G156" t="inlineStr">
        <is>
          <t>TK</t>
        </is>
      </c>
      <c r="H156" t="inlineStr">
        <is>
          <t>TK głowy podstawowe</t>
        </is>
      </c>
      <c r="I156" t="inlineStr">
        <is>
          <t>TK Onkologia</t>
        </is>
      </c>
      <c r="J156" t="inlineStr">
        <is>
          <t>1 okolica anatomiczna</t>
        </is>
      </c>
      <c r="K156" t="inlineStr">
        <is>
          <t>Tomasz Bujalski</t>
        </is>
      </c>
      <c r="L156" t="inlineStr">
        <is>
          <t> </t>
        </is>
      </c>
      <c r="M156" t="inlineStr">
        <is>
          <t>Izba Przyjęć</t>
        </is>
      </c>
      <c r="N156" t="inlineStr">
        <is>
          <t>Izba Przyjęć</t>
        </is>
      </c>
      <c r="O156" t="inlineStr">
        <is>
          <t>Antonina Zhyvytska</t>
        </is>
      </c>
      <c r="P156" t="n">
        <v>4703513</v>
      </c>
      <c r="Q156" t="inlineStr">
        <is>
          <t>I64</t>
        </is>
      </c>
      <c r="R156" t="inlineStr">
        <is>
          <t>klodzko</t>
        </is>
      </c>
      <c r="S156" s="1" t="n">
        <v>46153.39722222222</v>
      </c>
      <c r="T156" t="n">
        <v>0</v>
      </c>
      <c r="U156" t="inlineStr">
        <is>
          <t>BUJALSKI TOMASZ</t>
        </is>
      </c>
    </row>
    <row r="157">
      <c r="A157" s="1" t="n">
        <v>46153</v>
      </c>
      <c r="B157" t="n">
        <v>266981846</v>
      </c>
      <c r="C157" t="inlineStr">
        <is>
          <t>Artur Leki</t>
        </is>
      </c>
      <c r="D157" t="n">
        <v>10242707331</v>
      </c>
      <c r="E157" s="1" t="n">
        <v>46153</v>
      </c>
      <c r="F157" t="inlineStr">
        <is>
          <t>CITO-CITO</t>
        </is>
      </c>
      <c r="G157" t="inlineStr">
        <is>
          <t>TK</t>
        </is>
      </c>
      <c r="H157" t="inlineStr">
        <is>
          <t>TK angio głowy z szyją trombolityczne</t>
        </is>
      </c>
      <c r="I157" t="inlineStr">
        <is>
          <t>TK Angiografia</t>
        </is>
      </c>
      <c r="J157" t="inlineStr">
        <is>
          <t>2 okolice anatomiczne</t>
        </is>
      </c>
      <c r="K157" t="inlineStr">
        <is>
          <t>Tomasz Bujalski</t>
        </is>
      </c>
      <c r="L157" t="inlineStr">
        <is>
          <t> </t>
        </is>
      </c>
      <c r="M157" t="inlineStr">
        <is>
          <t>Izba Przyjęć</t>
        </is>
      </c>
      <c r="N157" t="inlineStr">
        <is>
          <t>Izba Przyjęć</t>
        </is>
      </c>
      <c r="O157" t="inlineStr">
        <is>
          <t>Antonina Zhyvytska</t>
        </is>
      </c>
      <c r="P157" t="n">
        <v>4703513</v>
      </c>
      <c r="Q157" t="inlineStr">
        <is>
          <t>R51</t>
        </is>
      </c>
      <c r="R157" t="inlineStr">
        <is>
          <t>klodzko</t>
        </is>
      </c>
      <c r="S157" s="1" t="n">
        <v>46153.42638888889</v>
      </c>
      <c r="T157" t="n">
        <v>0</v>
      </c>
      <c r="U157" t="inlineStr">
        <is>
          <t>BUJALSKI TOMASZ</t>
        </is>
      </c>
    </row>
    <row r="158">
      <c r="A158" s="1" t="n">
        <v>46155</v>
      </c>
      <c r="B158" t="n">
        <v>267228786</v>
      </c>
      <c r="C158" t="inlineStr">
        <is>
          <t>Mirosław RZYMEK</t>
        </is>
      </c>
      <c r="D158" t="n">
        <v>80032715031</v>
      </c>
      <c r="E158" s="1" t="n">
        <v>46155</v>
      </c>
      <c r="F158" t="inlineStr">
        <is>
          <t>CITO-CITO</t>
        </is>
      </c>
      <c r="G158" t="inlineStr">
        <is>
          <t>TK</t>
        </is>
      </c>
      <c r="H158" t="inlineStr">
        <is>
          <t>TK głowy podstawowe</t>
        </is>
      </c>
      <c r="I158" t="inlineStr">
        <is>
          <t>TK Onkologia</t>
        </is>
      </c>
      <c r="J158" t="inlineStr">
        <is>
          <t>1 okolica anatomiczna</t>
        </is>
      </c>
      <c r="K158" t="inlineStr">
        <is>
          <t>Tomasz Bujalski</t>
        </is>
      </c>
      <c r="L158" t="inlineStr">
        <is>
          <t> </t>
        </is>
      </c>
      <c r="M158" t="inlineStr">
        <is>
          <t>Izba Przyjęć</t>
        </is>
      </c>
      <c r="N158" t="inlineStr">
        <is>
          <t>Izba Przyjęć</t>
        </is>
      </c>
      <c r="O158" t="inlineStr">
        <is>
          <t>Wojciech Wawszczyk</t>
        </is>
      </c>
      <c r="P158" t="n">
        <v>4308774</v>
      </c>
      <c r="Q158" t="inlineStr">
        <is>
          <t>G40.9</t>
        </is>
      </c>
      <c r="R158" t="inlineStr">
        <is>
          <t>klodzko</t>
        </is>
      </c>
      <c r="S158" s="1" t="n">
        <v>46155.7375</v>
      </c>
      <c r="T158" t="n">
        <v>1</v>
      </c>
      <c r="U158" t="inlineStr">
        <is>
          <t>BUJALSKI TOMASZ</t>
        </is>
      </c>
    </row>
    <row r="159">
      <c r="A159" s="1" t="n">
        <v>46155</v>
      </c>
      <c r="B159" t="n">
        <v>267228801</v>
      </c>
      <c r="C159" t="inlineStr">
        <is>
          <t>Mirosław RZYMEK</t>
        </is>
      </c>
      <c r="D159" t="n">
        <v>80032715031</v>
      </c>
      <c r="E159" s="1" t="n">
        <v>46155</v>
      </c>
      <c r="F159" t="inlineStr">
        <is>
          <t>CITO-CITO</t>
        </is>
      </c>
      <c r="G159" t="inlineStr">
        <is>
          <t>TK</t>
        </is>
      </c>
      <c r="H159" t="inlineStr">
        <is>
          <t>TK angio głowy z szyją trombolityczne</t>
        </is>
      </c>
      <c r="I159" t="inlineStr">
        <is>
          <t>TK Angiografia</t>
        </is>
      </c>
      <c r="J159" t="inlineStr">
        <is>
          <t>2 okolice anatomiczne</t>
        </is>
      </c>
      <c r="K159" t="inlineStr">
        <is>
          <t>Tomasz Bujalski</t>
        </is>
      </c>
      <c r="L159" t="inlineStr">
        <is>
          <t> </t>
        </is>
      </c>
      <c r="M159" t="inlineStr">
        <is>
          <t>Izba Przyjęć</t>
        </is>
      </c>
      <c r="N159" t="inlineStr">
        <is>
          <t>Izba Przyjęć</t>
        </is>
      </c>
      <c r="O159" t="inlineStr">
        <is>
          <t>Wojciech Wawszczyk</t>
        </is>
      </c>
      <c r="P159" t="n">
        <v>4308774</v>
      </c>
      <c r="Q159" t="inlineStr">
        <is>
          <t>G40.9</t>
        </is>
      </c>
      <c r="R159" t="inlineStr">
        <is>
          <t>klodzko</t>
        </is>
      </c>
      <c r="S159" s="1" t="n">
        <v>46155.73680555556</v>
      </c>
      <c r="T159" t="n">
        <v>2</v>
      </c>
      <c r="U159" t="inlineStr">
        <is>
          <t>BUJALSKI TOMASZ</t>
        </is>
      </c>
    </row>
    <row r="160">
      <c r="A160" s="1" t="n">
        <v>46156</v>
      </c>
      <c r="B160" t="n">
        <v>267237887</v>
      </c>
      <c r="C160" t="inlineStr">
        <is>
          <t>Roman Krzeczkowski</t>
        </is>
      </c>
      <c r="D160" t="n">
        <v>56010158398</v>
      </c>
      <c r="E160" s="1" t="n">
        <v>46156</v>
      </c>
      <c r="F160" t="inlineStr">
        <is>
          <t>CITO-CITO</t>
        </is>
      </c>
      <c r="G160" t="inlineStr">
        <is>
          <t>TK</t>
        </is>
      </c>
      <c r="H160" t="inlineStr">
        <is>
          <t>TK głowy podstawowe</t>
        </is>
      </c>
      <c r="I160" t="inlineStr">
        <is>
          <t>TK Onkologia</t>
        </is>
      </c>
      <c r="J160" t="inlineStr">
        <is>
          <t>1 okolica anatomiczna</t>
        </is>
      </c>
      <c r="K160" t="inlineStr">
        <is>
          <t>Tomasz Bujalski</t>
        </is>
      </c>
      <c r="L160" t="inlineStr">
        <is>
          <t> </t>
        </is>
      </c>
      <c r="M160" t="inlineStr">
        <is>
          <t>Izba Przyjęć</t>
        </is>
      </c>
      <c r="N160" t="inlineStr">
        <is>
          <t>Izba Przyjęć</t>
        </is>
      </c>
      <c r="O160" t="inlineStr">
        <is>
          <t>Wojciech Wawszczyk</t>
        </is>
      </c>
      <c r="P160" t="n">
        <v>4308774</v>
      </c>
      <c r="Q160" t="inlineStr">
        <is>
          <t>I64</t>
        </is>
      </c>
      <c r="R160" t="inlineStr">
        <is>
          <t>klodzko</t>
        </is>
      </c>
      <c r="S160" s="1" t="n">
        <v>46156.23333333333</v>
      </c>
      <c r="T160" t="n">
        <v>0</v>
      </c>
      <c r="U160" t="inlineStr">
        <is>
          <t>BUJALSKI TOMASZ</t>
        </is>
      </c>
    </row>
    <row r="161">
      <c r="A161" s="1" t="n">
        <v>46156</v>
      </c>
      <c r="B161" t="n">
        <v>267261394</v>
      </c>
      <c r="C161" t="inlineStr">
        <is>
          <t>Izabela Zielińska</t>
        </is>
      </c>
      <c r="D161" t="n">
        <v>9222505627</v>
      </c>
      <c r="E161" s="1" t="n">
        <v>46156</v>
      </c>
      <c r="F161" t="inlineStr">
        <is>
          <t>CITO-CITO</t>
        </is>
      </c>
      <c r="G161" t="inlineStr">
        <is>
          <t>TK</t>
        </is>
      </c>
      <c r="H161" t="inlineStr">
        <is>
          <t>TK głowy podstawowe</t>
        </is>
      </c>
      <c r="I161" t="inlineStr">
        <is>
          <t>TK Onkologia</t>
        </is>
      </c>
      <c r="J161" t="inlineStr">
        <is>
          <t>1 okolica anatomiczna</t>
        </is>
      </c>
      <c r="K161" t="inlineStr">
        <is>
          <t>Tomasz Bujalski</t>
        </is>
      </c>
      <c r="L161" t="inlineStr">
        <is>
          <t> </t>
        </is>
      </c>
      <c r="M161" t="inlineStr">
        <is>
          <t>Izba Przyjęć</t>
        </is>
      </c>
      <c r="N161" t="inlineStr">
        <is>
          <t>Izba Przyjęć</t>
        </is>
      </c>
      <c r="O161" t="inlineStr">
        <is>
          <t>Antonina Zhyvytska</t>
        </is>
      </c>
      <c r="P161" t="n">
        <v>4703513</v>
      </c>
      <c r="Q161" t="inlineStr">
        <is>
          <t>S09.9</t>
        </is>
      </c>
      <c r="R161" t="inlineStr">
        <is>
          <t>klodzko</t>
        </is>
      </c>
      <c r="S161" s="1" t="n">
        <v>46156.35972222222</v>
      </c>
      <c r="T161" t="n">
        <v>0</v>
      </c>
      <c r="U161" t="inlineStr">
        <is>
          <t>BUJALSKI TOMASZ</t>
        </is>
      </c>
    </row>
    <row r="162">
      <c r="A162" s="1" t="n">
        <v>46156</v>
      </c>
      <c r="B162" t="n">
        <v>267265357</v>
      </c>
      <c r="C162" t="inlineStr">
        <is>
          <t>Grażyna Mankiewicz</t>
        </is>
      </c>
      <c r="D162" t="n">
        <v>61100907288</v>
      </c>
      <c r="E162" s="1" t="n">
        <v>46156</v>
      </c>
      <c r="F162" t="inlineStr">
        <is>
          <t>CITO-CITO</t>
        </is>
      </c>
      <c r="G162" t="inlineStr">
        <is>
          <t>TK</t>
        </is>
      </c>
      <c r="H162" t="inlineStr">
        <is>
          <t>TK głowy tylko z kontrastem</t>
        </is>
      </c>
      <c r="I162" t="inlineStr">
        <is>
          <t>TK Zwykłe</t>
        </is>
      </c>
      <c r="J162" t="inlineStr">
        <is>
          <t>1 okolica anatomiczna</t>
        </is>
      </c>
      <c r="K162" t="inlineStr">
        <is>
          <t>Tomasz Bujalski</t>
        </is>
      </c>
      <c r="L162" t="inlineStr">
        <is>
          <t> </t>
        </is>
      </c>
      <c r="M162" t="inlineStr">
        <is>
          <t>Izba Przyjęć</t>
        </is>
      </c>
      <c r="N162" t="inlineStr">
        <is>
          <t>Izba Przyjęć</t>
        </is>
      </c>
      <c r="O162" t="inlineStr">
        <is>
          <t>Wojciech Wawszczyk</t>
        </is>
      </c>
      <c r="P162" t="n">
        <v>4308774</v>
      </c>
      <c r="Q162" t="inlineStr">
        <is>
          <t>I64</t>
        </is>
      </c>
      <c r="R162" t="inlineStr">
        <is>
          <t>klodzko</t>
        </is>
      </c>
      <c r="S162" s="1" t="n">
        <v>46156.34027777778</v>
      </c>
      <c r="T162" t="n">
        <v>0</v>
      </c>
      <c r="U162" t="inlineStr">
        <is>
          <t>BUJALSKI TOMASZ</t>
        </is>
      </c>
    </row>
    <row r="163">
      <c r="A163" s="1" t="n">
        <v>46157</v>
      </c>
      <c r="B163" t="n">
        <v>267335219</v>
      </c>
      <c r="C163" t="inlineStr">
        <is>
          <t>Grażyna Mankiewicz</t>
        </is>
      </c>
      <c r="D163" t="n">
        <v>61100907288</v>
      </c>
      <c r="E163" s="1" t="n">
        <v>46157</v>
      </c>
      <c r="F163" t="inlineStr">
        <is>
          <t>Pilny</t>
        </is>
      </c>
      <c r="G163" t="inlineStr">
        <is>
          <t>TK</t>
        </is>
      </c>
      <c r="H163" t="inlineStr">
        <is>
          <t>TK klatki piersiowej bez i ze wzmocnieniem kontrastowym</t>
        </is>
      </c>
      <c r="I163" t="inlineStr">
        <is>
          <t>TK Onkologia</t>
        </is>
      </c>
      <c r="J163" t="inlineStr">
        <is>
          <t>1 okolica anatomiczna</t>
        </is>
      </c>
      <c r="K163" t="inlineStr">
        <is>
          <t>Tomasz Bujalski</t>
        </is>
      </c>
      <c r="L163" t="inlineStr">
        <is>
          <t> </t>
        </is>
      </c>
      <c r="M163" t="inlineStr">
        <is>
          <t>Oddział Chorób Wewnętrznych</t>
        </is>
      </c>
      <c r="N163" t="inlineStr">
        <is>
          <t>Oddział Chorób Wewnętrznych</t>
        </is>
      </c>
      <c r="O163" t="inlineStr">
        <is>
          <t>Andrzej Marek KORNAFEL</t>
        </is>
      </c>
      <c r="P163" t="n">
        <v>6475398</v>
      </c>
      <c r="Q163" t="inlineStr">
        <is>
          <t>D43.2</t>
        </is>
      </c>
      <c r="R163" t="inlineStr">
        <is>
          <t>klodzko</t>
        </is>
      </c>
      <c r="S163" s="1" t="n">
        <v>46157.35208333333</v>
      </c>
      <c r="T163" t="n">
        <v>0</v>
      </c>
      <c r="U163" t="inlineStr">
        <is>
          <t>BUJALSKI TOMASZ</t>
        </is>
      </c>
    </row>
    <row r="164">
      <c r="A164" s="1" t="n">
        <v>46160</v>
      </c>
      <c r="B164" t="n">
        <v>267538313</v>
      </c>
      <c r="C164" t="inlineStr">
        <is>
          <t>Alfreda Cichowska</t>
        </is>
      </c>
      <c r="D164" t="n">
        <v>40020101464</v>
      </c>
      <c r="E164" s="1" t="n">
        <v>46160</v>
      </c>
      <c r="F164" t="inlineStr">
        <is>
          <t>CITO-CITO</t>
        </is>
      </c>
      <c r="G164" t="inlineStr">
        <is>
          <t>TK</t>
        </is>
      </c>
      <c r="H164" t="inlineStr">
        <is>
          <t>TK głowy podstawowe</t>
        </is>
      </c>
      <c r="I164" t="inlineStr">
        <is>
          <t>TK Onkologia</t>
        </is>
      </c>
      <c r="J164" t="inlineStr">
        <is>
          <t>1 okolica anatomiczna</t>
        </is>
      </c>
      <c r="K164" t="inlineStr">
        <is>
          <t>Tomasz Bujalski</t>
        </is>
      </c>
      <c r="L164" t="inlineStr">
        <is>
          <t> </t>
        </is>
      </c>
      <c r="M164" t="inlineStr">
        <is>
          <t>Izba Przyjęć</t>
        </is>
      </c>
      <c r="N164" t="inlineStr">
        <is>
          <t>Izba Przyjęć</t>
        </is>
      </c>
      <c r="O164" t="inlineStr">
        <is>
          <t>Natalya Batyi</t>
        </is>
      </c>
      <c r="P164" t="n">
        <v>4374347</v>
      </c>
      <c r="Q164" t="inlineStr">
        <is>
          <t>I67.8</t>
        </is>
      </c>
      <c r="R164" t="inlineStr">
        <is>
          <t>klodzko</t>
        </is>
      </c>
      <c r="S164" s="1" t="n">
        <v>46160.40625</v>
      </c>
      <c r="T164" t="n">
        <v>0</v>
      </c>
      <c r="U164" t="inlineStr">
        <is>
          <t>BUJALSKI TOMASZ</t>
        </is>
      </c>
    </row>
    <row r="165">
      <c r="A165" s="1" t="n">
        <v>46160</v>
      </c>
      <c r="B165" t="n">
        <v>267538534</v>
      </c>
      <c r="C165" t="inlineStr">
        <is>
          <t>Mieczysław Wrona</t>
        </is>
      </c>
      <c r="D165" t="n">
        <v>67041604934</v>
      </c>
      <c r="E165" s="1" t="n">
        <v>46160</v>
      </c>
      <c r="F165" t="inlineStr">
        <is>
          <t>CITO-CITO</t>
        </is>
      </c>
      <c r="G165" t="inlineStr">
        <is>
          <t>TK</t>
        </is>
      </c>
      <c r="H165" t="inlineStr">
        <is>
          <t>TK głowy podstawowe</t>
        </is>
      </c>
      <c r="I165" t="inlineStr">
        <is>
          <t>TK Onkologia</t>
        </is>
      </c>
      <c r="J165" t="inlineStr">
        <is>
          <t>1 okolica anatomiczna</t>
        </is>
      </c>
      <c r="K165" t="inlineStr">
        <is>
          <t>Tomasz Bujalski</t>
        </is>
      </c>
      <c r="L165" t="inlineStr">
        <is>
          <t> </t>
        </is>
      </c>
      <c r="M165" t="inlineStr">
        <is>
          <t>Oddział Psychiatryczny Ogólny w CZP</t>
        </is>
      </c>
      <c r="N165" t="inlineStr">
        <is>
          <t>Oddział Psychiatryczny Ogólny w CZP</t>
        </is>
      </c>
      <c r="O165" t="inlineStr">
        <is>
          <t>Paweł Chludziński</t>
        </is>
      </c>
      <c r="P165" t="n">
        <v>1417757</v>
      </c>
      <c r="Q165" t="inlineStr">
        <is>
          <t>F10.4</t>
        </is>
      </c>
      <c r="R165" t="inlineStr">
        <is>
          <t>klodzko</t>
        </is>
      </c>
      <c r="S165" s="1" t="n">
        <v>46160.45625</v>
      </c>
      <c r="T165" t="n">
        <v>1</v>
      </c>
      <c r="U165" t="inlineStr">
        <is>
          <t>BUJALSKI TOMASZ</t>
        </is>
      </c>
    </row>
    <row r="166">
      <c r="A166" s="1" t="n">
        <v>46160</v>
      </c>
      <c r="B166" t="n">
        <v>267566090</v>
      </c>
      <c r="C166" t="inlineStr">
        <is>
          <t>Artur Kudrzeński</t>
        </is>
      </c>
      <c r="D166" t="n">
        <v>71060509758</v>
      </c>
      <c r="E166" s="1" t="n">
        <v>46160</v>
      </c>
      <c r="F166" t="inlineStr">
        <is>
          <t>CITO-CITO</t>
        </is>
      </c>
      <c r="G166" t="inlineStr">
        <is>
          <t>TK</t>
        </is>
      </c>
      <c r="H166" t="inlineStr">
        <is>
          <t>TK jamy brzusznej z miednica</t>
        </is>
      </c>
      <c r="I166" t="inlineStr">
        <is>
          <t>TK Zwykłe</t>
        </is>
      </c>
      <c r="J166" t="inlineStr">
        <is>
          <t>2 okolice anatomiczne</t>
        </is>
      </c>
      <c r="K166" t="inlineStr">
        <is>
          <t>Tomasz Bujalski</t>
        </is>
      </c>
      <c r="L166" t="inlineStr">
        <is>
          <t> </t>
        </is>
      </c>
      <c r="M166" t="inlineStr">
        <is>
          <t>Izba Przyjęć</t>
        </is>
      </c>
      <c r="N166" t="inlineStr">
        <is>
          <t>Izba Przyjęć</t>
        </is>
      </c>
      <c r="O166" t="inlineStr">
        <is>
          <t>MAGDALENA WYTYCZAK-PARTYKA</t>
        </is>
      </c>
      <c r="P166" t="n">
        <v>3477255</v>
      </c>
      <c r="Q166" t="inlineStr">
        <is>
          <t>R10.4</t>
        </is>
      </c>
      <c r="R166" t="inlineStr">
        <is>
          <t>klodzko</t>
        </is>
      </c>
      <c r="S166" s="1" t="n">
        <v>46160.62986111111</v>
      </c>
      <c r="T166" t="n">
        <v>0</v>
      </c>
      <c r="U166" t="inlineStr">
        <is>
          <t>BUJALSKI TOMASZ</t>
        </is>
      </c>
    </row>
    <row r="167">
      <c r="A167" s="1" t="n">
        <v>46160</v>
      </c>
      <c r="B167" t="n">
        <v>267566591</v>
      </c>
      <c r="C167" t="inlineStr">
        <is>
          <t>Ewelina Groń</t>
        </is>
      </c>
      <c r="D167" t="n">
        <v>86010813342</v>
      </c>
      <c r="E167" s="1" t="n">
        <v>46160</v>
      </c>
      <c r="F167" t="inlineStr">
        <is>
          <t>CITO-CITO</t>
        </is>
      </c>
      <c r="G167" t="inlineStr">
        <is>
          <t>TK</t>
        </is>
      </c>
      <c r="H167" t="inlineStr">
        <is>
          <t>TK głowy podstawowe</t>
        </is>
      </c>
      <c r="I167" t="inlineStr">
        <is>
          <t>TK Onkologia</t>
        </is>
      </c>
      <c r="J167" t="inlineStr">
        <is>
          <t>1 okolica anatomiczna</t>
        </is>
      </c>
      <c r="K167" t="inlineStr">
        <is>
          <t>Tomasz Bujalski</t>
        </is>
      </c>
      <c r="L167" t="inlineStr">
        <is>
          <t> </t>
        </is>
      </c>
      <c r="M167" t="inlineStr">
        <is>
          <t>Izba Przyjęć</t>
        </is>
      </c>
      <c r="N167" t="inlineStr">
        <is>
          <t>Izba Przyjęć</t>
        </is>
      </c>
      <c r="O167" t="inlineStr">
        <is>
          <t>MAGDALENA WYTYCZAK-PARTYKA</t>
        </is>
      </c>
      <c r="P167" t="n">
        <v>3477255</v>
      </c>
      <c r="Q167" t="inlineStr">
        <is>
          <t>I64</t>
        </is>
      </c>
      <c r="R167" t="inlineStr">
        <is>
          <t>klodzko</t>
        </is>
      </c>
      <c r="S167" s="1" t="n">
        <v>46160.64097222222</v>
      </c>
      <c r="T167" t="n">
        <v>0</v>
      </c>
      <c r="U167" t="inlineStr">
        <is>
          <t>BUJALSKI TOMASZ</t>
        </is>
      </c>
    </row>
    <row r="168">
      <c r="A168" s="1" t="n">
        <v>46161</v>
      </c>
      <c r="B168" t="n">
        <v>267644998</v>
      </c>
      <c r="C168" t="inlineStr">
        <is>
          <t>Dagmara Maślanka</t>
        </is>
      </c>
      <c r="D168" t="n">
        <v>85012618023</v>
      </c>
      <c r="E168" s="1" t="n">
        <v>46161</v>
      </c>
      <c r="F168" t="inlineStr">
        <is>
          <t>CITO-CITO</t>
        </is>
      </c>
      <c r="G168" t="inlineStr">
        <is>
          <t>TK</t>
        </is>
      </c>
      <c r="H168" t="inlineStr">
        <is>
          <t>TK głowy podstawowe</t>
        </is>
      </c>
      <c r="I168" t="inlineStr">
        <is>
          <t>TK Onkologia</t>
        </is>
      </c>
      <c r="J168" t="inlineStr">
        <is>
          <t>1 okolica anatomiczna</t>
        </is>
      </c>
      <c r="K168" t="inlineStr">
        <is>
          <t>Tomasz Bujalski</t>
        </is>
      </c>
      <c r="L168" t="inlineStr">
        <is>
          <t> </t>
        </is>
      </c>
      <c r="M168" t="inlineStr">
        <is>
          <t>Izba Przyjęć</t>
        </is>
      </c>
      <c r="N168" t="inlineStr">
        <is>
          <t>Izba Przyjęć</t>
        </is>
      </c>
      <c r="O168" t="inlineStr">
        <is>
          <t>Grażyna Magdalena CHYŻEWSKA</t>
        </is>
      </c>
      <c r="P168" t="n">
        <v>6179737</v>
      </c>
      <c r="Q168" t="inlineStr">
        <is>
          <t>R42</t>
        </is>
      </c>
      <c r="R168" t="inlineStr">
        <is>
          <t>klodzko</t>
        </is>
      </c>
      <c r="S168" s="1" t="n">
        <v>46161.38888888889</v>
      </c>
      <c r="T168" t="n">
        <v>0</v>
      </c>
      <c r="U168" t="inlineStr">
        <is>
          <t>BUJALSKI TOMASZ</t>
        </is>
      </c>
    </row>
    <row r="169">
      <c r="A169" s="1" t="n">
        <v>46162</v>
      </c>
      <c r="B169" t="n">
        <v>267792123</v>
      </c>
      <c r="C169" t="inlineStr">
        <is>
          <t>Romana Zagórska</t>
        </is>
      </c>
      <c r="D169" t="n">
        <v>37052211304</v>
      </c>
      <c r="E169" s="1" t="n">
        <v>46162</v>
      </c>
      <c r="F169" t="inlineStr">
        <is>
          <t>CITO-CITO</t>
        </is>
      </c>
      <c r="G169" t="inlineStr">
        <is>
          <t>TK</t>
        </is>
      </c>
      <c r="H169" t="inlineStr">
        <is>
          <t>TK głowy podstawowe</t>
        </is>
      </c>
      <c r="I169" t="inlineStr">
        <is>
          <t>TK Onkologia</t>
        </is>
      </c>
      <c r="J169" t="inlineStr">
        <is>
          <t>1 okolica anatomiczna</t>
        </is>
      </c>
      <c r="K169" t="inlineStr">
        <is>
          <t>Tomasz Bujalski</t>
        </is>
      </c>
      <c r="L169" t="inlineStr">
        <is>
          <t> </t>
        </is>
      </c>
      <c r="M169" t="inlineStr">
        <is>
          <t>Izba Przyjęć</t>
        </is>
      </c>
      <c r="N169" t="inlineStr">
        <is>
          <t>Izba Przyjęć</t>
        </is>
      </c>
      <c r="O169" t="inlineStr">
        <is>
          <t>Wojciech Wawszczyk</t>
        </is>
      </c>
      <c r="P169" t="n">
        <v>4308774</v>
      </c>
      <c r="Q169" t="inlineStr">
        <is>
          <t>I64</t>
        </is>
      </c>
      <c r="R169" t="inlineStr">
        <is>
          <t>klodzko</t>
        </is>
      </c>
      <c r="S169" s="1" t="n">
        <v>46162.53472222222</v>
      </c>
      <c r="T169" t="n">
        <v>0</v>
      </c>
      <c r="U169" t="inlineStr">
        <is>
          <t>BUJALSKI TOMASZ</t>
        </is>
      </c>
    </row>
    <row r="170">
      <c r="A170" s="1" t="n">
        <v>46163</v>
      </c>
      <c r="B170" t="n">
        <v>267850860</v>
      </c>
      <c r="C170" t="inlineStr">
        <is>
          <t>Otolia Sadowska</t>
        </is>
      </c>
      <c r="D170" t="n">
        <v>50011806304</v>
      </c>
      <c r="E170" s="1" t="n">
        <v>46163</v>
      </c>
      <c r="F170" t="inlineStr">
        <is>
          <t>CITO-CITO</t>
        </is>
      </c>
      <c r="G170" t="inlineStr">
        <is>
          <t>TK</t>
        </is>
      </c>
      <c r="H170" t="inlineStr">
        <is>
          <t>TK głowy podstawowe</t>
        </is>
      </c>
      <c r="I170" t="inlineStr">
        <is>
          <t>TK Onkologia</t>
        </is>
      </c>
      <c r="J170" t="inlineStr">
        <is>
          <t>1 okolica anatomiczna</t>
        </is>
      </c>
      <c r="K170" t="inlineStr">
        <is>
          <t>Tomasz Bujalski</t>
        </is>
      </c>
      <c r="L170" t="inlineStr">
        <is>
          <t> </t>
        </is>
      </c>
      <c r="M170" t="inlineStr">
        <is>
          <t>Izba Przyjęć</t>
        </is>
      </c>
      <c r="N170" t="inlineStr">
        <is>
          <t>Izba Przyjęć</t>
        </is>
      </c>
      <c r="O170" t="inlineStr">
        <is>
          <t>Grażyna Magdalena CHYŻEWSKA</t>
        </is>
      </c>
      <c r="P170" t="n">
        <v>6179737</v>
      </c>
      <c r="Q170" t="inlineStr">
        <is>
          <t>I64</t>
        </is>
      </c>
      <c r="R170" t="inlineStr">
        <is>
          <t>klodzko</t>
        </is>
      </c>
      <c r="S170" s="1" t="n">
        <v>46163.375</v>
      </c>
      <c r="T170" t="n">
        <v>0</v>
      </c>
      <c r="U170" t="inlineStr">
        <is>
          <t>BUJALSKI TOMASZ</t>
        </is>
      </c>
    </row>
    <row r="171">
      <c r="A171" s="1" t="n">
        <v>46167</v>
      </c>
      <c r="B171" t="n">
        <v>268089306</v>
      </c>
      <c r="C171" t="inlineStr">
        <is>
          <t>Janina Żygadło</t>
        </is>
      </c>
      <c r="D171" t="n">
        <v>60032020766</v>
      </c>
      <c r="E171" s="1" t="n">
        <v>46167</v>
      </c>
      <c r="F171" t="inlineStr">
        <is>
          <t>CITO-CITO</t>
        </is>
      </c>
      <c r="G171" t="inlineStr">
        <is>
          <t>TK</t>
        </is>
      </c>
      <c r="H171" t="inlineStr">
        <is>
          <t>TK głowy podstawowe</t>
        </is>
      </c>
      <c r="I171" t="inlineStr">
        <is>
          <t>TK Onkologia</t>
        </is>
      </c>
      <c r="J171" t="inlineStr">
        <is>
          <t>1 okolica anatomiczna</t>
        </is>
      </c>
      <c r="K171" t="inlineStr">
        <is>
          <t>Tomasz Bujalski</t>
        </is>
      </c>
      <c r="L171" t="inlineStr">
        <is>
          <t> </t>
        </is>
      </c>
      <c r="M171" t="inlineStr">
        <is>
          <t>Izba Przyjęć</t>
        </is>
      </c>
      <c r="N171" t="inlineStr">
        <is>
          <t>Izba Przyjęć</t>
        </is>
      </c>
      <c r="O171" t="inlineStr">
        <is>
          <t>Wojciech Wawszczyk</t>
        </is>
      </c>
      <c r="P171" t="n">
        <v>4308774</v>
      </c>
      <c r="Q171" t="inlineStr">
        <is>
          <t>I64</t>
        </is>
      </c>
      <c r="R171" t="inlineStr">
        <is>
          <t>klodzko</t>
        </is>
      </c>
      <c r="S171" s="1" t="n">
        <v>46167.25</v>
      </c>
      <c r="T171" t="n">
        <v>0</v>
      </c>
      <c r="U171" t="inlineStr">
        <is>
          <t>BUJALSKI TOMASZ</t>
        </is>
      </c>
    </row>
    <row r="172">
      <c r="A172" s="1" t="n">
        <v>46167</v>
      </c>
      <c r="B172" t="n">
        <v>268091010</v>
      </c>
      <c r="C172" t="inlineStr">
        <is>
          <t>Krystyna Chruszcz</t>
        </is>
      </c>
      <c r="D172" t="n">
        <v>54013110360</v>
      </c>
      <c r="E172" s="1" t="n">
        <v>46167</v>
      </c>
      <c r="F172" t="inlineStr">
        <is>
          <t>CITO-CITO</t>
        </is>
      </c>
      <c r="G172" t="inlineStr">
        <is>
          <t>TK</t>
        </is>
      </c>
      <c r="H172" t="inlineStr">
        <is>
          <t>TK głowy podstawowe</t>
        </is>
      </c>
      <c r="I172" t="inlineStr">
        <is>
          <t>TK Onkologia</t>
        </is>
      </c>
      <c r="J172" t="inlineStr">
        <is>
          <t>1 okolica anatomiczna</t>
        </is>
      </c>
      <c r="K172" t="inlineStr">
        <is>
          <t>Tomasz Bujalski</t>
        </is>
      </c>
      <c r="L172" t="inlineStr">
        <is>
          <t> </t>
        </is>
      </c>
      <c r="M172" t="inlineStr">
        <is>
          <t>Izba Przyjęć</t>
        </is>
      </c>
      <c r="N172" t="inlineStr">
        <is>
          <t>Izba Przyjęć</t>
        </is>
      </c>
      <c r="O172" t="inlineStr">
        <is>
          <t>Wojciech Wawszczyk</t>
        </is>
      </c>
      <c r="P172" t="n">
        <v>4308774</v>
      </c>
      <c r="Q172" t="inlineStr">
        <is>
          <t>R55</t>
        </is>
      </c>
      <c r="R172" t="inlineStr">
        <is>
          <t>klodzko</t>
        </is>
      </c>
      <c r="S172" s="1" t="n">
        <v>46167.26666666667</v>
      </c>
      <c r="T172" t="n">
        <v>0</v>
      </c>
      <c r="U172" t="inlineStr">
        <is>
          <t>BUJALSKI TOMASZ</t>
        </is>
      </c>
    </row>
    <row r="173">
      <c r="A173" s="1" t="n">
        <v>46167</v>
      </c>
      <c r="B173" t="n">
        <v>268091219</v>
      </c>
      <c r="C173" t="inlineStr">
        <is>
          <t>Krystyna Chruszcz</t>
        </is>
      </c>
      <c r="D173" t="n">
        <v>54013110360</v>
      </c>
      <c r="E173" s="1" t="n">
        <v>46167</v>
      </c>
      <c r="F173" t="inlineStr">
        <is>
          <t>CITO-CITO</t>
        </is>
      </c>
      <c r="G173" t="inlineStr">
        <is>
          <t>TK</t>
        </is>
      </c>
      <c r="H173" t="inlineStr">
        <is>
          <t>TK angio jamy brzusznej</t>
        </is>
      </c>
      <c r="I173" t="inlineStr">
        <is>
          <t>TK Angiografia</t>
        </is>
      </c>
      <c r="J173" t="inlineStr">
        <is>
          <t>2 okolice anatomiczne</t>
        </is>
      </c>
      <c r="K173" t="inlineStr">
        <is>
          <t>Tomasz Bujalski</t>
        </is>
      </c>
      <c r="L173" t="inlineStr">
        <is>
          <t> </t>
        </is>
      </c>
      <c r="M173" t="inlineStr">
        <is>
          <t>Izba Przyjęć</t>
        </is>
      </c>
      <c r="N173" t="inlineStr">
        <is>
          <t>Izba Przyjęć</t>
        </is>
      </c>
      <c r="O173" t="inlineStr">
        <is>
          <t>Wojciech Wawszczyk</t>
        </is>
      </c>
      <c r="P173" t="n">
        <v>4308774</v>
      </c>
      <c r="Q173" t="inlineStr">
        <is>
          <t>R55</t>
        </is>
      </c>
      <c r="R173" t="inlineStr">
        <is>
          <t>klodzko</t>
        </is>
      </c>
      <c r="S173" s="1" t="n">
        <v>46167.28263888889</v>
      </c>
      <c r="T173" t="n">
        <v>0</v>
      </c>
      <c r="U173" t="inlineStr">
        <is>
          <t>BUJALSKI TOMASZ</t>
        </is>
      </c>
    </row>
    <row r="174">
      <c r="A174" s="1" t="n">
        <v>46168</v>
      </c>
      <c r="B174" t="n">
        <v>268148624</v>
      </c>
      <c r="C174" t="inlineStr">
        <is>
          <t>Szymon Tkaczewski</t>
        </is>
      </c>
      <c r="D174" t="n">
        <v>15241012558</v>
      </c>
      <c r="E174" s="1" t="n">
        <v>46168</v>
      </c>
      <c r="F174" t="inlineStr">
        <is>
          <t>Planowy</t>
        </is>
      </c>
      <c r="G174" t="inlineStr">
        <is>
          <t>MR</t>
        </is>
      </c>
      <c r="H174" t="inlineStr">
        <is>
          <t>MR głowy bez wzmocnienia kontrastowego</t>
        </is>
      </c>
      <c r="I174" t="inlineStr">
        <is>
          <t>MR Neurologia</t>
        </is>
      </c>
      <c r="J174" t="inlineStr">
        <is>
          <t>1 okolica anatomiczna</t>
        </is>
      </c>
      <c r="K174" t="inlineStr">
        <is>
          <t>Tomasz Bujalski</t>
        </is>
      </c>
      <c r="L174" t="inlineStr">
        <is>
          <t> </t>
        </is>
      </c>
      <c r="M174" t="inlineStr">
        <is>
          <t>Oddział Pediatryczny</t>
        </is>
      </c>
      <c r="N174" t="inlineStr">
        <is>
          <t>Oddział Pediatryczny</t>
        </is>
      </c>
      <c r="O174" t="inlineStr">
        <is>
          <t>Joanna Bokun</t>
        </is>
      </c>
      <c r="P174" t="n">
        <v>3845639</v>
      </c>
      <c r="Q174" t="inlineStr">
        <is>
          <t>R51</t>
        </is>
      </c>
      <c r="R174" t="inlineStr">
        <is>
          <t>klodzko</t>
        </is>
      </c>
      <c r="S174" s="1" t="n">
        <v>46168.33263888889</v>
      </c>
      <c r="T174" t="n">
        <v>1</v>
      </c>
      <c r="U174" t="inlineStr">
        <is>
          <t>BUJALSKI TOMASZ</t>
        </is>
      </c>
    </row>
    <row r="175">
      <c r="A175" s="1" t="n">
        <v>46168</v>
      </c>
      <c r="B175" t="n">
        <v>268148663</v>
      </c>
      <c r="C175" t="inlineStr">
        <is>
          <t>Szymon Tkaczewski</t>
        </is>
      </c>
      <c r="D175" t="n">
        <v>15241012558</v>
      </c>
      <c r="E175" s="1" t="n">
        <v>46168</v>
      </c>
      <c r="F175" t="inlineStr">
        <is>
          <t>Planowy</t>
        </is>
      </c>
      <c r="G175" t="inlineStr">
        <is>
          <t>MR</t>
        </is>
      </c>
      <c r="H175" t="inlineStr">
        <is>
          <t>MR angio głowy</t>
        </is>
      </c>
      <c r="I175" t="inlineStr">
        <is>
          <t>MR Angiografia</t>
        </is>
      </c>
      <c r="J175" t="inlineStr">
        <is>
          <t>1 okolica anatomiczna</t>
        </is>
      </c>
      <c r="K175" t="inlineStr">
        <is>
          <t>Tomasz Bujalski</t>
        </is>
      </c>
      <c r="L175" t="inlineStr">
        <is>
          <t> </t>
        </is>
      </c>
      <c r="M175" t="inlineStr">
        <is>
          <t>Oddział Pediatryczny</t>
        </is>
      </c>
      <c r="N175" t="inlineStr">
        <is>
          <t>Oddział Pediatryczny</t>
        </is>
      </c>
      <c r="O175" t="inlineStr">
        <is>
          <t>Joanna Bokun</t>
        </is>
      </c>
      <c r="P175" t="n">
        <v>3845639</v>
      </c>
      <c r="Q175" t="inlineStr">
        <is>
          <t>R51</t>
        </is>
      </c>
      <c r="R175" t="inlineStr">
        <is>
          <t>klodzko</t>
        </is>
      </c>
      <c r="S175" s="1" t="n">
        <v>46168.33125</v>
      </c>
      <c r="T175" t="n">
        <v>0</v>
      </c>
      <c r="U175" t="inlineStr">
        <is>
          <t>BUJALSKI TOMASZ</t>
        </is>
      </c>
    </row>
    <row r="176">
      <c r="A176" s="1" t="n">
        <v>46169</v>
      </c>
      <c r="B176" t="n">
        <v>268340071</v>
      </c>
      <c r="C176" t="inlineStr">
        <is>
          <t>Michał Szkwarek</t>
        </is>
      </c>
      <c r="D176" t="n">
        <v>50061712493</v>
      </c>
      <c r="E176" s="1" t="n">
        <v>46169</v>
      </c>
      <c r="F176" t="inlineStr">
        <is>
          <t>CITO-CITO</t>
        </is>
      </c>
      <c r="G176" t="inlineStr">
        <is>
          <t>TK</t>
        </is>
      </c>
      <c r="H176" t="inlineStr">
        <is>
          <t>TK głowy podstawowe</t>
        </is>
      </c>
      <c r="I176" t="inlineStr">
        <is>
          <t>TK Onkologia</t>
        </is>
      </c>
      <c r="J176" t="inlineStr">
        <is>
          <t>1 okolica anatomiczna</t>
        </is>
      </c>
      <c r="K176" t="inlineStr">
        <is>
          <t>Tomasz Bujalski</t>
        </is>
      </c>
      <c r="L176" t="inlineStr">
        <is>
          <t> </t>
        </is>
      </c>
      <c r="M176" t="inlineStr">
        <is>
          <t>Izba Przyjęć</t>
        </is>
      </c>
      <c r="N176" t="inlineStr">
        <is>
          <t>Izba Przyjęć</t>
        </is>
      </c>
      <c r="O176" t="inlineStr">
        <is>
          <t>Wojciech Wawszczyk</t>
        </is>
      </c>
      <c r="P176" t="n">
        <v>4308774</v>
      </c>
      <c r="Q176" t="inlineStr">
        <is>
          <t>I64</t>
        </is>
      </c>
      <c r="R176" t="inlineStr">
        <is>
          <t>klodzko</t>
        </is>
      </c>
      <c r="S176" s="1" t="n">
        <v>46169.62986111111</v>
      </c>
      <c r="T176" t="n">
        <v>0</v>
      </c>
      <c r="U176" t="inlineStr">
        <is>
          <t>BUJALSKI TOMASZ</t>
        </is>
      </c>
    </row>
    <row r="177">
      <c r="A177" s="1" t="n">
        <v>46169</v>
      </c>
      <c r="B177" t="n">
        <v>268342564</v>
      </c>
      <c r="C177" t="inlineStr">
        <is>
          <t>KRYSTYNA ZDYB</t>
        </is>
      </c>
      <c r="D177" t="n">
        <v>54093015243</v>
      </c>
      <c r="E177" s="1" t="n">
        <v>46169</v>
      </c>
      <c r="F177" t="inlineStr">
        <is>
          <t>CITO-CITO</t>
        </is>
      </c>
      <c r="G177" t="inlineStr">
        <is>
          <t>TK</t>
        </is>
      </c>
      <c r="H177" t="inlineStr">
        <is>
          <t>TK głowy podstawowe</t>
        </is>
      </c>
      <c r="I177" t="inlineStr">
        <is>
          <t>TK Onkologia</t>
        </is>
      </c>
      <c r="J177" t="inlineStr">
        <is>
          <t>1 okolica anatomiczna</t>
        </is>
      </c>
      <c r="K177" t="inlineStr">
        <is>
          <t>Tomasz Bujalski</t>
        </is>
      </c>
      <c r="L177" t="inlineStr">
        <is>
          <t> </t>
        </is>
      </c>
      <c r="M177" t="inlineStr">
        <is>
          <t>Izba Przyjęć</t>
        </is>
      </c>
      <c r="N177" t="inlineStr">
        <is>
          <t>Izba Przyjęć</t>
        </is>
      </c>
      <c r="O177" t="inlineStr">
        <is>
          <t>Wojciech Wawszczyk</t>
        </is>
      </c>
      <c r="P177" t="n">
        <v>4308774</v>
      </c>
      <c r="Q177" t="inlineStr">
        <is>
          <t>H53.2</t>
        </is>
      </c>
      <c r="R177" t="inlineStr">
        <is>
          <t>klodzko</t>
        </is>
      </c>
      <c r="S177" s="1" t="n">
        <v>46169.65277777778</v>
      </c>
      <c r="T177" t="n">
        <v>0</v>
      </c>
      <c r="U177" t="inlineStr">
        <is>
          <t>BUJALSKI TOMASZ</t>
        </is>
      </c>
    </row>
    <row r="178">
      <c r="A178" s="1" t="n">
        <v>46170</v>
      </c>
      <c r="B178" t="n">
        <v>268306216</v>
      </c>
      <c r="C178" t="inlineStr">
        <is>
          <t>Halina Sosna</t>
        </is>
      </c>
      <c r="D178" t="n">
        <v>50012918268</v>
      </c>
      <c r="E178" s="1" t="n">
        <v>46170</v>
      </c>
      <c r="F178" t="inlineStr">
        <is>
          <t>Pilny</t>
        </is>
      </c>
      <c r="G178" t="inlineStr">
        <is>
          <t>TK</t>
        </is>
      </c>
      <c r="H178" t="inlineStr">
        <is>
          <t>TK głowy dwufazowe</t>
        </is>
      </c>
      <c r="I178" t="inlineStr">
        <is>
          <t>TK Angiografia</t>
        </is>
      </c>
      <c r="J178" t="inlineStr">
        <is>
          <t>1 okolica anatomiczna</t>
        </is>
      </c>
      <c r="K178" t="inlineStr">
        <is>
          <t>Tomasz Bujalski</t>
        </is>
      </c>
      <c r="L178" t="inlineStr">
        <is>
          <t> </t>
        </is>
      </c>
      <c r="M178" t="inlineStr">
        <is>
          <t>Oddział Neurologiczny z pododdziałem udarowym</t>
        </is>
      </c>
      <c r="N178" t="inlineStr">
        <is>
          <t>Oddział Neurologiczny z pododdziałem udarowym</t>
        </is>
      </c>
      <c r="O178" t="inlineStr">
        <is>
          <t>Ewa Małgorzata UJMA</t>
        </is>
      </c>
      <c r="P178" t="n">
        <v>5624650</v>
      </c>
      <c r="Q178" t="inlineStr">
        <is>
          <t>I63.3</t>
        </is>
      </c>
      <c r="R178" t="inlineStr">
        <is>
          <t>klodzko</t>
        </is>
      </c>
      <c r="S178" s="1" t="n">
        <v>46170.30972222222</v>
      </c>
      <c r="T178" t="n">
        <v>1</v>
      </c>
      <c r="U178" t="inlineStr">
        <is>
          <t>BUJALSKI TOMASZ</t>
        </is>
      </c>
    </row>
    <row r="179">
      <c r="A179" s="1" t="n">
        <v>46170</v>
      </c>
      <c r="B179" t="n">
        <v>268369844</v>
      </c>
      <c r="C179" t="inlineStr">
        <is>
          <t>EDWARD Żyźniowski</t>
        </is>
      </c>
      <c r="D179" t="n">
        <v>49122211574</v>
      </c>
      <c r="E179" s="1" t="n">
        <v>46170</v>
      </c>
      <c r="F179" t="inlineStr">
        <is>
          <t>Pilny</t>
        </is>
      </c>
      <c r="G179" t="inlineStr">
        <is>
          <t>TK</t>
        </is>
      </c>
      <c r="H179" t="inlineStr">
        <is>
          <t>TK jamy brzusznej i miednicy z kontrastem</t>
        </is>
      </c>
      <c r="I179" t="inlineStr">
        <is>
          <t>TK Zwykłe</t>
        </is>
      </c>
      <c r="J179" t="inlineStr">
        <is>
          <t>2 okolice anatomiczne</t>
        </is>
      </c>
      <c r="K179" t="inlineStr">
        <is>
          <t>Tomasz Bujalski</t>
        </is>
      </c>
      <c r="L179" t="inlineStr">
        <is>
          <t> </t>
        </is>
      </c>
      <c r="M179" t="inlineStr">
        <is>
          <t>Oddział Chorób Wewnętrznych</t>
        </is>
      </c>
      <c r="N179" t="inlineStr">
        <is>
          <t>Oddział Chorób Wewnętrznych</t>
        </is>
      </c>
      <c r="O179" t="inlineStr">
        <is>
          <t>Kordian Sobaszek</t>
        </is>
      </c>
      <c r="P179" t="n">
        <v>4166034</v>
      </c>
      <c r="Q179" t="inlineStr">
        <is>
          <t>K71.9</t>
        </is>
      </c>
      <c r="R179" t="inlineStr">
        <is>
          <t>klodzko</t>
        </is>
      </c>
      <c r="S179" s="1" t="n">
        <v>46170.33263888889</v>
      </c>
      <c r="T179" t="n">
        <v>2</v>
      </c>
      <c r="U179" t="inlineStr">
        <is>
          <t>BUJALSKI TOMASZ</t>
        </is>
      </c>
    </row>
    <row r="180">
      <c r="A180" s="1" t="n">
        <v>46170</v>
      </c>
      <c r="B180" t="n">
        <v>268401382</v>
      </c>
      <c r="C180" t="inlineStr">
        <is>
          <t>Jerzy Cienkosz</t>
        </is>
      </c>
      <c r="D180" t="n">
        <v>50030901156</v>
      </c>
      <c r="E180" s="1" t="n">
        <v>46170</v>
      </c>
      <c r="F180" t="inlineStr">
        <is>
          <t>CITO-CITO</t>
        </is>
      </c>
      <c r="G180" t="inlineStr">
        <is>
          <t>TK</t>
        </is>
      </c>
      <c r="H180" t="inlineStr">
        <is>
          <t>TK kręgosłupa szyjnego bez wzmocnienia kontrastowego</t>
        </is>
      </c>
      <c r="I180" t="inlineStr">
        <is>
          <t>TK Zwykłe</t>
        </is>
      </c>
      <c r="J180" t="inlineStr">
        <is>
          <t>1 okolica anatomiczna</t>
        </is>
      </c>
      <c r="K180" t="inlineStr">
        <is>
          <t>Tomasz Bujalski</t>
        </is>
      </c>
      <c r="L180" t="inlineStr">
        <is>
          <t> </t>
        </is>
      </c>
      <c r="M180" t="inlineStr">
        <is>
          <t>Izba Przyjęć</t>
        </is>
      </c>
      <c r="N180" t="inlineStr">
        <is>
          <t>Izba Przyjęć</t>
        </is>
      </c>
      <c r="O180" t="inlineStr">
        <is>
          <t>Grażyna Magdalena CHYŻEWSKA</t>
        </is>
      </c>
      <c r="P180" t="n">
        <v>6179737</v>
      </c>
      <c r="Q180" t="inlineStr">
        <is>
          <t>G55.1</t>
        </is>
      </c>
      <c r="R180" t="inlineStr">
        <is>
          <t>klodzko</t>
        </is>
      </c>
      <c r="S180" s="1" t="n">
        <v>46170.39166666667</v>
      </c>
      <c r="T180" t="n">
        <v>0</v>
      </c>
      <c r="U180" t="inlineStr">
        <is>
          <t>BUJALSKI TOMASZ</t>
        </is>
      </c>
    </row>
    <row r="181">
      <c r="A181" s="1" t="n">
        <v>46171</v>
      </c>
      <c r="B181" t="n">
        <v>268465305</v>
      </c>
      <c r="C181" t="inlineStr">
        <is>
          <t>Grażyna Parankiewicz</t>
        </is>
      </c>
      <c r="D181" t="n">
        <v>50070808662</v>
      </c>
      <c r="E181" s="1" t="n">
        <v>46171</v>
      </c>
      <c r="F181" t="inlineStr">
        <is>
          <t>CITO-CITO</t>
        </is>
      </c>
      <c r="G181" t="inlineStr">
        <is>
          <t>TK</t>
        </is>
      </c>
      <c r="H181" t="inlineStr">
        <is>
          <t>TK głowy podstawowe</t>
        </is>
      </c>
      <c r="I181" t="inlineStr">
        <is>
          <t>TK Onkologia</t>
        </is>
      </c>
      <c r="J181" t="inlineStr">
        <is>
          <t>1 okolica anatomiczna</t>
        </is>
      </c>
      <c r="K181" t="inlineStr">
        <is>
          <t>Tomasz Bujalski</t>
        </is>
      </c>
      <c r="L181" t="inlineStr">
        <is>
          <t> </t>
        </is>
      </c>
      <c r="M181" t="inlineStr">
        <is>
          <t>Izba Przyjęć</t>
        </is>
      </c>
      <c r="N181" t="inlineStr">
        <is>
          <t>Izba Przyjęć</t>
        </is>
      </c>
      <c r="O181" t="inlineStr">
        <is>
          <t>Wojciech Wawszczyk</t>
        </is>
      </c>
      <c r="P181" t="n">
        <v>4308774</v>
      </c>
      <c r="Q181" t="inlineStr">
        <is>
          <t>I64</t>
        </is>
      </c>
      <c r="R181" t="inlineStr">
        <is>
          <t>klodzko</t>
        </is>
      </c>
      <c r="S181" s="1" t="n">
        <v>46171.24652777778</v>
      </c>
      <c r="T181" t="n">
        <v>0</v>
      </c>
      <c r="U181" t="inlineStr">
        <is>
          <t>BUJALSKI TOMASZ</t>
        </is>
      </c>
    </row>
    <row r="182">
      <c r="A182" s="1" t="n">
        <v>46171</v>
      </c>
      <c r="B182" t="n">
        <v>268475168</v>
      </c>
      <c r="C182" t="inlineStr">
        <is>
          <t>Danuta Szewczyk</t>
        </is>
      </c>
      <c r="D182" t="n">
        <v>53051916262</v>
      </c>
      <c r="E182" s="1" t="n">
        <v>46171</v>
      </c>
      <c r="F182" t="inlineStr">
        <is>
          <t>CITO-CITO</t>
        </is>
      </c>
      <c r="G182" t="inlineStr">
        <is>
          <t>TK</t>
        </is>
      </c>
      <c r="H182" t="inlineStr">
        <is>
          <t>TK głowy dwufazowe</t>
        </is>
      </c>
      <c r="I182" t="inlineStr">
        <is>
          <t>TK Angiografia</t>
        </is>
      </c>
      <c r="J182" t="inlineStr">
        <is>
          <t>1 okolica anatomiczna</t>
        </is>
      </c>
      <c r="K182" t="inlineStr">
        <is>
          <t>Tomasz Bujalski</t>
        </is>
      </c>
      <c r="L182" t="inlineStr">
        <is>
          <t> </t>
        </is>
      </c>
      <c r="M182" t="inlineStr">
        <is>
          <t>Oddział Neurologiczny z pododdziałem udarowym</t>
        </is>
      </c>
      <c r="N182" t="inlineStr">
        <is>
          <t>Oddział Neurologiczny z pododdziałem udarowym</t>
        </is>
      </c>
      <c r="O182" t="inlineStr">
        <is>
          <t>Agnieszka Katarzyna Seroka</t>
        </is>
      </c>
      <c r="P182" t="n">
        <v>2591603</v>
      </c>
      <c r="Q182" t="inlineStr">
        <is>
          <t>I63.9</t>
        </is>
      </c>
      <c r="R182" t="inlineStr">
        <is>
          <t>klodzko</t>
        </is>
      </c>
      <c r="S182" s="1" t="n">
        <v>46171.41875</v>
      </c>
      <c r="T182" t="n">
        <v>1</v>
      </c>
      <c r="U182" t="inlineStr">
        <is>
          <t>BUJALSKI TOMASZ</t>
        </is>
      </c>
    </row>
    <row r="183">
      <c r="A183" s="1" t="n">
        <v>46172</v>
      </c>
      <c r="B183" t="n">
        <v>268565933</v>
      </c>
      <c r="C183" t="inlineStr">
        <is>
          <t>Zofia Bednarz</t>
        </is>
      </c>
      <c r="D183" t="n">
        <v>39052306789</v>
      </c>
      <c r="E183" s="1" t="n">
        <v>46172</v>
      </c>
      <c r="F183" t="inlineStr">
        <is>
          <t>CITO-CITO</t>
        </is>
      </c>
      <c r="G183" t="inlineStr">
        <is>
          <t>TK</t>
        </is>
      </c>
      <c r="H183" t="inlineStr">
        <is>
          <t>TK głowy podstawowe</t>
        </is>
      </c>
      <c r="I183" t="inlineStr">
        <is>
          <t>TK Onkologia</t>
        </is>
      </c>
      <c r="J183" t="inlineStr">
        <is>
          <t>1 okolica anatomiczna</t>
        </is>
      </c>
      <c r="K183" t="inlineStr">
        <is>
          <t>Tomasz Bujalski</t>
        </is>
      </c>
      <c r="L183" t="inlineStr">
        <is>
          <t> </t>
        </is>
      </c>
      <c r="M183" t="inlineStr">
        <is>
          <t>Izba Przyjęć</t>
        </is>
      </c>
      <c r="N183" t="inlineStr">
        <is>
          <t>Izba Przyjęć</t>
        </is>
      </c>
      <c r="O183" t="inlineStr">
        <is>
          <t>Natalya Batyi</t>
        </is>
      </c>
      <c r="P183" t="n">
        <v>4374347</v>
      </c>
      <c r="Q183" t="inlineStr">
        <is>
          <t>I64</t>
        </is>
      </c>
      <c r="R183" t="inlineStr">
        <is>
          <t>klodzko</t>
        </is>
      </c>
      <c r="S183" s="1" t="n">
        <v>46172.60902777778</v>
      </c>
      <c r="T183" t="n">
        <v>0</v>
      </c>
      <c r="U183" t="inlineStr">
        <is>
          <t>BUJALSKI TOMASZ</t>
        </is>
      </c>
    </row>
    <row r="184">
      <c r="A184" s="1" t="n">
        <v>46168</v>
      </c>
      <c r="B184" t="inlineStr">
        <is>
          <t>2039/CT2/2026</t>
        </is>
      </c>
      <c r="C184" t="inlineStr">
        <is>
          <t>LUKASZ STACHOWIAK</t>
        </is>
      </c>
      <c r="D184" t="n">
        <v>88080202637</v>
      </c>
      <c r="E184" s="1" t="n">
        <v>46168</v>
      </c>
      <c r="F184" t="inlineStr">
        <is>
          <t>Planowy</t>
        </is>
      </c>
      <c r="G184" t="inlineStr">
        <is>
          <t>TK</t>
        </is>
      </c>
      <c r="H184" t="inlineStr">
        <is>
          <t>TK kręgosłupa odc. Th</t>
        </is>
      </c>
      <c r="I184" t="inlineStr">
        <is>
          <t>TK Zwykłe</t>
        </is>
      </c>
      <c r="J184" t="inlineStr">
        <is>
          <t>1 okolica anatomiczna</t>
        </is>
      </c>
      <c r="K184" t="inlineStr">
        <is>
          <t>Tomasz Bujalski</t>
        </is>
      </c>
      <c r="L184" t="inlineStr">
        <is>
          <t> </t>
        </is>
      </c>
      <c r="M184" t="inlineStr">
        <is>
          <t> </t>
        </is>
      </c>
      <c r="N184" t="inlineStr">
        <is>
          <t> </t>
        </is>
      </c>
      <c r="O184" t="inlineStr">
        <is>
          <t> </t>
        </is>
      </c>
      <c r="P184" t="inlineStr">
        <is>
          <t> </t>
        </is>
      </c>
      <c r="Q184" t="inlineStr">
        <is>
          <t> </t>
        </is>
      </c>
      <c r="R184" t="inlineStr">
        <is>
          <t>komed</t>
        </is>
      </c>
      <c r="S184" s="1" t="n">
        <v>46168.27916666667</v>
      </c>
      <c r="T184" t="n">
        <v>0</v>
      </c>
      <c r="U184" t="inlineStr">
        <is>
          <t>BUJALSKI TOMASZ</t>
        </is>
      </c>
    </row>
    <row r="185">
      <c r="A185" s="1" t="n">
        <v>46171</v>
      </c>
      <c r="B185" t="inlineStr">
        <is>
          <t>2077/CT2/2026</t>
        </is>
      </c>
      <c r="C185" t="inlineStr">
        <is>
          <t>SLAWOMIR BORONSKI</t>
        </is>
      </c>
      <c r="D185" t="n">
        <v>65021004455</v>
      </c>
      <c r="E185" s="1" t="n">
        <v>46170</v>
      </c>
      <c r="F185" t="inlineStr">
        <is>
          <t>Planowy</t>
        </is>
      </c>
      <c r="G185" t="inlineStr">
        <is>
          <t>TK</t>
        </is>
      </c>
      <c r="H185" t="inlineStr">
        <is>
          <t>TK klatki piersiowej z kontrastem</t>
        </is>
      </c>
      <c r="I185" t="inlineStr">
        <is>
          <t>TK Onkologia</t>
        </is>
      </c>
      <c r="J185" t="inlineStr">
        <is>
          <t>1 okolica anatomiczna</t>
        </is>
      </c>
      <c r="K185" t="inlineStr">
        <is>
          <t>Tomasz Bujalski</t>
        </is>
      </c>
      <c r="L185" t="inlineStr">
        <is>
          <t> </t>
        </is>
      </c>
      <c r="M185" t="inlineStr">
        <is>
          <t> </t>
        </is>
      </c>
      <c r="N185" t="inlineStr">
        <is>
          <t> </t>
        </is>
      </c>
      <c r="O185" t="inlineStr">
        <is>
          <t> </t>
        </is>
      </c>
      <c r="P185" t="inlineStr">
        <is>
          <t> </t>
        </is>
      </c>
      <c r="Q185" t="inlineStr">
        <is>
          <t> </t>
        </is>
      </c>
      <c r="R185" t="inlineStr">
        <is>
          <t>komed</t>
        </is>
      </c>
      <c r="S185" s="1" t="n">
        <v>46170.36944444444</v>
      </c>
      <c r="T185" t="n">
        <v>1</v>
      </c>
      <c r="U185" t="inlineStr">
        <is>
          <t>BUJALSKI TOMASZ</t>
        </is>
      </c>
    </row>
    <row r="186">
      <c r="A186" s="1" t="n">
        <v>46171</v>
      </c>
      <c r="B186" t="inlineStr">
        <is>
          <t>2077/CT2/2026</t>
        </is>
      </c>
      <c r="C186" t="inlineStr">
        <is>
          <t>SLAWOMIR BORONSKI</t>
        </is>
      </c>
      <c r="D186" t="n">
        <v>65021004455</v>
      </c>
      <c r="E186" s="1" t="n">
        <v>46170</v>
      </c>
      <c r="F186" t="inlineStr">
        <is>
          <t>Planowy</t>
        </is>
      </c>
      <c r="G186" t="inlineStr">
        <is>
          <t>TK</t>
        </is>
      </c>
      <c r="H186" t="inlineStr">
        <is>
          <t>TK szyi z kontrastem</t>
        </is>
      </c>
      <c r="I186" t="inlineStr">
        <is>
          <t>TK Onkologia</t>
        </is>
      </c>
      <c r="J186" t="inlineStr">
        <is>
          <t>2 okolice anatomiczne</t>
        </is>
      </c>
      <c r="K186" t="inlineStr">
        <is>
          <t>Tomasz Bujalski</t>
        </is>
      </c>
      <c r="L186" t="inlineStr">
        <is>
          <t> </t>
        </is>
      </c>
      <c r="M186" t="inlineStr">
        <is>
          <t> </t>
        </is>
      </c>
      <c r="N186" t="inlineStr">
        <is>
          <t> </t>
        </is>
      </c>
      <c r="O186" t="inlineStr">
        <is>
          <t> </t>
        </is>
      </c>
      <c r="P186" t="inlineStr">
        <is>
          <t> </t>
        </is>
      </c>
      <c r="Q186" t="inlineStr">
        <is>
          <t> </t>
        </is>
      </c>
      <c r="R186" t="inlineStr">
        <is>
          <t>komed</t>
        </is>
      </c>
      <c r="S186" s="1" t="n">
        <v>46170.36944444444</v>
      </c>
      <c r="T186" t="n">
        <v>2</v>
      </c>
      <c r="U186" t="inlineStr">
        <is>
          <t>BUJALSKI TOMASZ</t>
        </is>
      </c>
    </row>
    <row r="187">
      <c r="A187" s="1" t="n">
        <v>46149</v>
      </c>
      <c r="B187" t="inlineStr">
        <is>
          <t>1436/TK/2026</t>
        </is>
      </c>
      <c r="C187" t="inlineStr">
        <is>
          <t>KRZYSZTOF STRACZKOWSKI</t>
        </is>
      </c>
      <c r="D187" t="inlineStr">
        <is>
          <t>86102304734</t>
        </is>
      </c>
      <c r="E187" s="1" t="n">
        <v>46149</v>
      </c>
      <c r="F187" t="inlineStr">
        <is>
          <t>CITO-CITO</t>
        </is>
      </c>
      <c r="G187" t="inlineStr">
        <is>
          <t>TK</t>
        </is>
      </c>
      <c r="H187" t="inlineStr">
        <is>
          <t>TK j.brzusznej i miednicy z kontrastem</t>
        </is>
      </c>
      <c r="I187" t="inlineStr">
        <is>
          <t>TK Zwykłe</t>
        </is>
      </c>
      <c r="J187" t="inlineStr">
        <is>
          <t>2 okolice anatomiczne</t>
        </is>
      </c>
      <c r="K187" t="inlineStr">
        <is>
          <t>Tomasz Bujalski</t>
        </is>
      </c>
      <c r="L187" t="inlineStr">
        <is>
          <t> </t>
        </is>
      </c>
      <c r="M187" t="inlineStr">
        <is>
          <t>Samodzielny Publiczny Zakład Opieki Zdrowotnej w Łapach</t>
        </is>
      </c>
      <c r="N187" t="inlineStr">
        <is>
          <t>Szpitalny Oddział Ratunkowy</t>
        </is>
      </c>
      <c r="O187" t="inlineStr">
        <is>
          <t>Dorota Lewko Ninkiewicz</t>
        </is>
      </c>
      <c r="P187" t="inlineStr">
        <is>
          <t>1045570</t>
        </is>
      </c>
      <c r="Q187" t="inlineStr">
        <is>
          <t>R10.4</t>
        </is>
      </c>
      <c r="R187" t="inlineStr">
        <is>
          <t>lapy</t>
        </is>
      </c>
      <c r="S187" s="1" t="n">
        <v>46149.32847222222</v>
      </c>
      <c r="T187" t="n">
        <v>0</v>
      </c>
      <c r="U187" t="inlineStr">
        <is>
          <t>BUJALSKI TOMASZ</t>
        </is>
      </c>
    </row>
    <row r="188">
      <c r="A188" s="1" t="n">
        <v>46160</v>
      </c>
      <c r="B188" t="inlineStr">
        <is>
          <t>1568/TK/2026</t>
        </is>
      </c>
      <c r="C188" t="inlineStr">
        <is>
          <t>MAREK ZOCHOWSKI</t>
        </is>
      </c>
      <c r="D188" t="inlineStr">
        <is>
          <t>88062815273</t>
        </is>
      </c>
      <c r="E188" s="1" t="n">
        <v>46160</v>
      </c>
      <c r="F188" t="inlineStr">
        <is>
          <t>CITO-CITO</t>
        </is>
      </c>
      <c r="G188" t="inlineStr">
        <is>
          <t>TK</t>
        </is>
      </c>
      <c r="H188" t="inlineStr">
        <is>
          <t>TK klatki piersiowej</t>
        </is>
      </c>
      <c r="I188" t="inlineStr">
        <is>
          <t>TK Zwykłe</t>
        </is>
      </c>
      <c r="J188" t="inlineStr">
        <is>
          <t>1 okolica anatomiczna</t>
        </is>
      </c>
      <c r="K188" t="inlineStr">
        <is>
          <t>Tomasz Bujalski</t>
        </is>
      </c>
      <c r="L188" t="inlineStr">
        <is>
          <t> </t>
        </is>
      </c>
      <c r="M188" t="inlineStr">
        <is>
          <t>Samodzielny Publiczny Zakład Opieki Zdrowotnej w Łapach</t>
        </is>
      </c>
      <c r="N188" t="inlineStr">
        <is>
          <t>Szpitalny Oddział Ratunkowy</t>
        </is>
      </c>
      <c r="O188" t="inlineStr">
        <is>
          <t>Dorota Lewko Ninkiewicz</t>
        </is>
      </c>
      <c r="P188" t="inlineStr">
        <is>
          <t>1045570</t>
        </is>
      </c>
      <c r="Q188" t="inlineStr">
        <is>
          <t>J93</t>
        </is>
      </c>
      <c r="R188" t="inlineStr">
        <is>
          <t>lapy</t>
        </is>
      </c>
      <c r="S188" s="1" t="n">
        <v>46160.44652777778</v>
      </c>
      <c r="T188" t="n">
        <v>0</v>
      </c>
      <c r="U188" t="inlineStr">
        <is>
          <t>BUJALSKI TOMASZ</t>
        </is>
      </c>
    </row>
    <row r="189">
      <c r="A189" s="1" t="n">
        <v>46168</v>
      </c>
      <c r="B189" t="inlineStr">
        <is>
          <t>1677/TK/2026</t>
        </is>
      </c>
      <c r="C189" t="inlineStr">
        <is>
          <t>TERESA FILIPCZUK</t>
        </is>
      </c>
      <c r="D189" t="inlineStr">
        <is>
          <t>51042502209</t>
        </is>
      </c>
      <c r="E189" s="1" t="n">
        <v>46168</v>
      </c>
      <c r="F189" t="inlineStr">
        <is>
          <t>Pilny</t>
        </is>
      </c>
      <c r="G189" t="inlineStr">
        <is>
          <t>TK</t>
        </is>
      </c>
      <c r="H189" t="inlineStr">
        <is>
          <t>TK angio aorta piersiowa</t>
        </is>
      </c>
      <c r="I189" t="inlineStr">
        <is>
          <t>TK Angiografia</t>
        </is>
      </c>
      <c r="J189" t="inlineStr">
        <is>
          <t>1 okolica anatomiczna</t>
        </is>
      </c>
      <c r="K189" t="inlineStr">
        <is>
          <t>Tomasz Bujalski</t>
        </is>
      </c>
      <c r="L189" t="inlineStr">
        <is>
          <t> </t>
        </is>
      </c>
      <c r="M189" t="inlineStr">
        <is>
          <t> </t>
        </is>
      </c>
      <c r="N189" t="inlineStr">
        <is>
          <t> </t>
        </is>
      </c>
      <c r="O189" t="inlineStr">
        <is>
          <t> </t>
        </is>
      </c>
      <c r="P189" t="inlineStr">
        <is>
          <t> </t>
        </is>
      </c>
      <c r="Q189" t="inlineStr">
        <is>
          <t> </t>
        </is>
      </c>
      <c r="R189" t="inlineStr">
        <is>
          <t>lapy</t>
        </is>
      </c>
      <c r="S189" s="1" t="n">
        <v>46168.39027777778</v>
      </c>
      <c r="T189" t="n">
        <v>0</v>
      </c>
      <c r="U189" t="inlineStr">
        <is>
          <t>BUJALSKI TOMASZ</t>
        </is>
      </c>
    </row>
    <row r="190">
      <c r="A190" s="1" t="n">
        <v>46172</v>
      </c>
      <c r="B190" t="inlineStr">
        <is>
          <t>1735/TK/2026</t>
        </is>
      </c>
      <c r="C190" t="inlineStr">
        <is>
          <t>DANUTA JABLONSKA</t>
        </is>
      </c>
      <c r="D190" t="inlineStr">
        <is>
          <t>67081002347</t>
        </is>
      </c>
      <c r="E190" s="1" t="n">
        <v>46172</v>
      </c>
      <c r="F190" t="inlineStr">
        <is>
          <t>CITO-CITO</t>
        </is>
      </c>
      <c r="G190" t="inlineStr">
        <is>
          <t>TK</t>
        </is>
      </c>
      <c r="H190" t="inlineStr">
        <is>
          <t>TK głowy</t>
        </is>
      </c>
      <c r="I190" t="inlineStr">
        <is>
          <t>TK Onkologia</t>
        </is>
      </c>
      <c r="J190" t="inlineStr">
        <is>
          <t>1 okolica anatomiczna</t>
        </is>
      </c>
      <c r="K190" t="inlineStr">
        <is>
          <t>Tomasz Bujalski</t>
        </is>
      </c>
      <c r="L190" t="inlineStr">
        <is>
          <t> </t>
        </is>
      </c>
      <c r="M190" t="inlineStr">
        <is>
          <t>Samodzielny Publiczny Zakład Opieki Zdrowotnej w Łapach</t>
        </is>
      </c>
      <c r="N190" t="inlineStr">
        <is>
          <t>Szpitalny Oddział Ratunkowy</t>
        </is>
      </c>
      <c r="O190" t="inlineStr">
        <is>
          <t>MONIKA ŚCIANA-OLESZCZUK</t>
        </is>
      </c>
      <c r="P190" t="inlineStr">
        <is>
          <t>2293115</t>
        </is>
      </c>
      <c r="Q190" t="inlineStr">
        <is>
          <t>S00</t>
        </is>
      </c>
      <c r="R190" t="inlineStr">
        <is>
          <t>lapy</t>
        </is>
      </c>
      <c r="S190" s="1" t="n">
        <v>46172.65138888889</v>
      </c>
      <c r="T190" t="n">
        <v>0</v>
      </c>
      <c r="U190" t="inlineStr">
        <is>
          <t>BUJALSKI TOMASZ</t>
        </is>
      </c>
    </row>
    <row r="191">
      <c r="A191" s="1" t="n">
        <v>46172</v>
      </c>
      <c r="B191" t="inlineStr">
        <is>
          <t>1735/TK/2026</t>
        </is>
      </c>
      <c r="C191" t="inlineStr">
        <is>
          <t>DANUTA JABLONSKA</t>
        </is>
      </c>
      <c r="D191" t="inlineStr">
        <is>
          <t>67081002347</t>
        </is>
      </c>
      <c r="E191" s="1" t="n">
        <v>46172</v>
      </c>
      <c r="F191" t="inlineStr">
        <is>
          <t>CITO-CITO</t>
        </is>
      </c>
      <c r="G191" t="inlineStr">
        <is>
          <t>TK</t>
        </is>
      </c>
      <c r="H191" t="inlineStr">
        <is>
          <t>TK twarzoczaszki</t>
        </is>
      </c>
      <c r="I191" t="inlineStr">
        <is>
          <t>TK Onkologia</t>
        </is>
      </c>
      <c r="J191" t="inlineStr">
        <is>
          <t>1 okolica anatomiczna</t>
        </is>
      </c>
      <c r="K191" t="inlineStr">
        <is>
          <t>Tomasz Bujalski</t>
        </is>
      </c>
      <c r="L191" t="inlineStr">
        <is>
          <t> </t>
        </is>
      </c>
      <c r="M191" t="inlineStr">
        <is>
          <t>Samodzielny Publiczny Zakład Opieki Zdrowotnej w Łapach</t>
        </is>
      </c>
      <c r="N191" t="inlineStr">
        <is>
          <t>Szpitalny Oddział Ratunkowy</t>
        </is>
      </c>
      <c r="O191" t="inlineStr">
        <is>
          <t>MONIKA ŚCIANA-OLESZCZUK</t>
        </is>
      </c>
      <c r="P191" t="inlineStr">
        <is>
          <t>2293115</t>
        </is>
      </c>
      <c r="Q191" t="inlineStr">
        <is>
          <t>S00</t>
        </is>
      </c>
      <c r="R191" t="inlineStr">
        <is>
          <t>lapy</t>
        </is>
      </c>
      <c r="S191" s="1" t="n">
        <v>46172.65138888889</v>
      </c>
      <c r="T191" t="n">
        <v>0</v>
      </c>
      <c r="U191" t="inlineStr">
        <is>
          <t>BUJALSKI TOMASZ</t>
        </is>
      </c>
    </row>
    <row r="192">
      <c r="A192" s="1" t="n">
        <v>46172</v>
      </c>
      <c r="B192" t="inlineStr">
        <is>
          <t>1736/TK/2026</t>
        </is>
      </c>
      <c r="C192" t="inlineStr">
        <is>
          <t>JAKUB PETKOWSKI</t>
        </is>
      </c>
      <c r="D192" t="inlineStr">
        <is>
          <t>95102603736</t>
        </is>
      </c>
      <c r="E192" s="1" t="n">
        <v>46172</v>
      </c>
      <c r="F192" t="inlineStr">
        <is>
          <t>CITO-CITO</t>
        </is>
      </c>
      <c r="G192" t="inlineStr">
        <is>
          <t>TK</t>
        </is>
      </c>
      <c r="H192" t="inlineStr">
        <is>
          <t>TK głowy</t>
        </is>
      </c>
      <c r="I192" t="inlineStr">
        <is>
          <t>TK Onkologia</t>
        </is>
      </c>
      <c r="J192" t="inlineStr">
        <is>
          <t>1 okolica anatomiczna</t>
        </is>
      </c>
      <c r="K192" t="inlineStr">
        <is>
          <t>Tomasz Bujalski</t>
        </is>
      </c>
      <c r="L192" t="inlineStr">
        <is>
          <t> </t>
        </is>
      </c>
      <c r="M192" t="inlineStr">
        <is>
          <t>Samodzielny Publiczny Zakład Opieki Zdrowotnej w Łapach</t>
        </is>
      </c>
      <c r="N192" t="inlineStr">
        <is>
          <t>Szpitalny Oddział Ratunkowy</t>
        </is>
      </c>
      <c r="O192" t="inlineStr">
        <is>
          <t>MONIKA ŚCIANA-OLESZCZUK</t>
        </is>
      </c>
      <c r="P192" t="inlineStr">
        <is>
          <t>2293115</t>
        </is>
      </c>
      <c r="Q192" t="inlineStr">
        <is>
          <t>S00</t>
        </is>
      </c>
      <c r="R192" t="inlineStr">
        <is>
          <t>lapy</t>
        </is>
      </c>
      <c r="S192" s="1" t="n">
        <v>46172.68958333333</v>
      </c>
      <c r="T192" t="n">
        <v>0</v>
      </c>
      <c r="U192" t="inlineStr">
        <is>
          <t>BUJALSKI TOMASZ</t>
        </is>
      </c>
    </row>
    <row r="193">
      <c r="A193" s="1" t="n">
        <v>46172</v>
      </c>
      <c r="B193" t="inlineStr">
        <is>
          <t>1736/TK/2026</t>
        </is>
      </c>
      <c r="C193" t="inlineStr">
        <is>
          <t>JAKUB PETKOWSKI</t>
        </is>
      </c>
      <c r="D193" t="inlineStr">
        <is>
          <t>95102603736</t>
        </is>
      </c>
      <c r="E193" s="1" t="n">
        <v>46172</v>
      </c>
      <c r="F193" t="inlineStr">
        <is>
          <t>CITO-CITO</t>
        </is>
      </c>
      <c r="G193" t="inlineStr">
        <is>
          <t>TK</t>
        </is>
      </c>
      <c r="H193" t="inlineStr">
        <is>
          <t>TK twarzoczaszki</t>
        </is>
      </c>
      <c r="I193" t="inlineStr">
        <is>
          <t>TK Onkologia</t>
        </is>
      </c>
      <c r="J193" t="inlineStr">
        <is>
          <t>1 okolica anatomiczna</t>
        </is>
      </c>
      <c r="K193" t="inlineStr">
        <is>
          <t>Tomasz Bujalski</t>
        </is>
      </c>
      <c r="L193" t="inlineStr">
        <is>
          <t> </t>
        </is>
      </c>
      <c r="M193" t="inlineStr">
        <is>
          <t>Samodzielny Publiczny Zakład Opieki Zdrowotnej w Łapach</t>
        </is>
      </c>
      <c r="N193" t="inlineStr">
        <is>
          <t>Szpitalny Oddział Ratunkowy</t>
        </is>
      </c>
      <c r="O193" t="inlineStr">
        <is>
          <t>MONIKA ŚCIANA-OLESZCZUK</t>
        </is>
      </c>
      <c r="P193" t="inlineStr">
        <is>
          <t>2293115</t>
        </is>
      </c>
      <c r="Q193" t="inlineStr">
        <is>
          <t>S00</t>
        </is>
      </c>
      <c r="R193" t="inlineStr">
        <is>
          <t>lapy</t>
        </is>
      </c>
      <c r="S193" s="1" t="n">
        <v>46172.68958333333</v>
      </c>
      <c r="T193" t="n">
        <v>0</v>
      </c>
      <c r="U193" t="inlineStr">
        <is>
          <t>BUJALSKI TOMASZ</t>
        </is>
      </c>
    </row>
    <row r="194">
      <c r="A194" s="1" t="n">
        <v>46159</v>
      </c>
      <c r="B194" t="inlineStr">
        <is>
          <t>1536/26/CT</t>
        </is>
      </c>
      <c r="C194" t="inlineStr">
        <is>
          <t>WIESLAWA MANDZIAK</t>
        </is>
      </c>
      <c r="D194" t="n">
        <v>54040617900</v>
      </c>
      <c r="E194" s="1" t="n">
        <v>46159</v>
      </c>
      <c r="F194" t="inlineStr">
        <is>
          <t>CITO-CITO</t>
        </is>
      </c>
      <c r="G194" t="inlineStr">
        <is>
          <t>TK</t>
        </is>
      </c>
      <c r="H194" t="inlineStr">
        <is>
          <t>TK głowy</t>
        </is>
      </c>
      <c r="I194" t="inlineStr">
        <is>
          <t>TK Onkologia</t>
        </is>
      </c>
      <c r="J194" t="inlineStr">
        <is>
          <t>1 okolica anatomiczna</t>
        </is>
      </c>
      <c r="K194" t="inlineStr">
        <is>
          <t>Tomasz Bujalski</t>
        </is>
      </c>
      <c r="L194" t="inlineStr">
        <is>
          <t> </t>
        </is>
      </c>
      <c r="M194" t="inlineStr">
        <is>
          <t> </t>
        </is>
      </c>
      <c r="N194" t="inlineStr">
        <is>
          <t> </t>
        </is>
      </c>
      <c r="O194" t="inlineStr">
        <is>
          <t> </t>
        </is>
      </c>
      <c r="P194" t="inlineStr">
        <is>
          <t> </t>
        </is>
      </c>
      <c r="Q194" t="inlineStr">
        <is>
          <t> </t>
        </is>
      </c>
      <c r="R194" t="inlineStr">
        <is>
          <t>lubaczow</t>
        </is>
      </c>
      <c r="S194" s="1" t="n">
        <v>46159.40625</v>
      </c>
      <c r="T194" t="n">
        <v>0</v>
      </c>
      <c r="U194" t="inlineStr">
        <is>
          <t>BUJALSKI TOMASZ</t>
        </is>
      </c>
    </row>
    <row r="195">
      <c r="A195" s="1" t="n">
        <v>46159</v>
      </c>
      <c r="B195" t="inlineStr">
        <is>
          <t>1537/26/CT</t>
        </is>
      </c>
      <c r="C195" t="inlineStr">
        <is>
          <t>WIESLAWA MANDZIAK</t>
        </is>
      </c>
      <c r="D195" t="n">
        <v>54040617900</v>
      </c>
      <c r="E195" s="1" t="n">
        <v>46159</v>
      </c>
      <c r="F195" t="inlineStr">
        <is>
          <t>CITO-CITO</t>
        </is>
      </c>
      <c r="G195" t="inlineStr">
        <is>
          <t>TK</t>
        </is>
      </c>
      <c r="H195" t="inlineStr">
        <is>
          <t>TK klatki piersiowej</t>
        </is>
      </c>
      <c r="I195" t="inlineStr">
        <is>
          <t>TK Zwykłe</t>
        </is>
      </c>
      <c r="J195" t="inlineStr">
        <is>
          <t>1 okolica anatomiczna</t>
        </is>
      </c>
      <c r="K195" t="inlineStr">
        <is>
          <t>Tomasz Bujalski</t>
        </is>
      </c>
      <c r="L195" t="inlineStr">
        <is>
          <t> </t>
        </is>
      </c>
      <c r="M195" t="inlineStr">
        <is>
          <t> </t>
        </is>
      </c>
      <c r="N195" t="inlineStr">
        <is>
          <t> </t>
        </is>
      </c>
      <c r="O195" t="inlineStr">
        <is>
          <t> </t>
        </is>
      </c>
      <c r="P195" t="inlineStr">
        <is>
          <t> </t>
        </is>
      </c>
      <c r="Q195" t="inlineStr">
        <is>
          <t> </t>
        </is>
      </c>
      <c r="R195" t="inlineStr">
        <is>
          <t>lubaczow</t>
        </is>
      </c>
      <c r="S195" s="1" t="n">
        <v>46159.40694444445</v>
      </c>
      <c r="T195" t="n">
        <v>0</v>
      </c>
      <c r="U195" t="inlineStr">
        <is>
          <t>BUJALSKI TOMASZ</t>
        </is>
      </c>
    </row>
    <row r="196">
      <c r="A196" s="1" t="n">
        <v>46160</v>
      </c>
      <c r="B196" t="inlineStr">
        <is>
          <t>1553/26/CT</t>
        </is>
      </c>
      <c r="C196" t="inlineStr">
        <is>
          <t>DANUTA NIESCIOR</t>
        </is>
      </c>
      <c r="D196" t="n">
        <v>61101001783</v>
      </c>
      <c r="E196" s="1" t="n">
        <v>46160</v>
      </c>
      <c r="F196" t="inlineStr">
        <is>
          <t>Pilny</t>
        </is>
      </c>
      <c r="G196" t="inlineStr">
        <is>
          <t>TK</t>
        </is>
      </c>
      <c r="H196" t="inlineStr">
        <is>
          <t>TK j.brzusznej i miednicy z kontrastem</t>
        </is>
      </c>
      <c r="I196" t="inlineStr">
        <is>
          <t>TK Zwykłe</t>
        </is>
      </c>
      <c r="J196" t="inlineStr">
        <is>
          <t>2 okolice anatomiczne</t>
        </is>
      </c>
      <c r="K196" t="inlineStr">
        <is>
          <t>Tomasz Bujalski</t>
        </is>
      </c>
      <c r="L196" t="inlineStr">
        <is>
          <t> </t>
        </is>
      </c>
      <c r="M196" t="inlineStr">
        <is>
          <t> </t>
        </is>
      </c>
      <c r="N196" t="inlineStr">
        <is>
          <t> </t>
        </is>
      </c>
      <c r="O196" t="inlineStr">
        <is>
          <t> </t>
        </is>
      </c>
      <c r="P196" t="inlineStr">
        <is>
          <t> </t>
        </is>
      </c>
      <c r="Q196" t="inlineStr">
        <is>
          <t> </t>
        </is>
      </c>
      <c r="R196" t="inlineStr">
        <is>
          <t>lubaczow</t>
        </is>
      </c>
      <c r="S196" s="1" t="n">
        <v>46160.40486111111</v>
      </c>
      <c r="T196" t="n">
        <v>0</v>
      </c>
      <c r="U196" t="inlineStr">
        <is>
          <t>BUJALSKI TOMASZ</t>
        </is>
      </c>
    </row>
    <row r="197">
      <c r="A197" s="1" t="n">
        <v>46165</v>
      </c>
      <c r="B197" t="inlineStr">
        <is>
          <t>1623/26/CT</t>
        </is>
      </c>
      <c r="C197" t="inlineStr">
        <is>
          <t>MARTYNA MOKRZYCKA</t>
        </is>
      </c>
      <c r="D197" t="n">
        <v>3232709426</v>
      </c>
      <c r="E197" s="1" t="n">
        <v>46165</v>
      </c>
      <c r="F197" t="inlineStr">
        <is>
          <t>CITO-CITO</t>
        </is>
      </c>
      <c r="G197" t="inlineStr">
        <is>
          <t>TK</t>
        </is>
      </c>
      <c r="H197" t="inlineStr">
        <is>
          <t>TK głowy</t>
        </is>
      </c>
      <c r="I197" t="inlineStr">
        <is>
          <t>TK Onkologia</t>
        </is>
      </c>
      <c r="J197" t="inlineStr">
        <is>
          <t>1 okolica anatomiczna</t>
        </is>
      </c>
      <c r="K197" t="inlineStr">
        <is>
          <t>Tomasz Bujalski</t>
        </is>
      </c>
      <c r="L197" t="inlineStr">
        <is>
          <t> </t>
        </is>
      </c>
      <c r="M197" t="inlineStr">
        <is>
          <t> </t>
        </is>
      </c>
      <c r="N197" t="inlineStr">
        <is>
          <t> </t>
        </is>
      </c>
      <c r="O197" t="inlineStr">
        <is>
          <t> </t>
        </is>
      </c>
      <c r="P197" t="inlineStr">
        <is>
          <t> </t>
        </is>
      </c>
      <c r="Q197" t="inlineStr">
        <is>
          <t> </t>
        </is>
      </c>
      <c r="R197" t="inlineStr">
        <is>
          <t>lubaczow</t>
        </is>
      </c>
      <c r="S197" s="1" t="n">
        <v>46165.59930555556</v>
      </c>
      <c r="T197" t="n">
        <v>0</v>
      </c>
      <c r="U197" t="inlineStr">
        <is>
          <t>BUJALSKI TOMASZ</t>
        </is>
      </c>
    </row>
    <row r="198">
      <c r="A198" s="1" t="n">
        <v>46167</v>
      </c>
      <c r="B198" t="inlineStr">
        <is>
          <t>1636/26/CT</t>
        </is>
      </c>
      <c r="C198" t="inlineStr">
        <is>
          <t>KRZYSZTOF KOLASA</t>
        </is>
      </c>
      <c r="D198" t="n">
        <v>73072208698</v>
      </c>
      <c r="E198" s="1" t="n">
        <v>46167</v>
      </c>
      <c r="F198" t="inlineStr">
        <is>
          <t>CITO-CITO</t>
        </is>
      </c>
      <c r="G198" t="inlineStr">
        <is>
          <t>TK</t>
        </is>
      </c>
      <c r="H198" t="inlineStr">
        <is>
          <t>TK j.brzusznej i miednicy z kontrastem</t>
        </is>
      </c>
      <c r="I198" t="inlineStr">
        <is>
          <t>TK Zwykłe</t>
        </is>
      </c>
      <c r="J198" t="inlineStr">
        <is>
          <t>2 okolice anatomiczne</t>
        </is>
      </c>
      <c r="K198" t="inlineStr">
        <is>
          <t>Tomasz Bujalski</t>
        </is>
      </c>
      <c r="L198" t="inlineStr">
        <is>
          <t> </t>
        </is>
      </c>
      <c r="M198" t="inlineStr">
        <is>
          <t> </t>
        </is>
      </c>
      <c r="N198" t="inlineStr">
        <is>
          <t> </t>
        </is>
      </c>
      <c r="O198" t="inlineStr">
        <is>
          <t> </t>
        </is>
      </c>
      <c r="P198" t="inlineStr">
        <is>
          <t> </t>
        </is>
      </c>
      <c r="Q198" t="inlineStr">
        <is>
          <t> </t>
        </is>
      </c>
      <c r="R198" t="inlineStr">
        <is>
          <t>lubaczow</t>
        </is>
      </c>
      <c r="S198" s="1" t="n">
        <v>46167.41111111111</v>
      </c>
      <c r="T198" t="n">
        <v>0</v>
      </c>
      <c r="U198" t="inlineStr">
        <is>
          <t>BUJALSKI TOMASZ</t>
        </is>
      </c>
    </row>
    <row r="199">
      <c r="A199" s="1" t="n">
        <v>46172</v>
      </c>
      <c r="B199" t="inlineStr">
        <is>
          <t>TK/26/3808</t>
        </is>
      </c>
      <c r="C199" t="inlineStr">
        <is>
          <t>Kazimierz Stachowiak</t>
        </is>
      </c>
      <c r="D199" t="n">
        <v>62101010799</v>
      </c>
      <c r="E199" s="1" t="n">
        <v>46172</v>
      </c>
      <c r="F199" t="inlineStr">
        <is>
          <t>CITO NA RATUNEK</t>
        </is>
      </c>
      <c r="G199" t="inlineStr">
        <is>
          <t>TK</t>
        </is>
      </c>
      <c r="H199" t="inlineStr">
        <is>
          <t>TK głowy</t>
        </is>
      </c>
      <c r="I199" t="inlineStr">
        <is>
          <t>TK Onkologia</t>
        </is>
      </c>
      <c r="J199" t="inlineStr">
        <is>
          <t>1 okolica anatomiczna</t>
        </is>
      </c>
      <c r="K199" t="inlineStr">
        <is>
          <t>Tomasz Bujalski</t>
        </is>
      </c>
      <c r="L199" t="inlineStr">
        <is>
          <t> </t>
        </is>
      </c>
      <c r="M199" t="inlineStr">
        <is>
          <t>SAMODZIELNY PUBLICZNY ZAKŁAD OPIEKI ZDROWOTNEJ MINISTERSTWA SPRAW WEWNĘTRZNYCH I ADMINISTRACJI W POZNANIU IM. PROF. LUDWIKA BIERKOWSKIEGO</t>
        </is>
      </c>
      <c r="N199" t="inlineStr">
        <is>
          <t xml:space="preserve">Oddział Neurologii  </t>
        </is>
      </c>
      <c r="O199" t="inlineStr">
        <is>
          <t>Monika Poziombka-Kaźmierczak</t>
        </is>
      </c>
      <c r="P199" t="inlineStr">
        <is>
          <t>3412015</t>
        </is>
      </c>
      <c r="Q199" t="inlineStr">
        <is>
          <t>G40.9</t>
        </is>
      </c>
      <c r="R199" t="inlineStr">
        <is>
          <t>mswiapoznan</t>
        </is>
      </c>
      <c r="S199" s="1" t="n">
        <v>46172.56666666667</v>
      </c>
      <c r="T199" t="n">
        <v>0</v>
      </c>
      <c r="U199" t="inlineStr">
        <is>
          <t>BUJALSKI TOMASZ</t>
        </is>
      </c>
    </row>
    <row r="200">
      <c r="A200" s="1" t="n">
        <v>46172</v>
      </c>
      <c r="B200" t="inlineStr">
        <is>
          <t>TK/26/3809</t>
        </is>
      </c>
      <c r="C200" t="inlineStr">
        <is>
          <t>Kazimierz Stachowiak</t>
        </is>
      </c>
      <c r="D200" t="n">
        <v>62101010799</v>
      </c>
      <c r="E200" s="1" t="n">
        <v>46172</v>
      </c>
      <c r="F200" t="inlineStr">
        <is>
          <t>CITO NA RATUNEK</t>
        </is>
      </c>
      <c r="G200" t="inlineStr">
        <is>
          <t>TK</t>
        </is>
      </c>
      <c r="H200" t="inlineStr">
        <is>
          <t>Veno-TK żył mózgowych</t>
        </is>
      </c>
      <c r="I200" t="inlineStr">
        <is>
          <t>TK Angiografia</t>
        </is>
      </c>
      <c r="J200" t="inlineStr">
        <is>
          <t>1 okolica anatomiczna</t>
        </is>
      </c>
      <c r="K200" t="inlineStr">
        <is>
          <t>Tomasz Bujalski</t>
        </is>
      </c>
      <c r="L200" t="inlineStr">
        <is>
          <t> </t>
        </is>
      </c>
      <c r="M200" t="inlineStr">
        <is>
          <t>SAMODZIELNY PUBLICZNY ZAKŁAD OPIEKI ZDROWOTNEJ MINISTERSTWA SPRAW WEWNĘTRZNYCH I ADMINISTRACJI W POZNANIU IM. PROF. LUDWIKA BIERKOWSKIEGO</t>
        </is>
      </c>
      <c r="N200" t="inlineStr">
        <is>
          <t xml:space="preserve">Oddział Neurologii  </t>
        </is>
      </c>
      <c r="O200" t="inlineStr">
        <is>
          <t>Monika Poziombka-Kaźmierczak</t>
        </is>
      </c>
      <c r="P200" t="inlineStr">
        <is>
          <t>3412015</t>
        </is>
      </c>
      <c r="Q200" t="inlineStr">
        <is>
          <t>G40.9</t>
        </is>
      </c>
      <c r="R200" t="inlineStr">
        <is>
          <t>mswiapoznan</t>
        </is>
      </c>
      <c r="S200" s="1" t="n">
        <v>46172.56666666667</v>
      </c>
      <c r="T200" t="n">
        <v>0</v>
      </c>
      <c r="U200" t="inlineStr">
        <is>
          <t>BUJALSKI TOMASZ</t>
        </is>
      </c>
    </row>
    <row r="201">
      <c r="A201" s="1" t="n">
        <v>46172</v>
      </c>
      <c r="B201" t="inlineStr">
        <is>
          <t>TK/26/3810</t>
        </is>
      </c>
      <c r="C201" t="inlineStr">
        <is>
          <t>Kazimierz Stachowiak</t>
        </is>
      </c>
      <c r="D201" t="n">
        <v>62101010799</v>
      </c>
      <c r="E201" s="1" t="n">
        <v>46172</v>
      </c>
      <c r="F201" t="inlineStr">
        <is>
          <t>CITO NA RATUNEK</t>
        </is>
      </c>
      <c r="G201" t="inlineStr">
        <is>
          <t>TK</t>
        </is>
      </c>
      <c r="H201" t="inlineStr">
        <is>
          <t>Angio-TK tętnic mózgowych i szyjnych</t>
        </is>
      </c>
      <c r="I201" t="inlineStr">
        <is>
          <t>TK Angiografia</t>
        </is>
      </c>
      <c r="J201" t="inlineStr">
        <is>
          <t>2 okolice anatomiczne</t>
        </is>
      </c>
      <c r="K201" t="inlineStr">
        <is>
          <t>Tomasz Bujalski</t>
        </is>
      </c>
      <c r="L201" t="inlineStr">
        <is>
          <t> </t>
        </is>
      </c>
      <c r="M201" t="inlineStr">
        <is>
          <t>SAMODZIELNY PUBLICZNY ZAKŁAD OPIEKI ZDROWOTNEJ MINISTERSTWA SPRAW WEWNĘTRZNYCH I ADMINISTRACJI W POZNANIU IM. PROF. LUDWIKA BIERKOWSKIEGO</t>
        </is>
      </c>
      <c r="N201" t="inlineStr">
        <is>
          <t xml:space="preserve">Oddział Neurologii  </t>
        </is>
      </c>
      <c r="O201" t="inlineStr">
        <is>
          <t>Monika Poziombka-Kaźmierczak</t>
        </is>
      </c>
      <c r="P201" t="inlineStr">
        <is>
          <t>3412015</t>
        </is>
      </c>
      <c r="Q201" t="inlineStr">
        <is>
          <t>G40.9</t>
        </is>
      </c>
      <c r="R201" t="inlineStr">
        <is>
          <t>mswiapoznan</t>
        </is>
      </c>
      <c r="S201" s="1" t="n">
        <v>46172.56666666667</v>
      </c>
      <c r="T201" t="n">
        <v>0</v>
      </c>
      <c r="U201" t="inlineStr">
        <is>
          <t>BUJALSKI TOMASZ</t>
        </is>
      </c>
    </row>
    <row r="202">
      <c r="A202" s="1" t="n">
        <v>46165</v>
      </c>
      <c r="B202" t="inlineStr">
        <is>
          <t>CN2909714</t>
        </is>
      </c>
      <c r="C202" t="inlineStr">
        <is>
          <t>TOMASZ ZAPALOWSKI</t>
        </is>
      </c>
      <c r="D202" t="n">
        <v>81070316075</v>
      </c>
      <c r="E202" s="1" t="n">
        <v>46165</v>
      </c>
      <c r="F202" t="inlineStr">
        <is>
          <t>CITO-CITO</t>
        </is>
      </c>
      <c r="G202" t="inlineStr">
        <is>
          <t>TK</t>
        </is>
      </c>
      <c r="H202" t="inlineStr">
        <is>
          <t>TK głowy</t>
        </is>
      </c>
      <c r="I202" t="inlineStr">
        <is>
          <t>TK Onkologia</t>
        </is>
      </c>
      <c r="J202" t="inlineStr">
        <is>
          <t>1 okolica anatomiczna</t>
        </is>
      </c>
      <c r="K202" t="inlineStr">
        <is>
          <t>Tomasz Bujalski</t>
        </is>
      </c>
      <c r="L202" t="inlineStr">
        <is>
          <t> </t>
        </is>
      </c>
      <c r="M202" t="inlineStr">
        <is>
          <t> </t>
        </is>
      </c>
      <c r="N202" t="inlineStr">
        <is>
          <t> </t>
        </is>
      </c>
      <c r="O202" t="inlineStr">
        <is>
          <t> </t>
        </is>
      </c>
      <c r="P202" t="inlineStr">
        <is>
          <t> </t>
        </is>
      </c>
      <c r="Q202" t="inlineStr">
        <is>
          <t> </t>
        </is>
      </c>
      <c r="R202" t="inlineStr">
        <is>
          <t>nml</t>
        </is>
      </c>
      <c r="S202" s="1" t="n">
        <v>46165.61597222222</v>
      </c>
      <c r="T202" t="n">
        <v>0</v>
      </c>
      <c r="U202" t="inlineStr">
        <is>
          <t>BUJALSKI TOMASZ</t>
        </is>
      </c>
    </row>
    <row r="203">
      <c r="A203" s="1" t="n">
        <v>46167</v>
      </c>
      <c r="B203" t="inlineStr">
        <is>
          <t>CN2910413</t>
        </is>
      </c>
      <c r="C203" t="inlineStr">
        <is>
          <t>KRYSTYNA GEHRKE</t>
        </is>
      </c>
      <c r="D203" t="n">
        <v>49031316346</v>
      </c>
      <c r="E203" s="1" t="n">
        <v>46167</v>
      </c>
      <c r="F203" t="inlineStr">
        <is>
          <t>Pilny</t>
        </is>
      </c>
      <c r="G203" t="inlineStr">
        <is>
          <t>TK</t>
        </is>
      </c>
      <c r="H203" t="inlineStr">
        <is>
          <t>TK j.brzusznej i miednicy z kontrastem</t>
        </is>
      </c>
      <c r="I203" t="inlineStr">
        <is>
          <t>TK Zwykłe</t>
        </is>
      </c>
      <c r="J203" t="inlineStr">
        <is>
          <t>2 okolice anatomiczne</t>
        </is>
      </c>
      <c r="K203" t="inlineStr">
        <is>
          <t>Tomasz Bujalski</t>
        </is>
      </c>
      <c r="L203" t="inlineStr">
        <is>
          <t> </t>
        </is>
      </c>
      <c r="M203" t="inlineStr">
        <is>
          <t> </t>
        </is>
      </c>
      <c r="N203" t="inlineStr">
        <is>
          <t> </t>
        </is>
      </c>
      <c r="O203" t="inlineStr">
        <is>
          <t> </t>
        </is>
      </c>
      <c r="P203" t="inlineStr">
        <is>
          <t> </t>
        </is>
      </c>
      <c r="Q203" t="inlineStr">
        <is>
          <t> </t>
        </is>
      </c>
      <c r="R203" t="inlineStr">
        <is>
          <t>nml</t>
        </is>
      </c>
      <c r="S203" s="1" t="n">
        <v>46167.38888888889</v>
      </c>
      <c r="T203" t="n">
        <v>2</v>
      </c>
      <c r="U203" t="inlineStr">
        <is>
          <t>BUJALSKI TOMASZ</t>
        </is>
      </c>
    </row>
    <row r="204">
      <c r="A204" s="1" t="n">
        <v>46157</v>
      </c>
      <c r="B204" t="inlineStr">
        <is>
          <t>RISHIS-284380266</t>
        </is>
      </c>
      <c r="C204" t="inlineStr">
        <is>
          <t>JUSTYNA SMYKIEL</t>
        </is>
      </c>
      <c r="D204" t="n">
        <v>78062612901</v>
      </c>
      <c r="E204" s="1" t="n">
        <v>46157</v>
      </c>
      <c r="F204" t="inlineStr">
        <is>
          <t>CITO-CITO</t>
        </is>
      </c>
      <c r="G204" t="inlineStr">
        <is>
          <t>TK</t>
        </is>
      </c>
      <c r="H204" t="inlineStr">
        <is>
          <t>TK - głowa bez kontrastu</t>
        </is>
      </c>
      <c r="I204" t="inlineStr">
        <is>
          <t>TK Onkologia</t>
        </is>
      </c>
      <c r="J204" t="inlineStr">
        <is>
          <t>1 okolica anatomiczna</t>
        </is>
      </c>
      <c r="K204" t="inlineStr">
        <is>
          <t>Tomasz Bujalski</t>
        </is>
      </c>
      <c r="L204" t="inlineStr">
        <is>
          <t> </t>
        </is>
      </c>
      <c r="M204" t="inlineStr">
        <is>
          <t>SAMODZIELNY PUBLICZNY ZESPÓŁ ZAKŁADÓW OPIEKI ZDROWOTNEJ W OSTROWI MAZOWIECKIEJ</t>
        </is>
      </c>
      <c r="N204" t="inlineStr">
        <is>
          <t>Oddział Anestezjologii i Intensywnej Terapii</t>
        </is>
      </c>
      <c r="O204" t="inlineStr">
        <is>
          <t>Stanisław Pawelczyk</t>
        </is>
      </c>
      <c r="P204" t="inlineStr">
        <is>
          <t>5364261</t>
        </is>
      </c>
      <c r="Q204" t="inlineStr">
        <is>
          <t>I63.0</t>
        </is>
      </c>
      <c r="R204" t="inlineStr">
        <is>
          <t>ostrow</t>
        </is>
      </c>
      <c r="S204" s="1" t="n">
        <v>46157.22708333333</v>
      </c>
      <c r="T204" t="n">
        <v>0</v>
      </c>
      <c r="U204" t="inlineStr">
        <is>
          <t>BUJALSKI TOMASZ</t>
        </is>
      </c>
    </row>
    <row r="205">
      <c r="A205" s="1" t="n">
        <v>46158</v>
      </c>
      <c r="B205" t="inlineStr">
        <is>
          <t>RISHIS-284517537</t>
        </is>
      </c>
      <c r="C205" t="inlineStr">
        <is>
          <t>MARIA BEDNARCZYK</t>
        </is>
      </c>
      <c r="D205" t="n">
        <v>37121010140</v>
      </c>
      <c r="E205" s="1" t="n">
        <v>46158</v>
      </c>
      <c r="F205" t="inlineStr">
        <is>
          <t>CITO-CITO</t>
        </is>
      </c>
      <c r="G205" t="inlineStr">
        <is>
          <t>TK</t>
        </is>
      </c>
      <c r="H205" t="inlineStr">
        <is>
          <t>TK - głowa bez kontrastu</t>
        </is>
      </c>
      <c r="I205" t="inlineStr">
        <is>
          <t>TK Onkologia</t>
        </is>
      </c>
      <c r="J205" t="inlineStr">
        <is>
          <t>1 okolica anatomiczna</t>
        </is>
      </c>
      <c r="K205" t="inlineStr">
        <is>
          <t>Tomasz Bujalski</t>
        </is>
      </c>
      <c r="L205" t="inlineStr">
        <is>
          <t> </t>
        </is>
      </c>
      <c r="M205" t="inlineStr">
        <is>
          <t>SAMODZIELNY PUBLICZNY ZESPÓŁ ZAKŁADÓW OPIEKI ZDROWOTNEJ W OSTROWI MAZOWIECKIEJ</t>
        </is>
      </c>
      <c r="N205" t="inlineStr">
        <is>
          <t>Szpitalny Oddział Ratunkowy - Oddział</t>
        </is>
      </c>
      <c r="O205" t="inlineStr">
        <is>
          <t>Kamila Tytuła-Antosiewicz</t>
        </is>
      </c>
      <c r="P205" t="inlineStr">
        <is>
          <t>3303622</t>
        </is>
      </c>
      <c r="Q205" t="inlineStr">
        <is>
          <t>E86</t>
        </is>
      </c>
      <c r="R205" t="inlineStr">
        <is>
          <t>ostrow</t>
        </is>
      </c>
      <c r="S205" s="1" t="n">
        <v>46158.62361111111</v>
      </c>
      <c r="T205" t="n">
        <v>0</v>
      </c>
      <c r="U205" t="inlineStr">
        <is>
          <t>BUJALSKI TOMASZ</t>
        </is>
      </c>
    </row>
    <row r="206">
      <c r="A206" s="1" t="n">
        <v>46158</v>
      </c>
      <c r="B206" t="inlineStr">
        <is>
          <t>RISHIS-284518928</t>
        </is>
      </c>
      <c r="C206" t="inlineStr">
        <is>
          <t>ZYGMUNT GRABOWSKI</t>
        </is>
      </c>
      <c r="D206" t="n">
        <v>52050217930</v>
      </c>
      <c r="E206" s="1" t="n">
        <v>46158</v>
      </c>
      <c r="F206" t="inlineStr">
        <is>
          <t>CITO-CITO</t>
        </is>
      </c>
      <c r="G206" t="inlineStr">
        <is>
          <t>TK</t>
        </is>
      </c>
      <c r="H206" t="inlineStr">
        <is>
          <t>TK - głowa bez kontrastu</t>
        </is>
      </c>
      <c r="I206" t="inlineStr">
        <is>
          <t>TK Onkologia</t>
        </is>
      </c>
      <c r="J206" t="inlineStr">
        <is>
          <t>1 okolica anatomiczna</t>
        </is>
      </c>
      <c r="K206" t="inlineStr">
        <is>
          <t>Tomasz Bujalski</t>
        </is>
      </c>
      <c r="L206" t="inlineStr">
        <is>
          <t> </t>
        </is>
      </c>
      <c r="M206" t="inlineStr">
        <is>
          <t>SAMODZIELNY PUBLICZNY ZESPÓŁ ZAKŁADÓW OPIEKI ZDROWOTNEJ W OSTROWI MAZOWIECKIEJ</t>
        </is>
      </c>
      <c r="N206" t="inlineStr">
        <is>
          <t>Szpitalny Oddział Ratunkowy - Oddział</t>
        </is>
      </c>
      <c r="O206" t="inlineStr">
        <is>
          <t>Kamila Tytuła-Antosiewicz</t>
        </is>
      </c>
      <c r="P206" t="inlineStr">
        <is>
          <t>3303622</t>
        </is>
      </c>
      <c r="Q206" t="inlineStr">
        <is>
          <t>R56.8</t>
        </is>
      </c>
      <c r="R206" t="inlineStr">
        <is>
          <t>ostrow</t>
        </is>
      </c>
      <c r="S206" s="1" t="n">
        <v>46158.65555555555</v>
      </c>
      <c r="T206" t="n">
        <v>0</v>
      </c>
      <c r="U206" t="inlineStr">
        <is>
          <t>BUJALSKI TOMASZ</t>
        </is>
      </c>
    </row>
    <row r="207">
      <c r="A207" s="1" t="n">
        <v>46160</v>
      </c>
      <c r="B207" t="inlineStr">
        <is>
          <t>RISHIS-284642923</t>
        </is>
      </c>
      <c r="C207" t="inlineStr">
        <is>
          <t>MAGDALENA CHRZCZONOWSKA</t>
        </is>
      </c>
      <c r="D207" t="n">
        <v>89051507742</v>
      </c>
      <c r="E207" s="1" t="n">
        <v>46160</v>
      </c>
      <c r="F207" t="inlineStr">
        <is>
          <t>CITO-CITO</t>
        </is>
      </c>
      <c r="G207" t="inlineStr">
        <is>
          <t>TK</t>
        </is>
      </c>
      <c r="H207" t="inlineStr">
        <is>
          <t>TK - jama brzuszna i miednica z kontrastem</t>
        </is>
      </c>
      <c r="I207" t="inlineStr">
        <is>
          <t>TK Zwykłe</t>
        </is>
      </c>
      <c r="J207" t="inlineStr">
        <is>
          <t>2 okolice anatomiczne</t>
        </is>
      </c>
      <c r="K207" t="inlineStr">
        <is>
          <t>Tomasz Bujalski</t>
        </is>
      </c>
      <c r="L207" t="inlineStr">
        <is>
          <t> </t>
        </is>
      </c>
      <c r="M207" t="inlineStr">
        <is>
          <t>SAMODZIELNY PUBLICZNY ZESPÓŁ ZAKŁADÓW OPIEKI ZDROWOTNEJ W OSTROWI MAZOWIECKIEJ</t>
        </is>
      </c>
      <c r="N207" t="inlineStr">
        <is>
          <t>Szpitalny Oddział Ratunkowy - Oddział</t>
        </is>
      </c>
      <c r="O207" t="inlineStr">
        <is>
          <t>ARTUR KOZAK</t>
        </is>
      </c>
      <c r="P207" t="inlineStr">
        <is>
          <t>2188948</t>
        </is>
      </c>
      <c r="Q207" t="inlineStr">
        <is>
          <t>R10.4</t>
        </is>
      </c>
      <c r="R207" t="inlineStr">
        <is>
          <t>ostrow</t>
        </is>
      </c>
      <c r="S207" s="1" t="n">
        <v>46160.58333333334</v>
      </c>
      <c r="T207" t="n">
        <v>0</v>
      </c>
      <c r="U207" t="inlineStr">
        <is>
          <t>BUJALSKI TOMASZ</t>
        </is>
      </c>
    </row>
    <row r="208">
      <c r="A208" s="1" t="n">
        <v>46160</v>
      </c>
      <c r="B208" t="inlineStr">
        <is>
          <t>RISHIS-284684608</t>
        </is>
      </c>
      <c r="C208" t="inlineStr">
        <is>
          <t>DOMINIKA KIEŁEK</t>
        </is>
      </c>
      <c r="D208" t="n">
        <v>98100111223</v>
      </c>
      <c r="E208" s="1" t="n">
        <v>46160</v>
      </c>
      <c r="F208" t="inlineStr">
        <is>
          <t>CITO-CITO</t>
        </is>
      </c>
      <c r="G208" t="inlineStr">
        <is>
          <t>TK</t>
        </is>
      </c>
      <c r="H208" t="inlineStr">
        <is>
          <t>Badanie TK wielu okolic anatomicznych u pacjenta z urazem wielonarządowym bez kontrastu</t>
        </is>
      </c>
      <c r="I208" t="inlineStr">
        <is>
          <t>TK Zwykłe</t>
        </is>
      </c>
      <c r="J208" t="inlineStr">
        <is>
          <t>3 okolice anatomiczne</t>
        </is>
      </c>
      <c r="K208" t="inlineStr">
        <is>
          <t>Tomasz Bujalski</t>
        </is>
      </c>
      <c r="L208" t="inlineStr">
        <is>
          <t> </t>
        </is>
      </c>
      <c r="M208" t="inlineStr">
        <is>
          <t>SAMODZIELNY PUBLICZNY ZESPÓŁ ZAKŁADÓW OPIEKI ZDROWOTNEJ W OSTROWI MAZOWIECKIEJ</t>
        </is>
      </c>
      <c r="N208" t="inlineStr">
        <is>
          <t>Oddział Chirurgii Ogólnej</t>
        </is>
      </c>
      <c r="O208" t="inlineStr">
        <is>
          <t>MACIEJ MARCINKOWSKI</t>
        </is>
      </c>
      <c r="P208" t="inlineStr">
        <is>
          <t>3161029</t>
        </is>
      </c>
      <c r="Q208" t="inlineStr">
        <is>
          <t>L03.8</t>
        </is>
      </c>
      <c r="R208" t="inlineStr">
        <is>
          <t>ostrow</t>
        </is>
      </c>
      <c r="S208" s="1" t="n">
        <v>46160.61458333334</v>
      </c>
      <c r="T208" t="n">
        <v>0</v>
      </c>
      <c r="U208" t="inlineStr">
        <is>
          <t>BUJALSKI TOMASZ</t>
        </is>
      </c>
    </row>
    <row r="209">
      <c r="A209" s="1" t="n">
        <v>46161</v>
      </c>
      <c r="B209" t="inlineStr">
        <is>
          <t>RISHIS-281420556</t>
        </is>
      </c>
      <c r="C209" t="inlineStr">
        <is>
          <t>LESZEK BUDNIAK</t>
        </is>
      </c>
      <c r="D209" t="n">
        <v>63060311358</v>
      </c>
      <c r="E209" s="1" t="n">
        <v>46157</v>
      </c>
      <c r="F209" t="inlineStr">
        <is>
          <t>Planowy</t>
        </is>
      </c>
      <c r="G209" t="inlineStr">
        <is>
          <t>TK</t>
        </is>
      </c>
      <c r="H209" t="inlineStr">
        <is>
          <t>TK - klatka piersiowa bez i z kontrastem</t>
        </is>
      </c>
      <c r="I209" t="inlineStr">
        <is>
          <t>TK Zwykłe</t>
        </is>
      </c>
      <c r="J209" t="inlineStr">
        <is>
          <t>1 okolica anatomiczna</t>
        </is>
      </c>
      <c r="K209" t="inlineStr">
        <is>
          <t>Tomasz Bujalski</t>
        </is>
      </c>
      <c r="L209" t="inlineStr">
        <is>
          <t> </t>
        </is>
      </c>
      <c r="M209" t="inlineStr">
        <is>
          <t>SAMODZIELNY PUBLICZNY ZESPÓŁ ZAKŁADÓW OPIEKI ZDROWOTNEJ W OSTROWI MAZOWIECKIEJ</t>
        </is>
      </c>
      <c r="N209" t="inlineStr">
        <is>
          <t>Poradnia Chorób Płuc i Gruźlicy</t>
        </is>
      </c>
      <c r="O209" t="inlineStr">
        <is>
          <t>Barbara Kalinowska</t>
        </is>
      </c>
      <c r="P209" t="inlineStr">
        <is>
          <t>4066069</t>
        </is>
      </c>
      <c r="Q209" t="inlineStr">
        <is>
          <t>R91</t>
        </is>
      </c>
      <c r="R209" t="inlineStr">
        <is>
          <t>ostrow</t>
        </is>
      </c>
      <c r="S209" s="1" t="n">
        <v>46157.53611111111</v>
      </c>
      <c r="T209" t="n">
        <v>0</v>
      </c>
      <c r="U209" t="inlineStr">
        <is>
          <t>BUJALSKI TOMASZ</t>
        </is>
      </c>
    </row>
    <row r="210">
      <c r="A210" s="1" t="n">
        <v>46161</v>
      </c>
      <c r="B210" t="inlineStr">
        <is>
          <t>RISHIS-284229056</t>
        </is>
      </c>
      <c r="C210" t="inlineStr">
        <is>
          <t>IRENA MAZUREK</t>
        </is>
      </c>
      <c r="D210" t="n">
        <v>53030405309</v>
      </c>
      <c r="E210" s="1" t="n">
        <v>46156</v>
      </c>
      <c r="F210" t="inlineStr">
        <is>
          <t>Planowy</t>
        </is>
      </c>
      <c r="G210" t="inlineStr">
        <is>
          <t>TK</t>
        </is>
      </c>
      <c r="H210" t="inlineStr">
        <is>
          <t>TK - kręgosłup odcinek lędźwiowy</t>
        </is>
      </c>
      <c r="I210" t="inlineStr">
        <is>
          <t>TK Zwykłe</t>
        </is>
      </c>
      <c r="J210" t="inlineStr">
        <is>
          <t>1 okolica anatomiczna</t>
        </is>
      </c>
      <c r="K210" t="inlineStr">
        <is>
          <t>Tomasz Bujalski</t>
        </is>
      </c>
      <c r="L210" t="inlineStr">
        <is>
          <t> </t>
        </is>
      </c>
      <c r="M210" t="inlineStr">
        <is>
          <t>SAMODZIELNY PUBLICZNY ZESPÓŁ ZAKŁADÓW OPIEKI ZDROWOTNEJ W OSTROWI MAZOWIECKIEJ</t>
        </is>
      </c>
      <c r="N210" t="inlineStr">
        <is>
          <t>Oddział Urazowo-Ortopedyczny</t>
        </is>
      </c>
      <c r="O210" t="inlineStr">
        <is>
          <t>Tomasz Kordyaczny</t>
        </is>
      </c>
      <c r="P210" t="inlineStr">
        <is>
          <t>4486395</t>
        </is>
      </c>
      <c r="Q210" t="inlineStr">
        <is>
          <t>M43.1</t>
        </is>
      </c>
      <c r="R210" t="inlineStr">
        <is>
          <t>ostrow</t>
        </is>
      </c>
      <c r="S210" s="1" t="n">
        <v>46157.26180555556</v>
      </c>
      <c r="T210" t="n">
        <v>0</v>
      </c>
      <c r="U210" t="inlineStr">
        <is>
          <t>BUJALSKI TOMASZ</t>
        </is>
      </c>
    </row>
    <row r="211">
      <c r="A211" s="1" t="n">
        <v>46161</v>
      </c>
      <c r="B211" t="inlineStr">
        <is>
          <t>RISHIS-284616270</t>
        </is>
      </c>
      <c r="C211" t="inlineStr">
        <is>
          <t>MIROSŁAW KULESZA</t>
        </is>
      </c>
      <c r="D211" t="n">
        <v>57110806598</v>
      </c>
      <c r="E211" s="1" t="n">
        <v>46160</v>
      </c>
      <c r="F211" t="inlineStr">
        <is>
          <t>Pilny</t>
        </is>
      </c>
      <c r="G211" t="inlineStr">
        <is>
          <t>TK</t>
        </is>
      </c>
      <c r="H211" t="inlineStr">
        <is>
          <t>TK - klatka piersiowa bez kontrastu</t>
        </is>
      </c>
      <c r="I211" t="inlineStr">
        <is>
          <t>TK Zwykłe</t>
        </is>
      </c>
      <c r="J211" t="inlineStr">
        <is>
          <t>1 okolica anatomiczna</t>
        </is>
      </c>
      <c r="K211" t="inlineStr">
        <is>
          <t>Tomasz Bujalski</t>
        </is>
      </c>
      <c r="L211" t="inlineStr">
        <is>
          <t> </t>
        </is>
      </c>
      <c r="M211" t="inlineStr">
        <is>
          <t>SAMODZIELNY PUBLICZNY ZESPÓŁ ZAKŁADÓW OPIEKI ZDROWOTNEJ W OSTROWI MAZOWIECKIEJ</t>
        </is>
      </c>
      <c r="N211" t="inlineStr">
        <is>
          <t>Oddział Anestezjologii i Intensywnej Terapii</t>
        </is>
      </c>
      <c r="O211" t="inlineStr">
        <is>
          <t>JUSTYNA DZIEKOŃSKA</t>
        </is>
      </c>
      <c r="P211" t="inlineStr">
        <is>
          <t>2983013</t>
        </is>
      </c>
      <c r="Q211" t="inlineStr">
        <is>
          <t>R57.1</t>
        </is>
      </c>
      <c r="R211" t="inlineStr">
        <is>
          <t>ostrow</t>
        </is>
      </c>
      <c r="S211" s="1" t="n">
        <v>46160.55486111111</v>
      </c>
      <c r="T211" t="n">
        <v>1</v>
      </c>
      <c r="U211" t="inlineStr">
        <is>
          <t>BUJALSKI TOMASZ</t>
        </is>
      </c>
    </row>
    <row r="212">
      <c r="A212" s="1" t="n">
        <v>46162</v>
      </c>
      <c r="B212" t="inlineStr">
        <is>
          <t>RISHIS-284920392</t>
        </is>
      </c>
      <c r="C212" t="inlineStr">
        <is>
          <t>TADEUSZ BOROWIEC</t>
        </is>
      </c>
      <c r="D212" t="n">
        <v>51032520530</v>
      </c>
      <c r="E212" s="1" t="n">
        <v>46162</v>
      </c>
      <c r="F212" t="inlineStr">
        <is>
          <t>CITO-CITO</t>
        </is>
      </c>
      <c r="G212" t="inlineStr">
        <is>
          <t>TK</t>
        </is>
      </c>
      <c r="H212" t="inlineStr">
        <is>
          <t>TK - głowa bez kontrastu</t>
        </is>
      </c>
      <c r="I212" t="inlineStr">
        <is>
          <t>TK Onkologia</t>
        </is>
      </c>
      <c r="J212" t="inlineStr">
        <is>
          <t>1 okolica anatomiczna</t>
        </is>
      </c>
      <c r="K212" t="inlineStr">
        <is>
          <t>Tomasz Bujalski</t>
        </is>
      </c>
      <c r="L212" t="inlineStr">
        <is>
          <t> </t>
        </is>
      </c>
      <c r="M212" t="inlineStr">
        <is>
          <t>SAMODZIELNY PUBLICZNY ZESPÓŁ ZAKŁADÓW OPIEKI ZDROWOTNEJ W OSTROWI MAZOWIECKIEJ</t>
        </is>
      </c>
      <c r="N212" t="inlineStr">
        <is>
          <t>Szpitalny Oddział Ratunkowy - Oddział</t>
        </is>
      </c>
      <c r="O212" t="inlineStr">
        <is>
          <t>Dariusz Marcinkowski</t>
        </is>
      </c>
      <c r="P212" t="inlineStr">
        <is>
          <t>8365180</t>
        </is>
      </c>
      <c r="Q212" t="inlineStr">
        <is>
          <t>S01.8</t>
        </is>
      </c>
      <c r="R212" t="inlineStr">
        <is>
          <t>ostrow</t>
        </is>
      </c>
      <c r="S212" s="1" t="n">
        <v>46162.62847222222</v>
      </c>
      <c r="T212" t="n">
        <v>0</v>
      </c>
      <c r="U212" t="inlineStr">
        <is>
          <t>BUJALSKI TOMASZ</t>
        </is>
      </c>
    </row>
    <row r="213">
      <c r="A213" s="1" t="n">
        <v>46162</v>
      </c>
      <c r="B213" t="inlineStr">
        <is>
          <t>RISHIS-284933284</t>
        </is>
      </c>
      <c r="C213" t="inlineStr">
        <is>
          <t>MAŁGORZATA DĄBKOWSKA</t>
        </is>
      </c>
      <c r="D213" t="n">
        <v>74011012860</v>
      </c>
      <c r="E213" s="1" t="n">
        <v>46162</v>
      </c>
      <c r="F213" t="inlineStr">
        <is>
          <t>CITO-CITO</t>
        </is>
      </c>
      <c r="G213" t="inlineStr">
        <is>
          <t>TK</t>
        </is>
      </c>
      <c r="H213" t="inlineStr">
        <is>
          <t>Badanie TK wielu okolic anatomicznych u pacjenta z urazem wielonarządowym z kontrastem</t>
        </is>
      </c>
      <c r="I213" t="inlineStr">
        <is>
          <t>TK Zwykłe</t>
        </is>
      </c>
      <c r="J213" t="inlineStr">
        <is>
          <t>3 okolice anatomiczne</t>
        </is>
      </c>
      <c r="K213" t="inlineStr">
        <is>
          <t>Tomasz Bujalski</t>
        </is>
      </c>
      <c r="L213" t="inlineStr">
        <is>
          <t> </t>
        </is>
      </c>
      <c r="M213" t="inlineStr">
        <is>
          <t>SAMODZIELNY PUBLICZNY ZESPÓŁ ZAKŁADÓW OPIEKI ZDROWOTNEJ W OSTROWI MAZOWIECKIEJ</t>
        </is>
      </c>
      <c r="N213" t="inlineStr">
        <is>
          <t>Szpitalny Oddział Ratunkowy - Oddział</t>
        </is>
      </c>
      <c r="O213" t="inlineStr">
        <is>
          <t>Dariusz Marcinkowski</t>
        </is>
      </c>
      <c r="P213" t="inlineStr">
        <is>
          <t>8365180</t>
        </is>
      </c>
      <c r="Q213" t="inlineStr">
        <is>
          <t>S20.8</t>
        </is>
      </c>
      <c r="R213" t="inlineStr">
        <is>
          <t>ostrow</t>
        </is>
      </c>
      <c r="S213" s="1" t="n">
        <v>46162.71875</v>
      </c>
      <c r="T213" t="n">
        <v>0</v>
      </c>
      <c r="U213" t="inlineStr">
        <is>
          <t>BUJALSKI TOMASZ</t>
        </is>
      </c>
    </row>
    <row r="214">
      <c r="A214" s="1" t="n">
        <v>46163</v>
      </c>
      <c r="B214" t="inlineStr">
        <is>
          <t>RISHIS-284880770</t>
        </is>
      </c>
      <c r="C214" t="inlineStr">
        <is>
          <t>JADWIGA STANKIEWICZ</t>
        </is>
      </c>
      <c r="D214" t="n">
        <v>47121410109</v>
      </c>
      <c r="E214" s="1" t="n">
        <v>46162</v>
      </c>
      <c r="F214" t="inlineStr">
        <is>
          <t>Pilny</t>
        </is>
      </c>
      <c r="G214" t="inlineStr">
        <is>
          <t>TK</t>
        </is>
      </c>
      <c r="H214" t="inlineStr">
        <is>
          <t>Badanie wielu okolic anatomicznych (np. kl. pierś+jama brzuszna+miednica) bez kontrastu</t>
        </is>
      </c>
      <c r="I214" t="inlineStr">
        <is>
          <t>TK Zwykłe</t>
        </is>
      </c>
      <c r="J214" t="inlineStr">
        <is>
          <t>3 okolice anatomiczne</t>
        </is>
      </c>
      <c r="K214" t="inlineStr">
        <is>
          <t>Tomasz Bujalski</t>
        </is>
      </c>
      <c r="L214" t="inlineStr">
        <is>
          <t> </t>
        </is>
      </c>
      <c r="M214" t="inlineStr">
        <is>
          <t>SAMODZIELNY PUBLICZNY ZESPÓŁ ZAKŁADÓW OPIEKI ZDROWOTNEJ W OSTROWI MAZOWIECKIEJ</t>
        </is>
      </c>
      <c r="N214" t="inlineStr">
        <is>
          <t>Oddział Chorób Wewnętrznych</t>
        </is>
      </c>
      <c r="O214" t="inlineStr">
        <is>
          <t>Piotr Krawczyk</t>
        </is>
      </c>
      <c r="P214" t="inlineStr">
        <is>
          <t>4291668</t>
        </is>
      </c>
      <c r="Q214" t="inlineStr">
        <is>
          <t>R51</t>
        </is>
      </c>
      <c r="R214" t="inlineStr">
        <is>
          <t>ostrow</t>
        </is>
      </c>
      <c r="S214" s="1" t="n">
        <v>46162.48263888889</v>
      </c>
      <c r="T214" t="n">
        <v>0</v>
      </c>
      <c r="U214" t="inlineStr">
        <is>
          <t>BUJALSKI TOMASZ</t>
        </is>
      </c>
    </row>
    <row r="215">
      <c r="A215" s="1" t="n">
        <v>46151</v>
      </c>
      <c r="B215" t="inlineStr">
        <is>
          <t>1/112402I</t>
        </is>
      </c>
      <c r="C215" t="inlineStr">
        <is>
          <t>ANNA MOUNEIMNE</t>
        </is>
      </c>
      <c r="D215" t="inlineStr">
        <is>
          <t>55112506607</t>
        </is>
      </c>
      <c r="E215" s="1" t="n">
        <v>46151</v>
      </c>
      <c r="F215" t="inlineStr">
        <is>
          <t>CITO-CITO</t>
        </is>
      </c>
      <c r="G215" t="inlineStr">
        <is>
          <t>TK</t>
        </is>
      </c>
      <c r="H215" t="inlineStr">
        <is>
          <t>TK j.brzusznej i miednicy</t>
        </is>
      </c>
      <c r="I215" t="inlineStr">
        <is>
          <t>TK Zwykłe</t>
        </is>
      </c>
      <c r="J215" t="inlineStr">
        <is>
          <t>2 okolice anatomiczne</t>
        </is>
      </c>
      <c r="K215" t="inlineStr">
        <is>
          <t>Tomasz Bujalski</t>
        </is>
      </c>
      <c r="L215" t="inlineStr">
        <is>
          <t> </t>
        </is>
      </c>
      <c r="M215" t="inlineStr">
        <is>
          <t> </t>
        </is>
      </c>
      <c r="N215" t="inlineStr">
        <is>
          <t> </t>
        </is>
      </c>
      <c r="O215" t="inlineStr">
        <is>
          <t> </t>
        </is>
      </c>
      <c r="P215" t="inlineStr">
        <is>
          <t> </t>
        </is>
      </c>
      <c r="Q215" t="inlineStr">
        <is>
          <t> </t>
        </is>
      </c>
      <c r="R215" t="inlineStr">
        <is>
          <t>pczotwock</t>
        </is>
      </c>
      <c r="S215" s="1" t="n">
        <v>46151.68888888889</v>
      </c>
      <c r="T215" t="n">
        <v>0</v>
      </c>
      <c r="U215" t="inlineStr">
        <is>
          <t>BUJALSKI TOMASZ</t>
        </is>
      </c>
    </row>
    <row r="216">
      <c r="A216" s="1" t="n">
        <v>46160</v>
      </c>
      <c r="B216" t="inlineStr">
        <is>
          <t>1/112757I</t>
        </is>
      </c>
      <c r="C216" t="inlineStr">
        <is>
          <t>IRENA DRELA</t>
        </is>
      </c>
      <c r="D216" t="inlineStr">
        <is>
          <t>48041100941</t>
        </is>
      </c>
      <c r="E216" s="1" t="n">
        <v>46160</v>
      </c>
      <c r="F216" t="inlineStr">
        <is>
          <t>CITO-CITO</t>
        </is>
      </c>
      <c r="G216" t="inlineStr">
        <is>
          <t>TK</t>
        </is>
      </c>
      <c r="H216" t="inlineStr">
        <is>
          <t>TK j.brzusznej i miednicy</t>
        </is>
      </c>
      <c r="I216" t="inlineStr">
        <is>
          <t>TK Onkologia</t>
        </is>
      </c>
      <c r="J216" t="inlineStr">
        <is>
          <t>2 okolice anatomiczne</t>
        </is>
      </c>
      <c r="K216" t="inlineStr">
        <is>
          <t>Tomasz Bujalski</t>
        </is>
      </c>
      <c r="L216" t="inlineStr">
        <is>
          <t> </t>
        </is>
      </c>
      <c r="M216" t="inlineStr">
        <is>
          <t> </t>
        </is>
      </c>
      <c r="N216" t="inlineStr">
        <is>
          <t> </t>
        </is>
      </c>
      <c r="O216" t="inlineStr">
        <is>
          <t> </t>
        </is>
      </c>
      <c r="P216" t="inlineStr">
        <is>
          <t> </t>
        </is>
      </c>
      <c r="Q216" t="inlineStr">
        <is>
          <t> </t>
        </is>
      </c>
      <c r="R216" t="inlineStr">
        <is>
          <t>pczotwock</t>
        </is>
      </c>
      <c r="S216" s="1" t="n">
        <v>46160.41527777778</v>
      </c>
      <c r="T216" t="n">
        <v>0</v>
      </c>
      <c r="U216" t="inlineStr">
        <is>
          <t>BUJALSKI TOMASZ</t>
        </is>
      </c>
    </row>
    <row r="217">
      <c r="A217" s="1" t="n">
        <v>46160</v>
      </c>
      <c r="B217" t="inlineStr">
        <is>
          <t>1/112757I</t>
        </is>
      </c>
      <c r="C217" t="inlineStr">
        <is>
          <t>IRENA DRELA</t>
        </is>
      </c>
      <c r="D217" t="inlineStr">
        <is>
          <t>48041100941</t>
        </is>
      </c>
      <c r="E217" s="1" t="n">
        <v>46160</v>
      </c>
      <c r="F217" t="inlineStr">
        <is>
          <t>CITO-CITO</t>
        </is>
      </c>
      <c r="G217" t="inlineStr">
        <is>
          <t>TK</t>
        </is>
      </c>
      <c r="H217" t="inlineStr">
        <is>
          <t>TK klatki piersiowej</t>
        </is>
      </c>
      <c r="I217" t="inlineStr">
        <is>
          <t>TK Onkologia</t>
        </is>
      </c>
      <c r="J217" t="inlineStr">
        <is>
          <t>1 okolica anatomiczna</t>
        </is>
      </c>
      <c r="K217" t="inlineStr">
        <is>
          <t>Tomasz Bujalski</t>
        </is>
      </c>
      <c r="L217" t="inlineStr">
        <is>
          <t> </t>
        </is>
      </c>
      <c r="M217" t="inlineStr">
        <is>
          <t> </t>
        </is>
      </c>
      <c r="N217" t="inlineStr">
        <is>
          <t> </t>
        </is>
      </c>
      <c r="O217" t="inlineStr">
        <is>
          <t> </t>
        </is>
      </c>
      <c r="P217" t="inlineStr">
        <is>
          <t> </t>
        </is>
      </c>
      <c r="Q217" t="inlineStr">
        <is>
          <t> </t>
        </is>
      </c>
      <c r="R217" t="inlineStr">
        <is>
          <t>pczotwock</t>
        </is>
      </c>
      <c r="S217" s="1" t="n">
        <v>46160.41527777778</v>
      </c>
      <c r="T217" t="n">
        <v>0</v>
      </c>
      <c r="U217" t="inlineStr">
        <is>
          <t>BUJALSKI TOMASZ</t>
        </is>
      </c>
    </row>
    <row r="218">
      <c r="A218" s="1" t="n">
        <v>46162</v>
      </c>
      <c r="B218" t="inlineStr">
        <is>
          <t>1/112874I</t>
        </is>
      </c>
      <c r="C218" t="inlineStr">
        <is>
          <t>JADWIGA ADAMSKA</t>
        </is>
      </c>
      <c r="D218" t="inlineStr">
        <is>
          <t>41091400108</t>
        </is>
      </c>
      <c r="E218" s="1" t="n">
        <v>46162</v>
      </c>
      <c r="F218" t="inlineStr">
        <is>
          <t>CITO-CITO</t>
        </is>
      </c>
      <c r="G218" t="inlineStr">
        <is>
          <t>TK</t>
        </is>
      </c>
      <c r="H218" t="inlineStr">
        <is>
          <t>TK kręgosłupa odc. C</t>
        </is>
      </c>
      <c r="I218" t="inlineStr">
        <is>
          <t>TK Zwykłe</t>
        </is>
      </c>
      <c r="J218" t="inlineStr">
        <is>
          <t>1 okolica anatomiczna</t>
        </is>
      </c>
      <c r="K218" t="inlineStr">
        <is>
          <t>Tomasz Bujalski</t>
        </is>
      </c>
      <c r="L218" t="inlineStr">
        <is>
          <t> </t>
        </is>
      </c>
      <c r="M218" t="inlineStr">
        <is>
          <t> </t>
        </is>
      </c>
      <c r="N218" t="inlineStr">
        <is>
          <t> </t>
        </is>
      </c>
      <c r="O218" t="inlineStr">
        <is>
          <t> </t>
        </is>
      </c>
      <c r="P218" t="inlineStr">
        <is>
          <t> </t>
        </is>
      </c>
      <c r="Q218" t="inlineStr">
        <is>
          <t> </t>
        </is>
      </c>
      <c r="R218" t="inlineStr">
        <is>
          <t>pczotwock</t>
        </is>
      </c>
      <c r="S218" s="1" t="n">
        <v>46162.52916666667</v>
      </c>
      <c r="T218" t="n">
        <v>0</v>
      </c>
      <c r="U218" t="inlineStr">
        <is>
          <t>BUJALSKI TOMASZ</t>
        </is>
      </c>
    </row>
    <row r="219">
      <c r="A219" s="1" t="n">
        <v>46162</v>
      </c>
      <c r="B219" t="inlineStr">
        <is>
          <t>1/112875I</t>
        </is>
      </c>
      <c r="C219" t="inlineStr">
        <is>
          <t>JADWIGA ADAMSKA</t>
        </is>
      </c>
      <c r="D219" t="inlineStr">
        <is>
          <t>41091400108</t>
        </is>
      </c>
      <c r="E219" s="1" t="n">
        <v>46162</v>
      </c>
      <c r="F219" t="inlineStr">
        <is>
          <t>CITO-CITO</t>
        </is>
      </c>
      <c r="G219" t="inlineStr">
        <is>
          <t>TK</t>
        </is>
      </c>
      <c r="H219" t="inlineStr">
        <is>
          <t>TK głowy</t>
        </is>
      </c>
      <c r="I219" t="inlineStr">
        <is>
          <t>TK Onkologia</t>
        </is>
      </c>
      <c r="J219" t="inlineStr">
        <is>
          <t>1 okolica anatomiczna</t>
        </is>
      </c>
      <c r="K219" t="inlineStr">
        <is>
          <t>Tomasz Bujalski</t>
        </is>
      </c>
      <c r="L219" t="inlineStr">
        <is>
          <t> </t>
        </is>
      </c>
      <c r="M219" t="inlineStr">
        <is>
          <t> </t>
        </is>
      </c>
      <c r="N219" t="inlineStr">
        <is>
          <t> </t>
        </is>
      </c>
      <c r="O219" t="inlineStr">
        <is>
          <t> </t>
        </is>
      </c>
      <c r="P219" t="inlineStr">
        <is>
          <t> </t>
        </is>
      </c>
      <c r="Q219" t="inlineStr">
        <is>
          <t> </t>
        </is>
      </c>
      <c r="R219" t="inlineStr">
        <is>
          <t>pczotwock</t>
        </is>
      </c>
      <c r="S219" s="1" t="n">
        <v>46162.52777777778</v>
      </c>
      <c r="T219" t="n">
        <v>0</v>
      </c>
      <c r="U219" t="inlineStr">
        <is>
          <t>BUJALSKI TOMASZ</t>
        </is>
      </c>
    </row>
    <row r="220">
      <c r="A220" s="1" t="n">
        <v>46162</v>
      </c>
      <c r="B220" t="inlineStr">
        <is>
          <t>1/112883I</t>
        </is>
      </c>
      <c r="C220" t="inlineStr">
        <is>
          <t>JADWIGA ADAMSKA</t>
        </is>
      </c>
      <c r="D220" t="inlineStr">
        <is>
          <t>41091400108</t>
        </is>
      </c>
      <c r="E220" s="1" t="n">
        <v>46162</v>
      </c>
      <c r="F220" t="inlineStr">
        <is>
          <t>CITO-CITO</t>
        </is>
      </c>
      <c r="G220" t="inlineStr">
        <is>
          <t>TK</t>
        </is>
      </c>
      <c r="H220" t="inlineStr">
        <is>
          <t>TK angio głowy</t>
        </is>
      </c>
      <c r="I220" t="inlineStr">
        <is>
          <t>TK Angiografia</t>
        </is>
      </c>
      <c r="J220" t="inlineStr">
        <is>
          <t>1 okolica anatomiczna</t>
        </is>
      </c>
      <c r="K220" t="inlineStr">
        <is>
          <t>Tomasz Bujalski</t>
        </is>
      </c>
      <c r="L220" t="inlineStr">
        <is>
          <t> </t>
        </is>
      </c>
      <c r="M220" t="inlineStr">
        <is>
          <t> </t>
        </is>
      </c>
      <c r="N220" t="inlineStr">
        <is>
          <t> </t>
        </is>
      </c>
      <c r="O220" t="inlineStr">
        <is>
          <t> </t>
        </is>
      </c>
      <c r="P220" t="inlineStr">
        <is>
          <t> </t>
        </is>
      </c>
      <c r="Q220" t="inlineStr">
        <is>
          <t> </t>
        </is>
      </c>
      <c r="R220" t="inlineStr">
        <is>
          <t>pczotwock</t>
        </is>
      </c>
      <c r="S220" s="1" t="n">
        <v>46162.56111111111</v>
      </c>
      <c r="T220" t="n">
        <v>0</v>
      </c>
      <c r="U220" t="inlineStr">
        <is>
          <t>BUJALSKI TOMASZ</t>
        </is>
      </c>
    </row>
    <row r="221">
      <c r="A221" s="1" t="n">
        <v>46163</v>
      </c>
      <c r="B221" t="inlineStr">
        <is>
          <t>1/112880I</t>
        </is>
      </c>
      <c r="C221" t="inlineStr">
        <is>
          <t>BEATA CACKO</t>
        </is>
      </c>
      <c r="D221" t="inlineStr">
        <is>
          <t>83101013407</t>
        </is>
      </c>
      <c r="E221" s="1" t="n">
        <v>46163</v>
      </c>
      <c r="F221" t="inlineStr">
        <is>
          <t>Pilny</t>
        </is>
      </c>
      <c r="G221" t="inlineStr">
        <is>
          <t>TK</t>
        </is>
      </c>
      <c r="H221" t="inlineStr">
        <is>
          <t>TK j.brzusznej i miednicy</t>
        </is>
      </c>
      <c r="I221" t="inlineStr">
        <is>
          <t>TK Zwykłe</t>
        </is>
      </c>
      <c r="J221" t="inlineStr">
        <is>
          <t>2 okolice anatomiczne</t>
        </is>
      </c>
      <c r="K221" t="inlineStr">
        <is>
          <t>Tomasz Bujalski</t>
        </is>
      </c>
      <c r="L221" t="inlineStr">
        <is>
          <t> </t>
        </is>
      </c>
      <c r="M221" t="inlineStr">
        <is>
          <t> </t>
        </is>
      </c>
      <c r="N221" t="inlineStr">
        <is>
          <t> </t>
        </is>
      </c>
      <c r="O221" t="inlineStr">
        <is>
          <t> </t>
        </is>
      </c>
      <c r="P221" t="inlineStr">
        <is>
          <t> </t>
        </is>
      </c>
      <c r="Q221" t="inlineStr">
        <is>
          <t> </t>
        </is>
      </c>
      <c r="R221" t="inlineStr">
        <is>
          <t>pczotwock</t>
        </is>
      </c>
      <c r="S221" s="1" t="n">
        <v>46163.25902777778</v>
      </c>
      <c r="T221" t="n">
        <v>0</v>
      </c>
      <c r="U221" t="inlineStr">
        <is>
          <t>BUJALSKI TOMASZ</t>
        </is>
      </c>
    </row>
    <row r="222">
      <c r="A222" s="1" t="n">
        <v>46168</v>
      </c>
      <c r="B222" t="inlineStr">
        <is>
          <t>1/113057I</t>
        </is>
      </c>
      <c r="C222" t="inlineStr">
        <is>
          <t>SYLWESTER SWIERZEWSKI</t>
        </is>
      </c>
      <c r="D222" t="inlineStr">
        <is>
          <t>53081203451</t>
        </is>
      </c>
      <c r="E222" s="1" t="n">
        <v>46167</v>
      </c>
      <c r="F222" t="inlineStr">
        <is>
          <t>Pilny</t>
        </is>
      </c>
      <c r="G222" t="inlineStr">
        <is>
          <t>TK</t>
        </is>
      </c>
      <c r="H222" t="inlineStr">
        <is>
          <t>TK klatki piersiowej, j.brzusznej i miednicy</t>
        </is>
      </c>
      <c r="I222" t="inlineStr">
        <is>
          <t>TK Onkologia</t>
        </is>
      </c>
      <c r="J222" t="inlineStr">
        <is>
          <t>3 okolice anatomiczne</t>
        </is>
      </c>
      <c r="K222" t="inlineStr">
        <is>
          <t>Tomasz Bujalski</t>
        </is>
      </c>
      <c r="L222" t="inlineStr">
        <is>
          <t> </t>
        </is>
      </c>
      <c r="M222" t="inlineStr">
        <is>
          <t> </t>
        </is>
      </c>
      <c r="N222" t="inlineStr">
        <is>
          <t> </t>
        </is>
      </c>
      <c r="O222" t="inlineStr">
        <is>
          <t> </t>
        </is>
      </c>
      <c r="P222" t="inlineStr">
        <is>
          <t> </t>
        </is>
      </c>
      <c r="Q222" t="inlineStr">
        <is>
          <t> </t>
        </is>
      </c>
      <c r="R222" t="inlineStr">
        <is>
          <t>pczotwock</t>
        </is>
      </c>
      <c r="S222" s="1" t="n">
        <v>46167.5</v>
      </c>
      <c r="T222" t="n">
        <v>0</v>
      </c>
      <c r="U222" t="inlineStr">
        <is>
          <t>BUJALSKI TOMASZ</t>
        </is>
      </c>
    </row>
    <row r="223">
      <c r="A223" s="1" t="n">
        <v>46168</v>
      </c>
      <c r="B223" t="inlineStr">
        <is>
          <t>1/113057I</t>
        </is>
      </c>
      <c r="C223" t="inlineStr">
        <is>
          <t>SYLWESTER SWIERZEWSKI</t>
        </is>
      </c>
      <c r="D223" t="inlineStr">
        <is>
          <t>53081203451</t>
        </is>
      </c>
      <c r="E223" s="1" t="n">
        <v>46167</v>
      </c>
      <c r="F223" t="inlineStr">
        <is>
          <t>Pilny</t>
        </is>
      </c>
      <c r="G223" t="inlineStr">
        <is>
          <t>TK</t>
        </is>
      </c>
      <c r="H223" t="inlineStr">
        <is>
          <t>TK szyi z kontrastem</t>
        </is>
      </c>
      <c r="I223" t="inlineStr">
        <is>
          <t>TK Onkologia</t>
        </is>
      </c>
      <c r="J223" t="inlineStr">
        <is>
          <t>2 okolice anatomiczne</t>
        </is>
      </c>
      <c r="K223" t="inlineStr">
        <is>
          <t>Tomasz Bujalski</t>
        </is>
      </c>
      <c r="L223" t="inlineStr">
        <is>
          <t> </t>
        </is>
      </c>
      <c r="M223" t="inlineStr">
        <is>
          <t> </t>
        </is>
      </c>
      <c r="N223" t="inlineStr">
        <is>
          <t> </t>
        </is>
      </c>
      <c r="O223" t="inlineStr">
        <is>
          <t> </t>
        </is>
      </c>
      <c r="P223" t="inlineStr">
        <is>
          <t> </t>
        </is>
      </c>
      <c r="Q223" t="inlineStr">
        <is>
          <t> </t>
        </is>
      </c>
      <c r="R223" t="inlineStr">
        <is>
          <t>pczotwock</t>
        </is>
      </c>
      <c r="S223" s="1" t="n">
        <v>46167.5</v>
      </c>
      <c r="T223" t="n">
        <v>2</v>
      </c>
      <c r="U223" t="inlineStr">
        <is>
          <t>BUJALSKI TOMASZ</t>
        </is>
      </c>
    </row>
    <row r="224">
      <c r="A224" s="1" t="n">
        <v>46150</v>
      </c>
      <c r="B224" t="inlineStr">
        <is>
          <t>CH01B03000049BA1</t>
        </is>
      </c>
      <c r="C224" t="inlineStr">
        <is>
          <t>RYSZARD BLASZCZYK</t>
        </is>
      </c>
      <c r="D224" t="n">
        <v>50090615479</v>
      </c>
      <c r="E224" s="1" t="n">
        <v>46150</v>
      </c>
      <c r="F224" t="inlineStr">
        <is>
          <t>CITO-CITO</t>
        </is>
      </c>
      <c r="G224" t="inlineStr">
        <is>
          <t>TK</t>
        </is>
      </c>
      <c r="H224" t="inlineStr">
        <is>
          <t>TK j.brzusznej i miednicy</t>
        </is>
      </c>
      <c r="I224" t="inlineStr">
        <is>
          <t>TK Zwykłe</t>
        </is>
      </c>
      <c r="J224" t="inlineStr">
        <is>
          <t>2 okolice anatomiczne</t>
        </is>
      </c>
      <c r="K224" t="inlineStr">
        <is>
          <t>Tomasz Bujalski</t>
        </is>
      </c>
      <c r="L224" t="inlineStr">
        <is>
          <t> </t>
        </is>
      </c>
      <c r="M224" t="inlineStr">
        <is>
          <t> </t>
        </is>
      </c>
      <c r="N224" t="inlineStr">
        <is>
          <t> </t>
        </is>
      </c>
      <c r="O224" t="inlineStr">
        <is>
          <t> </t>
        </is>
      </c>
      <c r="P224" t="inlineStr">
        <is>
          <t> </t>
        </is>
      </c>
      <c r="Q224" t="inlineStr">
        <is>
          <t> </t>
        </is>
      </c>
      <c r="R224" t="inlineStr">
        <is>
          <t>poddebice</t>
        </is>
      </c>
      <c r="S224" s="1" t="n">
        <v>46150.21388888889</v>
      </c>
      <c r="T224" t="n">
        <v>0</v>
      </c>
      <c r="U224" t="inlineStr">
        <is>
          <t>BUJALSKI TOMASZ</t>
        </is>
      </c>
    </row>
    <row r="225">
      <c r="A225" s="1" t="n">
        <v>46153</v>
      </c>
      <c r="B225" t="inlineStr">
        <is>
          <t>CH01B03000049CED</t>
        </is>
      </c>
      <c r="C225" t="inlineStr">
        <is>
          <t>JADWIGA OLSZEWSKA</t>
        </is>
      </c>
      <c r="D225" t="n">
        <v>50061616087</v>
      </c>
      <c r="E225" s="1" t="n">
        <v>46153</v>
      </c>
      <c r="F225" t="inlineStr">
        <is>
          <t>CITO-CITO</t>
        </is>
      </c>
      <c r="G225" t="inlineStr">
        <is>
          <t>TK</t>
        </is>
      </c>
      <c r="H225" t="inlineStr">
        <is>
          <t>TK głowy</t>
        </is>
      </c>
      <c r="I225" t="inlineStr">
        <is>
          <t>TK Onkologia</t>
        </is>
      </c>
      <c r="J225" t="inlineStr">
        <is>
          <t>1 okolica anatomiczna</t>
        </is>
      </c>
      <c r="K225" t="inlineStr">
        <is>
          <t>Tomasz Bujalski</t>
        </is>
      </c>
      <c r="L225" t="inlineStr">
        <is>
          <t> </t>
        </is>
      </c>
      <c r="M225" t="inlineStr">
        <is>
          <t> </t>
        </is>
      </c>
      <c r="N225" t="inlineStr">
        <is>
          <t> </t>
        </is>
      </c>
      <c r="O225" t="inlineStr">
        <is>
          <t> </t>
        </is>
      </c>
      <c r="P225" t="inlineStr">
        <is>
          <t> </t>
        </is>
      </c>
      <c r="Q225" t="inlineStr">
        <is>
          <t> </t>
        </is>
      </c>
      <c r="R225" t="inlineStr">
        <is>
          <t>poddebice</t>
        </is>
      </c>
      <c r="S225" s="1" t="n">
        <v>46153.40763888889</v>
      </c>
      <c r="T225" t="n">
        <v>0</v>
      </c>
      <c r="U225" t="inlineStr">
        <is>
          <t>BUJALSKI TOMASZ</t>
        </is>
      </c>
    </row>
    <row r="226">
      <c r="A226" s="1" t="n">
        <v>46161</v>
      </c>
      <c r="B226" t="inlineStr">
        <is>
          <t>CH01B03000049C2E</t>
        </is>
      </c>
      <c r="C226" t="inlineStr">
        <is>
          <t>ZBIGNIEW GLINKA</t>
        </is>
      </c>
      <c r="D226" t="n">
        <v>71111609714</v>
      </c>
      <c r="E226" s="1" t="n">
        <v>46151</v>
      </c>
      <c r="F226" t="inlineStr">
        <is>
          <t>Planowy</t>
        </is>
      </c>
      <c r="G226" t="inlineStr">
        <is>
          <t>TK</t>
        </is>
      </c>
      <c r="H226" t="inlineStr">
        <is>
          <t>TK klatki piersiowej</t>
        </is>
      </c>
      <c r="I226" t="inlineStr">
        <is>
          <t>TK Zwykłe</t>
        </is>
      </c>
      <c r="J226" t="inlineStr">
        <is>
          <t>1 okolica anatomiczna</t>
        </is>
      </c>
      <c r="K226" t="inlineStr">
        <is>
          <t>Tomasz Bujalski</t>
        </is>
      </c>
      <c r="L226" t="inlineStr">
        <is>
          <t> </t>
        </is>
      </c>
      <c r="M226" t="inlineStr">
        <is>
          <t> </t>
        </is>
      </c>
      <c r="N226" t="inlineStr">
        <is>
          <t> </t>
        </is>
      </c>
      <c r="O226" t="inlineStr">
        <is>
          <t> </t>
        </is>
      </c>
      <c r="P226" t="inlineStr">
        <is>
          <t> </t>
        </is>
      </c>
      <c r="Q226" t="inlineStr">
        <is>
          <t> </t>
        </is>
      </c>
      <c r="R226" t="inlineStr">
        <is>
          <t>poddebice</t>
        </is>
      </c>
      <c r="S226" s="1" t="n">
        <v>46160.44236111111</v>
      </c>
      <c r="T226" t="n">
        <v>0</v>
      </c>
      <c r="U226" t="inlineStr">
        <is>
          <t>BUJALSKI TOMASZ</t>
        </is>
      </c>
    </row>
    <row r="227">
      <c r="A227" s="1" t="n">
        <v>46167</v>
      </c>
      <c r="B227" t="inlineStr">
        <is>
          <t>CH01B0300004A11B</t>
        </is>
      </c>
      <c r="C227" t="inlineStr">
        <is>
          <t>WANDA SZUBSKA</t>
        </is>
      </c>
      <c r="D227" t="n">
        <v>50082108068</v>
      </c>
      <c r="E227" s="1" t="n">
        <v>46165</v>
      </c>
      <c r="F227" t="inlineStr">
        <is>
          <t>Pilny</t>
        </is>
      </c>
      <c r="G227" t="inlineStr">
        <is>
          <t>TK</t>
        </is>
      </c>
      <c r="H227" t="inlineStr">
        <is>
          <t>TK klatki piersiowej</t>
        </is>
      </c>
      <c r="I227" t="inlineStr">
        <is>
          <t>TK Onkologia</t>
        </is>
      </c>
      <c r="J227" t="inlineStr">
        <is>
          <t>1 okolica anatomiczna</t>
        </is>
      </c>
      <c r="K227" t="inlineStr">
        <is>
          <t>Tomasz Bujalski</t>
        </is>
      </c>
      <c r="L227" t="inlineStr">
        <is>
          <t> </t>
        </is>
      </c>
      <c r="M227" t="inlineStr">
        <is>
          <t> </t>
        </is>
      </c>
      <c r="N227" t="inlineStr">
        <is>
          <t> </t>
        </is>
      </c>
      <c r="O227" t="inlineStr">
        <is>
          <t> </t>
        </is>
      </c>
      <c r="P227" t="inlineStr">
        <is>
          <t> </t>
        </is>
      </c>
      <c r="Q227" t="inlineStr">
        <is>
          <t> </t>
        </is>
      </c>
      <c r="R227" t="inlineStr">
        <is>
          <t>poddebice</t>
        </is>
      </c>
      <c r="S227" s="1" t="n">
        <v>46165.3125</v>
      </c>
      <c r="T227" t="n">
        <v>0</v>
      </c>
      <c r="U227" t="inlineStr">
        <is>
          <t>BUJALSKI TOMASZ</t>
        </is>
      </c>
    </row>
    <row r="228">
      <c r="A228" s="1" t="n">
        <v>46167</v>
      </c>
      <c r="B228" t="inlineStr">
        <is>
          <t>CH01B0300004A1B9</t>
        </is>
      </c>
      <c r="C228" t="inlineStr">
        <is>
          <t>ZBIGNIEW ANDRYSIAK</t>
        </is>
      </c>
      <c r="D228" t="n">
        <v>68102102017</v>
      </c>
      <c r="E228" s="1" t="n">
        <v>46167</v>
      </c>
      <c r="F228" t="inlineStr">
        <is>
          <t>CITO-CITO</t>
        </is>
      </c>
      <c r="G228" t="inlineStr">
        <is>
          <t>TK</t>
        </is>
      </c>
      <c r="H228" t="inlineStr">
        <is>
          <t>TK klatki piersiowej</t>
        </is>
      </c>
      <c r="I228" t="inlineStr">
        <is>
          <t>TK Zwykłe</t>
        </is>
      </c>
      <c r="J228" t="inlineStr">
        <is>
          <t>1 okolica anatomiczna</t>
        </is>
      </c>
      <c r="K228" t="inlineStr">
        <is>
          <t>Tomasz Bujalski</t>
        </is>
      </c>
      <c r="L228" t="inlineStr">
        <is>
          <t> </t>
        </is>
      </c>
      <c r="M228" t="inlineStr">
        <is>
          <t> </t>
        </is>
      </c>
      <c r="N228" t="inlineStr">
        <is>
          <t> </t>
        </is>
      </c>
      <c r="O228" t="inlineStr">
        <is>
          <t> </t>
        </is>
      </c>
      <c r="P228" t="inlineStr">
        <is>
          <t> </t>
        </is>
      </c>
      <c r="Q228" t="inlineStr">
        <is>
          <t> </t>
        </is>
      </c>
      <c r="R228" t="inlineStr">
        <is>
          <t>poddebice</t>
        </is>
      </c>
      <c r="S228" s="1" t="n">
        <v>46167.32222222222</v>
      </c>
      <c r="T228" t="n">
        <v>0</v>
      </c>
      <c r="U228" t="inlineStr">
        <is>
          <t>BUJALSKI TOMASZ</t>
        </is>
      </c>
    </row>
    <row r="229">
      <c r="A229" s="1" t="n">
        <v>46164</v>
      </c>
      <c r="B229" t="inlineStr">
        <is>
          <t>1/61191I</t>
        </is>
      </c>
      <c r="C229" t="inlineStr">
        <is>
          <t>ANNA KSIONEK</t>
        </is>
      </c>
      <c r="D229" t="inlineStr">
        <is>
          <t>58060201361</t>
        </is>
      </c>
      <c r="E229" s="1" t="n">
        <v>46158</v>
      </c>
      <c r="F229" t="inlineStr">
        <is>
          <t>Planowy</t>
        </is>
      </c>
      <c r="G229" t="inlineStr">
        <is>
          <t>TK</t>
        </is>
      </c>
      <c r="H229" t="inlineStr">
        <is>
          <t>TK kolana lewego</t>
        </is>
      </c>
      <c r="I229" t="inlineStr">
        <is>
          <t>TK Onkologia</t>
        </is>
      </c>
      <c r="J229" t="inlineStr">
        <is>
          <t>1 okolica anatomiczna</t>
        </is>
      </c>
      <c r="K229" t="inlineStr">
        <is>
          <t>Tomasz Bujalski</t>
        </is>
      </c>
      <c r="L229" t="inlineStr">
        <is>
          <t> </t>
        </is>
      </c>
      <c r="M229" t="inlineStr">
        <is>
          <t> </t>
        </is>
      </c>
      <c r="N229" t="inlineStr">
        <is>
          <t> </t>
        </is>
      </c>
      <c r="O229" t="inlineStr">
        <is>
          <t> </t>
        </is>
      </c>
      <c r="P229" t="inlineStr">
        <is>
          <t> </t>
        </is>
      </c>
      <c r="Q229" t="inlineStr">
        <is>
          <t> </t>
        </is>
      </c>
      <c r="R229" t="inlineStr">
        <is>
          <t>radiomedica</t>
        </is>
      </c>
      <c r="S229" s="1" t="n">
        <v>46160.37777777778</v>
      </c>
      <c r="T229" t="n">
        <v>0</v>
      </c>
      <c r="U229" t="inlineStr">
        <is>
          <t>BUJALSKI TOMASZ</t>
        </is>
      </c>
    </row>
    <row r="230">
      <c r="A230" s="1" t="n">
        <v>46149</v>
      </c>
      <c r="B230" t="inlineStr">
        <is>
          <t>55349.1</t>
        </is>
      </c>
      <c r="C230" t="inlineStr">
        <is>
          <t>LESZEK WLODARSKI</t>
        </is>
      </c>
      <c r="D230" t="n">
        <v>67072604738</v>
      </c>
      <c r="E230" s="1" t="n">
        <v>46126</v>
      </c>
      <c r="F230" t="inlineStr">
        <is>
          <t>Planowy</t>
        </is>
      </c>
      <c r="G230" t="inlineStr">
        <is>
          <t>MR</t>
        </is>
      </c>
      <c r="H230" t="inlineStr">
        <is>
          <t>MR dynam - jamy brzusznej z kontrastem</t>
        </is>
      </c>
      <c r="I230" t="inlineStr">
        <is>
          <t>MR Onkologia</t>
        </is>
      </c>
      <c r="J230" t="inlineStr">
        <is>
          <t>1 okolica anatomiczna</t>
        </is>
      </c>
      <c r="K230" t="inlineStr">
        <is>
          <t>Tomasz Bujalski</t>
        </is>
      </c>
      <c r="L230" t="inlineStr">
        <is>
          <t> </t>
        </is>
      </c>
      <c r="M230" t="inlineStr">
        <is>
          <t> </t>
        </is>
      </c>
      <c r="N230" t="inlineStr">
        <is>
          <t> </t>
        </is>
      </c>
      <c r="O230" t="inlineStr">
        <is>
          <t> </t>
        </is>
      </c>
      <c r="P230" t="inlineStr">
        <is>
          <t> </t>
        </is>
      </c>
      <c r="Q230" t="inlineStr">
        <is>
          <t> </t>
        </is>
      </c>
      <c r="R230" t="inlineStr">
        <is>
          <t>rodamed</t>
        </is>
      </c>
      <c r="S230" s="1" t="n">
        <v>46126.47013888889</v>
      </c>
      <c r="T230" t="n">
        <v>1</v>
      </c>
      <c r="U230" t="inlineStr">
        <is>
          <t>BUJALSKI TOMASZ</t>
        </is>
      </c>
    </row>
    <row r="231">
      <c r="A231" s="1" t="n">
        <v>46149</v>
      </c>
      <c r="B231" t="inlineStr">
        <is>
          <t>55528.1</t>
        </is>
      </c>
      <c r="C231" t="inlineStr">
        <is>
          <t>LESZEK WLODARSKI</t>
        </is>
      </c>
      <c r="D231" t="n">
        <v>67072604738</v>
      </c>
      <c r="E231" s="1" t="n">
        <v>46129</v>
      </c>
      <c r="F231" t="inlineStr">
        <is>
          <t>Planowy</t>
        </is>
      </c>
      <c r="G231" t="inlineStr">
        <is>
          <t>MR</t>
        </is>
      </c>
      <c r="H231" t="inlineStr">
        <is>
          <t>MR dynam - miednicy z kontrastem</t>
        </is>
      </c>
      <c r="I231" t="inlineStr">
        <is>
          <t>MR Onkologia</t>
        </is>
      </c>
      <c r="J231" t="inlineStr">
        <is>
          <t>1 okolica anatomiczna</t>
        </is>
      </c>
      <c r="K231" t="inlineStr">
        <is>
          <t>Tomasz Bujalski</t>
        </is>
      </c>
      <c r="L231" t="inlineStr">
        <is>
          <t> </t>
        </is>
      </c>
      <c r="M231" t="inlineStr">
        <is>
          <t> </t>
        </is>
      </c>
      <c r="N231" t="inlineStr">
        <is>
          <t> </t>
        </is>
      </c>
      <c r="O231" t="inlineStr">
        <is>
          <t> </t>
        </is>
      </c>
      <c r="P231" t="inlineStr">
        <is>
          <t> </t>
        </is>
      </c>
      <c r="Q231" t="inlineStr">
        <is>
          <t> </t>
        </is>
      </c>
      <c r="R231" t="inlineStr">
        <is>
          <t>rodamed</t>
        </is>
      </c>
      <c r="S231" s="1" t="n">
        <v>46129.43958333333</v>
      </c>
      <c r="T231" t="n">
        <v>1</v>
      </c>
      <c r="U231" t="inlineStr">
        <is>
          <t>BUJALSKI TOMASZ</t>
        </is>
      </c>
    </row>
    <row r="232">
      <c r="A232" s="1" t="n">
        <v>46154</v>
      </c>
      <c r="B232" t="inlineStr">
        <is>
          <t>55862.1</t>
        </is>
      </c>
      <c r="C232" t="inlineStr">
        <is>
          <t>GRAZYNA KOLACKA</t>
        </is>
      </c>
      <c r="D232" t="n">
        <v>69071801246</v>
      </c>
      <c r="E232" s="1" t="n">
        <v>46136</v>
      </c>
      <c r="F232" t="inlineStr">
        <is>
          <t>Planowy</t>
        </is>
      </c>
      <c r="G232" t="inlineStr">
        <is>
          <t>TK</t>
        </is>
      </c>
      <c r="H232" t="inlineStr">
        <is>
          <t>TK stopy prawej</t>
        </is>
      </c>
      <c r="I232" t="inlineStr">
        <is>
          <t>TK Zwykłe</t>
        </is>
      </c>
      <c r="J232" t="inlineStr">
        <is>
          <t>1 okolica anatomiczna</t>
        </is>
      </c>
      <c r="K232" t="inlineStr">
        <is>
          <t>Tomasz Bujalski</t>
        </is>
      </c>
      <c r="L232" t="inlineStr">
        <is>
          <t> </t>
        </is>
      </c>
      <c r="M232" t="inlineStr">
        <is>
          <t> </t>
        </is>
      </c>
      <c r="N232" t="inlineStr">
        <is>
          <t> </t>
        </is>
      </c>
      <c r="O232" t="inlineStr">
        <is>
          <t> </t>
        </is>
      </c>
      <c r="P232" t="inlineStr">
        <is>
          <t> </t>
        </is>
      </c>
      <c r="Q232" t="inlineStr">
        <is>
          <t> </t>
        </is>
      </c>
      <c r="R232" t="inlineStr">
        <is>
          <t>rodamed</t>
        </is>
      </c>
      <c r="S232" s="1" t="n">
        <v>46149.50555555556</v>
      </c>
      <c r="T232" t="n">
        <v>1</v>
      </c>
      <c r="U232" t="inlineStr">
        <is>
          <t>BUJALSKI TOMASZ</t>
        </is>
      </c>
    </row>
    <row r="233">
      <c r="A233" s="1" t="n">
        <v>46155</v>
      </c>
      <c r="B233" t="inlineStr">
        <is>
          <t>55956.1</t>
        </is>
      </c>
      <c r="C233" t="inlineStr">
        <is>
          <t>JAN DZIKOWSKI</t>
        </is>
      </c>
      <c r="D233" t="n">
        <v>61051700936</v>
      </c>
      <c r="E233" s="1" t="n">
        <v>46140</v>
      </c>
      <c r="F233" t="inlineStr">
        <is>
          <t>Planowy</t>
        </is>
      </c>
      <c r="G233" t="inlineStr">
        <is>
          <t>MR</t>
        </is>
      </c>
      <c r="H233" t="inlineStr">
        <is>
          <t>MR dynam - miednicy z kontrastem</t>
        </is>
      </c>
      <c r="I233" t="inlineStr">
        <is>
          <t>MR Onkologia</t>
        </is>
      </c>
      <c r="J233" t="inlineStr">
        <is>
          <t>1 okolica anatomiczna</t>
        </is>
      </c>
      <c r="K233" t="inlineStr">
        <is>
          <t>Tomasz Bujalski</t>
        </is>
      </c>
      <c r="L233" t="inlineStr">
        <is>
          <t> </t>
        </is>
      </c>
      <c r="M233" t="inlineStr">
        <is>
          <t> </t>
        </is>
      </c>
      <c r="N233" t="inlineStr">
        <is>
          <t> </t>
        </is>
      </c>
      <c r="O233" t="inlineStr">
        <is>
          <t> </t>
        </is>
      </c>
      <c r="P233" t="inlineStr">
        <is>
          <t> </t>
        </is>
      </c>
      <c r="Q233" t="inlineStr">
        <is>
          <t> </t>
        </is>
      </c>
      <c r="R233" t="inlineStr">
        <is>
          <t>rodamed</t>
        </is>
      </c>
      <c r="S233" s="1" t="n">
        <v>46140.38819444444</v>
      </c>
      <c r="T233" t="n">
        <v>0</v>
      </c>
      <c r="U233" t="inlineStr">
        <is>
          <t>BUJALSKI TOMASZ</t>
        </is>
      </c>
    </row>
    <row r="234">
      <c r="A234" s="1" t="n">
        <v>46164</v>
      </c>
      <c r="B234" t="inlineStr">
        <is>
          <t>56691.1</t>
        </is>
      </c>
      <c r="C234" t="inlineStr">
        <is>
          <t>MALGORZATA SLIWINSKA</t>
        </is>
      </c>
      <c r="D234" t="n">
        <v>67011711426</v>
      </c>
      <c r="E234" s="1" t="n">
        <v>46160</v>
      </c>
      <c r="F234" t="inlineStr">
        <is>
          <t>Planowy</t>
        </is>
      </c>
      <c r="G234" t="inlineStr">
        <is>
          <t>TK</t>
        </is>
      </c>
      <c r="H234" t="inlineStr">
        <is>
          <t>TK jamy brzusznej z kontrastem</t>
        </is>
      </c>
      <c r="I234" t="inlineStr">
        <is>
          <t>TK Zwykłe</t>
        </is>
      </c>
      <c r="J234" t="inlineStr">
        <is>
          <t>1 okolica anatomiczna</t>
        </is>
      </c>
      <c r="K234" t="inlineStr">
        <is>
          <t>Tomasz Bujalski</t>
        </is>
      </c>
      <c r="L234" t="inlineStr">
        <is>
          <t> </t>
        </is>
      </c>
      <c r="M234" t="inlineStr">
        <is>
          <t> </t>
        </is>
      </c>
      <c r="N234" t="inlineStr">
        <is>
          <t> </t>
        </is>
      </c>
      <c r="O234" t="inlineStr">
        <is>
          <t> </t>
        </is>
      </c>
      <c r="P234" t="inlineStr">
        <is>
          <t> </t>
        </is>
      </c>
      <c r="Q234" t="inlineStr">
        <is>
          <t> </t>
        </is>
      </c>
      <c r="R234" t="inlineStr">
        <is>
          <t>rodamed</t>
        </is>
      </c>
      <c r="S234" s="1" t="n">
        <v>46160.64652777778</v>
      </c>
      <c r="T234" t="n">
        <v>0</v>
      </c>
      <c r="U234" t="inlineStr">
        <is>
          <t>BUJALSKI TOMASZ</t>
        </is>
      </c>
    </row>
    <row r="235">
      <c r="A235" s="1" t="n">
        <v>46164</v>
      </c>
      <c r="B235" t="inlineStr">
        <is>
          <t>56757.1</t>
        </is>
      </c>
      <c r="C235" t="inlineStr">
        <is>
          <t>PAULINA KOLEK</t>
        </is>
      </c>
      <c r="D235" t="n">
        <v>78072300760</v>
      </c>
      <c r="E235" s="1" t="n">
        <v>46161</v>
      </c>
      <c r="F235" t="inlineStr">
        <is>
          <t>Planowy</t>
        </is>
      </c>
      <c r="G235" t="inlineStr">
        <is>
          <t>TK</t>
        </is>
      </c>
      <c r="H235" t="inlineStr">
        <is>
          <t>TK klatki piersiowej, j.brzusznej i miednicy z kontrastem</t>
        </is>
      </c>
      <c r="I235" t="inlineStr">
        <is>
          <t>TK Onkologia</t>
        </is>
      </c>
      <c r="J235" t="inlineStr">
        <is>
          <t>3 okolice anatomiczne</t>
        </is>
      </c>
      <c r="K235" t="inlineStr">
        <is>
          <t>Tomasz Bujalski</t>
        </is>
      </c>
      <c r="L235" t="inlineStr">
        <is>
          <t> </t>
        </is>
      </c>
      <c r="M235" t="inlineStr">
        <is>
          <t> </t>
        </is>
      </c>
      <c r="N235" t="inlineStr">
        <is>
          <t> </t>
        </is>
      </c>
      <c r="O235" t="inlineStr">
        <is>
          <t> </t>
        </is>
      </c>
      <c r="P235" t="inlineStr">
        <is>
          <t> </t>
        </is>
      </c>
      <c r="Q235" t="inlineStr">
        <is>
          <t> </t>
        </is>
      </c>
      <c r="R235" t="inlineStr">
        <is>
          <t>rodamed</t>
        </is>
      </c>
      <c r="S235" s="1" t="n">
        <v>46162.3125</v>
      </c>
      <c r="T235" t="n">
        <v>0</v>
      </c>
      <c r="U235" t="inlineStr">
        <is>
          <t>BUJALSKI TOMASZ</t>
        </is>
      </c>
    </row>
    <row r="236">
      <c r="A236" s="1" t="n">
        <v>46164</v>
      </c>
      <c r="B236" t="inlineStr">
        <is>
          <t>56796.1</t>
        </is>
      </c>
      <c r="C236" t="inlineStr">
        <is>
          <t>TOMASZ MALECKI</t>
        </is>
      </c>
      <c r="D236" t="n">
        <v>83092813019</v>
      </c>
      <c r="E236" s="1" t="n">
        <v>46162</v>
      </c>
      <c r="F236" t="inlineStr">
        <is>
          <t>Planowy</t>
        </is>
      </c>
      <c r="G236" t="inlineStr">
        <is>
          <t>TK</t>
        </is>
      </c>
      <c r="H236" t="inlineStr">
        <is>
          <t>TK HRCT</t>
        </is>
      </c>
      <c r="I236" t="inlineStr">
        <is>
          <t>TK Zwykłe</t>
        </is>
      </c>
      <c r="J236" t="inlineStr">
        <is>
          <t>1 okolica anatomiczna</t>
        </is>
      </c>
      <c r="K236" t="inlineStr">
        <is>
          <t>Tomasz Bujalski</t>
        </is>
      </c>
      <c r="L236" t="inlineStr">
        <is>
          <t> </t>
        </is>
      </c>
      <c r="M236" t="inlineStr">
        <is>
          <t> </t>
        </is>
      </c>
      <c r="N236" t="inlineStr">
        <is>
          <t> </t>
        </is>
      </c>
      <c r="O236" t="inlineStr">
        <is>
          <t> </t>
        </is>
      </c>
      <c r="P236" t="inlineStr">
        <is>
          <t> </t>
        </is>
      </c>
      <c r="Q236" t="inlineStr">
        <is>
          <t> </t>
        </is>
      </c>
      <c r="R236" t="inlineStr">
        <is>
          <t>rodamed</t>
        </is>
      </c>
      <c r="S236" s="1" t="n">
        <v>46163.26944444444</v>
      </c>
      <c r="T236" t="n">
        <v>1</v>
      </c>
      <c r="U236" t="inlineStr">
        <is>
          <t>BUJALSKI TOMASZ</t>
        </is>
      </c>
    </row>
    <row r="237">
      <c r="A237" s="1" t="n">
        <v>46168</v>
      </c>
      <c r="B237" t="inlineStr">
        <is>
          <t>56749.1</t>
        </is>
      </c>
      <c r="C237" t="inlineStr">
        <is>
          <t>KATARZYNA BEDNARKIEWICZ</t>
        </is>
      </c>
      <c r="D237" t="n">
        <v>69022707027</v>
      </c>
      <c r="E237" s="1" t="n">
        <v>46161</v>
      </c>
      <c r="F237" t="inlineStr">
        <is>
          <t>Planowy</t>
        </is>
      </c>
      <c r="G237" t="inlineStr">
        <is>
          <t>MR</t>
        </is>
      </c>
      <c r="H237" t="inlineStr">
        <is>
          <t>MR dynam - jamy brzusznej z kontrastem</t>
        </is>
      </c>
      <c r="I237" t="inlineStr">
        <is>
          <t>MR Inne - wtym prostata, miednica, jama brzuszna tkanki miekkie</t>
        </is>
      </c>
      <c r="J237" t="inlineStr">
        <is>
          <t>1 okolica anatomiczna</t>
        </is>
      </c>
      <c r="K237" t="inlineStr">
        <is>
          <t>Tomasz Bujalski</t>
        </is>
      </c>
      <c r="L237" t="inlineStr">
        <is>
          <t> </t>
        </is>
      </c>
      <c r="M237" t="inlineStr">
        <is>
          <t> </t>
        </is>
      </c>
      <c r="N237" t="inlineStr">
        <is>
          <t> </t>
        </is>
      </c>
      <c r="O237" t="inlineStr">
        <is>
          <t> </t>
        </is>
      </c>
      <c r="P237" t="inlineStr">
        <is>
          <t> </t>
        </is>
      </c>
      <c r="Q237" t="inlineStr">
        <is>
          <t> </t>
        </is>
      </c>
      <c r="R237" t="inlineStr">
        <is>
          <t>rodamed</t>
        </is>
      </c>
      <c r="S237" s="1" t="n">
        <v>46161.55694444444</v>
      </c>
      <c r="T237" t="n">
        <v>0</v>
      </c>
      <c r="U237" t="inlineStr">
        <is>
          <t>BUJALSKI TOMASZ</t>
        </is>
      </c>
    </row>
    <row r="238">
      <c r="A238" s="1" t="n">
        <v>46149</v>
      </c>
      <c r="B238" t="inlineStr">
        <is>
          <t>1383719-3285864</t>
        </is>
      </c>
      <c r="C238" t="inlineStr">
        <is>
          <t>BARBARA HENEL</t>
        </is>
      </c>
      <c r="D238" t="inlineStr">
        <is>
          <t>78031619364</t>
        </is>
      </c>
      <c r="E238" s="1" t="n">
        <v>46149</v>
      </c>
      <c r="F238" t="inlineStr">
        <is>
          <t>CITO-CITO</t>
        </is>
      </c>
      <c r="G238" t="inlineStr">
        <is>
          <t>TK</t>
        </is>
      </c>
      <c r="H238" t="inlineStr">
        <is>
          <t>TK głowy</t>
        </is>
      </c>
      <c r="I238" t="inlineStr">
        <is>
          <t>TK Onkologia</t>
        </is>
      </c>
      <c r="J238" t="inlineStr">
        <is>
          <t>1 okolica anatomiczna</t>
        </is>
      </c>
      <c r="K238" t="inlineStr">
        <is>
          <t>Tomasz Bujalski</t>
        </is>
      </c>
      <c r="L238" t="inlineStr">
        <is>
          <t> </t>
        </is>
      </c>
      <c r="M238" t="inlineStr">
        <is>
          <t> </t>
        </is>
      </c>
      <c r="N238" t="inlineStr">
        <is>
          <t> </t>
        </is>
      </c>
      <c r="O238" t="inlineStr">
        <is>
          <t> </t>
        </is>
      </c>
      <c r="P238" t="inlineStr">
        <is>
          <t> </t>
        </is>
      </c>
      <c r="Q238" t="inlineStr">
        <is>
          <t> </t>
        </is>
      </c>
      <c r="R238" t="inlineStr">
        <is>
          <t>rybnik</t>
        </is>
      </c>
      <c r="S238" s="1" t="n">
        <v>46149.18888888889</v>
      </c>
      <c r="T238" t="n">
        <v>0</v>
      </c>
      <c r="U238" t="inlineStr">
        <is>
          <t>BUJALSKI TOMASZ</t>
        </is>
      </c>
    </row>
    <row r="239">
      <c r="A239" s="1" t="n">
        <v>46150</v>
      </c>
      <c r="B239" t="inlineStr">
        <is>
          <t>1</t>
        </is>
      </c>
      <c r="C239" t="inlineStr">
        <is>
          <t xml:space="preserve"> NN</t>
        </is>
      </c>
      <c r="D239" t="inlineStr">
        <is>
          <t>NN2026-05-08 Nn 35</t>
        </is>
      </c>
      <c r="E239" s="1" t="n">
        <v>46150</v>
      </c>
      <c r="F239" t="inlineStr">
        <is>
          <t>CITO-CITO</t>
        </is>
      </c>
      <c r="G239" t="inlineStr">
        <is>
          <t>TK</t>
        </is>
      </c>
      <c r="H239" t="inlineStr">
        <is>
          <t>TK głowy bez wzmocnienia kontrastowego 87.030</t>
        </is>
      </c>
      <c r="I239" t="inlineStr">
        <is>
          <t>TK Zwykłe</t>
        </is>
      </c>
      <c r="J239" t="inlineStr">
        <is>
          <t>1 okolica anatomiczna</t>
        </is>
      </c>
      <c r="K239" t="inlineStr">
        <is>
          <t>Tomasz Bujalski</t>
        </is>
      </c>
      <c r="L239" t="inlineStr">
        <is>
          <t> </t>
        </is>
      </c>
      <c r="M239" t="inlineStr">
        <is>
          <t> </t>
        </is>
      </c>
      <c r="N239" t="inlineStr">
        <is>
          <t> </t>
        </is>
      </c>
      <c r="O239" t="inlineStr">
        <is>
          <t> </t>
        </is>
      </c>
      <c r="P239" t="inlineStr">
        <is>
          <t> </t>
        </is>
      </c>
      <c r="Q239" t="inlineStr">
        <is>
          <t> </t>
        </is>
      </c>
      <c r="R239" t="inlineStr">
        <is>
          <t>rybnik</t>
        </is>
      </c>
      <c r="S239" s="1" t="n">
        <v>46150.20972222222</v>
      </c>
      <c r="T239" t="n">
        <v>0</v>
      </c>
      <c r="U239" t="inlineStr">
        <is>
          <t>BUJALSKI TOMASZ</t>
        </is>
      </c>
    </row>
    <row r="240">
      <c r="A240" s="1" t="n">
        <v>46152</v>
      </c>
      <c r="B240" t="inlineStr">
        <is>
          <t>1388358-3295351</t>
        </is>
      </c>
      <c r="C240" t="inlineStr">
        <is>
          <t>KACPER HYLA</t>
        </is>
      </c>
      <c r="D240" t="inlineStr">
        <is>
          <t>17253009036</t>
        </is>
      </c>
      <c r="E240" s="1" t="n">
        <v>46152</v>
      </c>
      <c r="F240" t="inlineStr">
        <is>
          <t>CITO-CITO</t>
        </is>
      </c>
      <c r="G240" t="inlineStr">
        <is>
          <t>TK</t>
        </is>
      </c>
      <c r="H240" t="inlineStr">
        <is>
          <t>TK głowy bez wzmocnienia kontrastowego 87.030</t>
        </is>
      </c>
      <c r="I240" t="inlineStr">
        <is>
          <t>TK Zwykłe</t>
        </is>
      </c>
      <c r="J240" t="inlineStr">
        <is>
          <t>1 okolica anatomiczna</t>
        </is>
      </c>
      <c r="K240" t="inlineStr">
        <is>
          <t>Tomasz Bujalski</t>
        </is>
      </c>
      <c r="L240" t="inlineStr">
        <is>
          <t> </t>
        </is>
      </c>
      <c r="M240" t="inlineStr">
        <is>
          <t> </t>
        </is>
      </c>
      <c r="N240" t="inlineStr">
        <is>
          <t> </t>
        </is>
      </c>
      <c r="O240" t="inlineStr">
        <is>
          <t> </t>
        </is>
      </c>
      <c r="P240" t="inlineStr">
        <is>
          <t> </t>
        </is>
      </c>
      <c r="Q240" t="inlineStr">
        <is>
          <t> </t>
        </is>
      </c>
      <c r="R240" t="inlineStr">
        <is>
          <t>rybnik</t>
        </is>
      </c>
      <c r="S240" s="1" t="n">
        <v>46152.59583333333</v>
      </c>
      <c r="T240" t="n">
        <v>0</v>
      </c>
      <c r="U240" t="inlineStr">
        <is>
          <t>BUJALSKI TOMASZ</t>
        </is>
      </c>
    </row>
    <row r="241">
      <c r="A241" s="1" t="n">
        <v>46152</v>
      </c>
      <c r="B241" t="inlineStr">
        <is>
          <t>1388358-3295351</t>
        </is>
      </c>
      <c r="C241" t="inlineStr">
        <is>
          <t>KACPER HYLA</t>
        </is>
      </c>
      <c r="D241" t="inlineStr">
        <is>
          <t>17253009036</t>
        </is>
      </c>
      <c r="E241" s="1" t="n">
        <v>46152</v>
      </c>
      <c r="F241" t="inlineStr">
        <is>
          <t>CITO-CITO</t>
        </is>
      </c>
      <c r="G241" t="inlineStr">
        <is>
          <t>TK</t>
        </is>
      </c>
      <c r="H241" t="inlineStr">
        <is>
          <t>TK twarzoczaszki</t>
        </is>
      </c>
      <c r="I241" t="inlineStr">
        <is>
          <t>TK Onkologia</t>
        </is>
      </c>
      <c r="J241" t="inlineStr">
        <is>
          <t>1 okolica anatomiczna</t>
        </is>
      </c>
      <c r="K241" t="inlineStr">
        <is>
          <t>Tomasz Bujalski</t>
        </is>
      </c>
      <c r="L241" t="inlineStr">
        <is>
          <t> </t>
        </is>
      </c>
      <c r="M241" t="inlineStr">
        <is>
          <t> </t>
        </is>
      </c>
      <c r="N241" t="inlineStr">
        <is>
          <t> </t>
        </is>
      </c>
      <c r="O241" t="inlineStr">
        <is>
          <t> </t>
        </is>
      </c>
      <c r="P241" t="inlineStr">
        <is>
          <t> </t>
        </is>
      </c>
      <c r="Q241" t="inlineStr">
        <is>
          <t> </t>
        </is>
      </c>
      <c r="R241" t="inlineStr">
        <is>
          <t>rybnik</t>
        </is>
      </c>
      <c r="S241" s="1" t="n">
        <v>46152.59583333333</v>
      </c>
      <c r="T241" t="n">
        <v>0</v>
      </c>
      <c r="U241" t="inlineStr">
        <is>
          <t>BUJALSKI TOMASZ</t>
        </is>
      </c>
    </row>
    <row r="242">
      <c r="A242" s="1" t="n">
        <v>46152</v>
      </c>
      <c r="B242" t="inlineStr">
        <is>
          <t>1388375-3295390</t>
        </is>
      </c>
      <c r="C242" t="inlineStr">
        <is>
          <t>AURELIA DOBRZANSKA</t>
        </is>
      </c>
      <c r="D242" t="inlineStr">
        <is>
          <t>49022600605</t>
        </is>
      </c>
      <c r="E242" s="1" t="n">
        <v>46152</v>
      </c>
      <c r="F242" t="inlineStr">
        <is>
          <t>CITO-UDAR</t>
        </is>
      </c>
      <c r="G242" t="inlineStr">
        <is>
          <t>TK</t>
        </is>
      </c>
      <c r="H242" t="inlineStr">
        <is>
          <t>TK głowy</t>
        </is>
      </c>
      <c r="I242" t="inlineStr">
        <is>
          <t>TK Onkologia</t>
        </is>
      </c>
      <c r="J242" t="inlineStr">
        <is>
          <t>1 okolica anatomiczna</t>
        </is>
      </c>
      <c r="K242" t="inlineStr">
        <is>
          <t>Tomasz Bujalski</t>
        </is>
      </c>
      <c r="L242" t="inlineStr">
        <is>
          <t> </t>
        </is>
      </c>
      <c r="M242" t="inlineStr">
        <is>
          <t> </t>
        </is>
      </c>
      <c r="N242" t="inlineStr">
        <is>
          <t> </t>
        </is>
      </c>
      <c r="O242" t="inlineStr">
        <is>
          <t> </t>
        </is>
      </c>
      <c r="P242" t="inlineStr">
        <is>
          <t> </t>
        </is>
      </c>
      <c r="Q242" t="inlineStr">
        <is>
          <t> </t>
        </is>
      </c>
      <c r="R242" t="inlineStr">
        <is>
          <t>rybnik</t>
        </is>
      </c>
      <c r="S242" s="1" t="n">
        <v>46152.61111111111</v>
      </c>
      <c r="T242" t="n">
        <v>0</v>
      </c>
      <c r="U242" t="inlineStr">
        <is>
          <t>BUJALSKI TOMASZ</t>
        </is>
      </c>
    </row>
    <row r="243">
      <c r="A243" s="1" t="n">
        <v>46155</v>
      </c>
      <c r="B243" t="inlineStr">
        <is>
          <t>1393820-3307320</t>
        </is>
      </c>
      <c r="C243" t="inlineStr">
        <is>
          <t>KAROL MALINA</t>
        </is>
      </c>
      <c r="D243" t="inlineStr">
        <is>
          <t>99060301699</t>
        </is>
      </c>
      <c r="E243" s="1" t="n">
        <v>46155</v>
      </c>
      <c r="F243" t="inlineStr">
        <is>
          <t>CITO-CITO</t>
        </is>
      </c>
      <c r="G243" t="inlineStr">
        <is>
          <t>TK</t>
        </is>
      </c>
      <c r="H243" t="inlineStr">
        <is>
          <t>TK głowy bez wzmocnienia kontrastowego 87.030</t>
        </is>
      </c>
      <c r="I243" t="inlineStr">
        <is>
          <t>TK Zwykłe</t>
        </is>
      </c>
      <c r="J243" t="inlineStr">
        <is>
          <t>1 okolica anatomiczna</t>
        </is>
      </c>
      <c r="K243" t="inlineStr">
        <is>
          <t>Tomasz Bujalski</t>
        </is>
      </c>
      <c r="L243" t="inlineStr">
        <is>
          <t> </t>
        </is>
      </c>
      <c r="M243" t="inlineStr">
        <is>
          <t> </t>
        </is>
      </c>
      <c r="N243" t="inlineStr">
        <is>
          <t> </t>
        </is>
      </c>
      <c r="O243" t="inlineStr">
        <is>
          <t> </t>
        </is>
      </c>
      <c r="P243" t="inlineStr">
        <is>
          <t> </t>
        </is>
      </c>
      <c r="Q243" t="inlineStr">
        <is>
          <t> </t>
        </is>
      </c>
      <c r="R243" t="inlineStr">
        <is>
          <t>rybnik</t>
        </is>
      </c>
      <c r="S243" s="1" t="n">
        <v>46155.67916666667</v>
      </c>
      <c r="T243" t="n">
        <v>0</v>
      </c>
      <c r="U243" t="inlineStr">
        <is>
          <t>BUJALSKI TOMASZ</t>
        </is>
      </c>
    </row>
    <row r="244">
      <c r="A244" s="1" t="n">
        <v>46155</v>
      </c>
      <c r="B244" t="inlineStr">
        <is>
          <t>1393899-3307495</t>
        </is>
      </c>
      <c r="C244" t="inlineStr">
        <is>
          <t>WALDEMAR BELNIAK</t>
        </is>
      </c>
      <c r="D244" t="inlineStr">
        <is>
          <t>44110201751</t>
        </is>
      </c>
      <c r="E244" s="1" t="n">
        <v>46155</v>
      </c>
      <c r="F244" t="inlineStr">
        <is>
          <t>CITO-CITO</t>
        </is>
      </c>
      <c r="G244" t="inlineStr">
        <is>
          <t>TK</t>
        </is>
      </c>
      <c r="H244" t="inlineStr">
        <is>
          <t>TK głowy bez wzmocnienia kontrastowego 87.030</t>
        </is>
      </c>
      <c r="I244" t="inlineStr">
        <is>
          <t>TK Zwykłe</t>
        </is>
      </c>
      <c r="J244" t="inlineStr">
        <is>
          <t>1 okolica anatomiczna</t>
        </is>
      </c>
      <c r="K244" t="inlineStr">
        <is>
          <t>Tomasz Bujalski</t>
        </is>
      </c>
      <c r="L244" t="inlineStr">
        <is>
          <t> </t>
        </is>
      </c>
      <c r="M244" t="inlineStr">
        <is>
          <t> </t>
        </is>
      </c>
      <c r="N244" t="inlineStr">
        <is>
          <t> </t>
        </is>
      </c>
      <c r="O244" t="inlineStr">
        <is>
          <t> </t>
        </is>
      </c>
      <c r="P244" t="inlineStr">
        <is>
          <t> </t>
        </is>
      </c>
      <c r="Q244" t="inlineStr">
        <is>
          <t> </t>
        </is>
      </c>
      <c r="R244" t="inlineStr">
        <is>
          <t>rybnik</t>
        </is>
      </c>
      <c r="S244" s="1" t="n">
        <v>46155.71944444445</v>
      </c>
      <c r="T244" t="n">
        <v>0</v>
      </c>
      <c r="U244" t="inlineStr">
        <is>
          <t>BUJALSKI TOMASZ</t>
        </is>
      </c>
    </row>
    <row r="245">
      <c r="A245" s="1" t="n">
        <v>46155</v>
      </c>
      <c r="B245" t="inlineStr">
        <is>
          <t>1393929-3307567</t>
        </is>
      </c>
      <c r="C245" t="inlineStr">
        <is>
          <t>ALINA JAROSZ</t>
        </is>
      </c>
      <c r="D245" t="inlineStr">
        <is>
          <t>68042707022</t>
        </is>
      </c>
      <c r="E245" s="1" t="n">
        <v>46155</v>
      </c>
      <c r="F245" t="inlineStr">
        <is>
          <t>CITO-CITO</t>
        </is>
      </c>
      <c r="G245" t="inlineStr">
        <is>
          <t>TK</t>
        </is>
      </c>
      <c r="H245" t="inlineStr">
        <is>
          <t>TK głowy</t>
        </is>
      </c>
      <c r="I245" t="inlineStr">
        <is>
          <t>TK Onkologia</t>
        </is>
      </c>
      <c r="J245" t="inlineStr">
        <is>
          <t>1 okolica anatomiczna</t>
        </is>
      </c>
      <c r="K245" t="inlineStr">
        <is>
          <t>Tomasz Bujalski</t>
        </is>
      </c>
      <c r="L245" t="inlineStr">
        <is>
          <t> </t>
        </is>
      </c>
      <c r="M245" t="inlineStr">
        <is>
          <t> </t>
        </is>
      </c>
      <c r="N245" t="inlineStr">
        <is>
          <t> </t>
        </is>
      </c>
      <c r="O245" t="inlineStr">
        <is>
          <t> </t>
        </is>
      </c>
      <c r="P245" t="inlineStr">
        <is>
          <t> </t>
        </is>
      </c>
      <c r="Q245" t="inlineStr">
        <is>
          <t> </t>
        </is>
      </c>
      <c r="R245" t="inlineStr">
        <is>
          <t>rybnik</t>
        </is>
      </c>
      <c r="S245" s="1" t="n">
        <v>46155.72430555556</v>
      </c>
      <c r="T245" t="n">
        <v>0</v>
      </c>
      <c r="U245" t="inlineStr">
        <is>
          <t>BUJALSKI TOMASZ</t>
        </is>
      </c>
    </row>
    <row r="246">
      <c r="A246" s="1" t="n">
        <v>46155</v>
      </c>
      <c r="B246" t="inlineStr">
        <is>
          <t>1393960-3307629</t>
        </is>
      </c>
      <c r="C246" t="inlineStr">
        <is>
          <t>MARCELINA DOMANSKA</t>
        </is>
      </c>
      <c r="D246" t="inlineStr">
        <is>
          <t>85081213165</t>
        </is>
      </c>
      <c r="E246" s="1" t="n">
        <v>46155</v>
      </c>
      <c r="F246" t="inlineStr">
        <is>
          <t>CITO-CITO</t>
        </is>
      </c>
      <c r="G246" t="inlineStr">
        <is>
          <t>TK</t>
        </is>
      </c>
      <c r="H246" t="inlineStr">
        <is>
          <t>TK głowy bez wzmocnienia kontrastowego 87.030</t>
        </is>
      </c>
      <c r="I246" t="inlineStr">
        <is>
          <t>TK Zwykłe</t>
        </is>
      </c>
      <c r="J246" t="inlineStr">
        <is>
          <t>1 okolica anatomiczna</t>
        </is>
      </c>
      <c r="K246" t="inlineStr">
        <is>
          <t>Tomasz Bujalski</t>
        </is>
      </c>
      <c r="L246" t="inlineStr">
        <is>
          <t> </t>
        </is>
      </c>
      <c r="M246" t="inlineStr">
        <is>
          <t> </t>
        </is>
      </c>
      <c r="N246" t="inlineStr">
        <is>
          <t> </t>
        </is>
      </c>
      <c r="O246" t="inlineStr">
        <is>
          <t> </t>
        </is>
      </c>
      <c r="P246" t="inlineStr">
        <is>
          <t> </t>
        </is>
      </c>
      <c r="Q246" t="inlineStr">
        <is>
          <t> </t>
        </is>
      </c>
      <c r="R246" t="inlineStr">
        <is>
          <t>rybnik</t>
        </is>
      </c>
      <c r="S246" s="1" t="n">
        <v>46155.74722222222</v>
      </c>
      <c r="T246" t="n">
        <v>0</v>
      </c>
      <c r="U246" t="inlineStr">
        <is>
          <t>BUJALSKI TOMASZ</t>
        </is>
      </c>
    </row>
    <row r="247">
      <c r="A247" s="1" t="n">
        <v>46161</v>
      </c>
      <c r="B247" t="inlineStr">
        <is>
          <t>1399156-3318363</t>
        </is>
      </c>
      <c r="C247" t="inlineStr">
        <is>
          <t>BOGUSLAWA STULA</t>
        </is>
      </c>
      <c r="D247" t="inlineStr">
        <is>
          <t>59031806804</t>
        </is>
      </c>
      <c r="E247" s="1" t="n">
        <v>46160</v>
      </c>
      <c r="F247" t="inlineStr">
        <is>
          <t>Pilny</t>
        </is>
      </c>
      <c r="G247" t="inlineStr">
        <is>
          <t>TK</t>
        </is>
      </c>
      <c r="H247" t="inlineStr">
        <is>
          <t>TK klatki piersiowej z kontrastem</t>
        </is>
      </c>
      <c r="I247" t="inlineStr">
        <is>
          <t>TK Onkologia</t>
        </is>
      </c>
      <c r="J247" t="inlineStr">
        <is>
          <t>1 okolica anatomiczna</t>
        </is>
      </c>
      <c r="K247" t="inlineStr">
        <is>
          <t>Tomasz Bujalski</t>
        </is>
      </c>
      <c r="L247" t="inlineStr">
        <is>
          <t> </t>
        </is>
      </c>
      <c r="M247" t="inlineStr">
        <is>
          <t> </t>
        </is>
      </c>
      <c r="N247" t="inlineStr">
        <is>
          <t> </t>
        </is>
      </c>
      <c r="O247" t="inlineStr">
        <is>
          <t> </t>
        </is>
      </c>
      <c r="P247" t="inlineStr">
        <is>
          <t> </t>
        </is>
      </c>
      <c r="Q247" t="inlineStr">
        <is>
          <t> </t>
        </is>
      </c>
      <c r="R247" t="inlineStr">
        <is>
          <t>rybnik</t>
        </is>
      </c>
      <c r="S247" s="1" t="n">
        <v>46160.52222222222</v>
      </c>
      <c r="T247" t="n">
        <v>1</v>
      </c>
      <c r="U247" t="inlineStr">
        <is>
          <t>BUJALSKI TOMASZ</t>
        </is>
      </c>
    </row>
    <row r="248">
      <c r="A248" s="1" t="n">
        <v>46162</v>
      </c>
      <c r="B248" t="inlineStr">
        <is>
          <t>1404267-3329155</t>
        </is>
      </c>
      <c r="C248" t="inlineStr">
        <is>
          <t>SEBASTIAN ZGRAJA</t>
        </is>
      </c>
      <c r="D248" t="inlineStr">
        <is>
          <t>90121604957</t>
        </is>
      </c>
      <c r="E248" s="1" t="n">
        <v>46162</v>
      </c>
      <c r="F248" t="inlineStr">
        <is>
          <t>CITO-CITO</t>
        </is>
      </c>
      <c r="G248" t="inlineStr">
        <is>
          <t>TK</t>
        </is>
      </c>
      <c r="H248" t="inlineStr">
        <is>
          <t>TK j.brzusznej i miednicy</t>
        </is>
      </c>
      <c r="I248" t="inlineStr">
        <is>
          <t>TK Zwykłe</t>
        </is>
      </c>
      <c r="J248" t="inlineStr">
        <is>
          <t>2 okolice anatomiczne</t>
        </is>
      </c>
      <c r="K248" t="inlineStr">
        <is>
          <t>Tomasz Bujalski</t>
        </is>
      </c>
      <c r="L248" t="inlineStr">
        <is>
          <t> </t>
        </is>
      </c>
      <c r="M248" t="inlineStr">
        <is>
          <t> </t>
        </is>
      </c>
      <c r="N248" t="inlineStr">
        <is>
          <t> </t>
        </is>
      </c>
      <c r="O248" t="inlineStr">
        <is>
          <t> </t>
        </is>
      </c>
      <c r="P248" t="inlineStr">
        <is>
          <t> </t>
        </is>
      </c>
      <c r="Q248" t="inlineStr">
        <is>
          <t> </t>
        </is>
      </c>
      <c r="R248" t="inlineStr">
        <is>
          <t>rybnik</t>
        </is>
      </c>
      <c r="S248" s="1" t="n">
        <v>46162.56319444445</v>
      </c>
      <c r="T248" t="n">
        <v>0</v>
      </c>
      <c r="U248" t="inlineStr">
        <is>
          <t>BUJALSKI TOMASZ</t>
        </is>
      </c>
    </row>
    <row r="249">
      <c r="A249" s="1" t="n">
        <v>46162</v>
      </c>
      <c r="B249" t="inlineStr">
        <is>
          <t>1404307-3329239</t>
        </is>
      </c>
      <c r="C249" t="inlineStr">
        <is>
          <t>ADRIAN KRAWIECZEK</t>
        </is>
      </c>
      <c r="D249" t="inlineStr">
        <is>
          <t>93021106914</t>
        </is>
      </c>
      <c r="E249" s="1" t="n">
        <v>46162</v>
      </c>
      <c r="F249" t="inlineStr">
        <is>
          <t>CITO-CITO</t>
        </is>
      </c>
      <c r="G249" t="inlineStr">
        <is>
          <t>TK</t>
        </is>
      </c>
      <c r="H249" t="inlineStr">
        <is>
          <t>TK klatki piersiowej</t>
        </is>
      </c>
      <c r="I249" t="inlineStr">
        <is>
          <t>TK Zwykłe</t>
        </is>
      </c>
      <c r="J249" t="inlineStr">
        <is>
          <t>1 okolica anatomiczna</t>
        </is>
      </c>
      <c r="K249" t="inlineStr">
        <is>
          <t>Tomasz Bujalski</t>
        </is>
      </c>
      <c r="L249" t="inlineStr">
        <is>
          <t> </t>
        </is>
      </c>
      <c r="M249" t="inlineStr">
        <is>
          <t> </t>
        </is>
      </c>
      <c r="N249" t="inlineStr">
        <is>
          <t> </t>
        </is>
      </c>
      <c r="O249" t="inlineStr">
        <is>
          <t> </t>
        </is>
      </c>
      <c r="P249" t="inlineStr">
        <is>
          <t> </t>
        </is>
      </c>
      <c r="Q249" t="inlineStr">
        <is>
          <t> </t>
        </is>
      </c>
      <c r="R249" t="inlineStr">
        <is>
          <t>rybnik</t>
        </is>
      </c>
      <c r="S249" s="1" t="n">
        <v>46162.59444444445</v>
      </c>
      <c r="T249" t="n">
        <v>0</v>
      </c>
      <c r="U249" t="inlineStr">
        <is>
          <t>BUJALSKI TOMASZ</t>
        </is>
      </c>
    </row>
    <row r="250">
      <c r="A250" s="1" t="n">
        <v>46162</v>
      </c>
      <c r="B250" t="inlineStr">
        <is>
          <t>1404488-3329670</t>
        </is>
      </c>
      <c r="C250" t="inlineStr">
        <is>
          <t>KAZIMIERZ FILIPIAK</t>
        </is>
      </c>
      <c r="D250" t="inlineStr">
        <is>
          <t>53071102070</t>
        </is>
      </c>
      <c r="E250" s="1" t="n">
        <v>46162</v>
      </c>
      <c r="F250" t="inlineStr">
        <is>
          <t>CITO-CITO</t>
        </is>
      </c>
      <c r="G250" t="inlineStr">
        <is>
          <t>TK</t>
        </is>
      </c>
      <c r="H250" t="inlineStr">
        <is>
          <t>TK głowy</t>
        </is>
      </c>
      <c r="I250" t="inlineStr">
        <is>
          <t>TK Onkologia</t>
        </is>
      </c>
      <c r="J250" t="inlineStr">
        <is>
          <t>1 okolica anatomiczna</t>
        </is>
      </c>
      <c r="K250" t="inlineStr">
        <is>
          <t>Tomasz Bujalski</t>
        </is>
      </c>
      <c r="L250" t="inlineStr">
        <is>
          <t> </t>
        </is>
      </c>
      <c r="M250" t="inlineStr">
        <is>
          <t> </t>
        </is>
      </c>
      <c r="N250" t="inlineStr">
        <is>
          <t> </t>
        </is>
      </c>
      <c r="O250" t="inlineStr">
        <is>
          <t> </t>
        </is>
      </c>
      <c r="P250" t="inlineStr">
        <is>
          <t> </t>
        </is>
      </c>
      <c r="Q250" t="inlineStr">
        <is>
          <t> </t>
        </is>
      </c>
      <c r="R250" t="inlineStr">
        <is>
          <t>rybnik</t>
        </is>
      </c>
      <c r="S250" s="1" t="n">
        <v>46162.75833333333</v>
      </c>
      <c r="T250" t="n">
        <v>0</v>
      </c>
      <c r="U250" t="inlineStr">
        <is>
          <t>BUJALSKI TOMASZ</t>
        </is>
      </c>
    </row>
    <row r="251">
      <c r="A251" s="1" t="n">
        <v>46162</v>
      </c>
      <c r="B251" t="inlineStr">
        <is>
          <t>1404510-3329698</t>
        </is>
      </c>
      <c r="C251" t="inlineStr">
        <is>
          <t>WIKTOR KOZIK</t>
        </is>
      </c>
      <c r="D251" t="inlineStr">
        <is>
          <t>13292100970</t>
        </is>
      </c>
      <c r="E251" s="1" t="n">
        <v>46162</v>
      </c>
      <c r="F251" t="inlineStr">
        <is>
          <t>CITO-CITO</t>
        </is>
      </c>
      <c r="G251" t="inlineStr">
        <is>
          <t>TK</t>
        </is>
      </c>
      <c r="H251" t="inlineStr">
        <is>
          <t>TK głowy bez wzmocnienia kontrastowego 87.030</t>
        </is>
      </c>
      <c r="I251" t="inlineStr">
        <is>
          <t>TK Zwykłe</t>
        </is>
      </c>
      <c r="J251" t="inlineStr">
        <is>
          <t>1 okolica anatomiczna</t>
        </is>
      </c>
      <c r="K251" t="inlineStr">
        <is>
          <t>Tomasz Bujalski</t>
        </is>
      </c>
      <c r="L251" t="inlineStr">
        <is>
          <t> </t>
        </is>
      </c>
      <c r="M251" t="inlineStr">
        <is>
          <t> </t>
        </is>
      </c>
      <c r="N251" t="inlineStr">
        <is>
          <t> </t>
        </is>
      </c>
      <c r="O251" t="inlineStr">
        <is>
          <t> </t>
        </is>
      </c>
      <c r="P251" t="inlineStr">
        <is>
          <t> </t>
        </is>
      </c>
      <c r="Q251" t="inlineStr">
        <is>
          <t> </t>
        </is>
      </c>
      <c r="R251" t="inlineStr">
        <is>
          <t>rybnik</t>
        </is>
      </c>
      <c r="S251" s="1" t="n">
        <v>46162.70416666667</v>
      </c>
      <c r="T251" t="n">
        <v>0</v>
      </c>
      <c r="U251" t="inlineStr">
        <is>
          <t>BUJALSKI TOMASZ</t>
        </is>
      </c>
    </row>
    <row r="252">
      <c r="A252" s="1" t="n">
        <v>46165</v>
      </c>
      <c r="B252" t="inlineStr">
        <is>
          <t>1408648-3337983</t>
        </is>
      </c>
      <c r="C252" t="inlineStr">
        <is>
          <t>ZYGMUNT HOLONA</t>
        </is>
      </c>
      <c r="D252" t="inlineStr">
        <is>
          <t>39042501954</t>
        </is>
      </c>
      <c r="E252" s="1" t="n">
        <v>46165</v>
      </c>
      <c r="F252" t="inlineStr">
        <is>
          <t>CITO-CITO</t>
        </is>
      </c>
      <c r="G252" t="inlineStr">
        <is>
          <t>TK</t>
        </is>
      </c>
      <c r="H252" t="inlineStr">
        <is>
          <t>TK głowy</t>
        </is>
      </c>
      <c r="I252" t="inlineStr">
        <is>
          <t>TK Onkologia</t>
        </is>
      </c>
      <c r="J252" t="inlineStr">
        <is>
          <t>1 okolica anatomiczna</t>
        </is>
      </c>
      <c r="K252" t="inlineStr">
        <is>
          <t>Tomasz Bujalski</t>
        </is>
      </c>
      <c r="L252" t="inlineStr">
        <is>
          <t> </t>
        </is>
      </c>
      <c r="M252" t="inlineStr">
        <is>
          <t> </t>
        </is>
      </c>
      <c r="N252" t="inlineStr">
        <is>
          <t> </t>
        </is>
      </c>
      <c r="O252" t="inlineStr">
        <is>
          <t> </t>
        </is>
      </c>
      <c r="P252" t="inlineStr">
        <is>
          <t> </t>
        </is>
      </c>
      <c r="Q252" t="inlineStr">
        <is>
          <t> </t>
        </is>
      </c>
      <c r="R252" t="inlineStr">
        <is>
          <t>rybnik</t>
        </is>
      </c>
      <c r="S252" s="1" t="n">
        <v>46165.67222222222</v>
      </c>
      <c r="T252" t="n">
        <v>0</v>
      </c>
      <c r="U252" t="inlineStr">
        <is>
          <t>BUJALSKI TOMASZ</t>
        </is>
      </c>
    </row>
    <row r="253">
      <c r="A253" s="1" t="n">
        <v>46165</v>
      </c>
      <c r="B253" t="inlineStr">
        <is>
          <t>1408648-3337983</t>
        </is>
      </c>
      <c r="C253" t="inlineStr">
        <is>
          <t>ZYGMUNT HOLONA</t>
        </is>
      </c>
      <c r="D253" t="inlineStr">
        <is>
          <t>39042501954</t>
        </is>
      </c>
      <c r="E253" s="1" t="n">
        <v>46165</v>
      </c>
      <c r="F253" t="inlineStr">
        <is>
          <t>CITO-CITO</t>
        </is>
      </c>
      <c r="G253" t="inlineStr">
        <is>
          <t>TK</t>
        </is>
      </c>
      <c r="H253" t="inlineStr">
        <is>
          <t>TK twarzoczaszki</t>
        </is>
      </c>
      <c r="I253" t="inlineStr">
        <is>
          <t>TK Onkologia</t>
        </is>
      </c>
      <c r="J253" t="inlineStr">
        <is>
          <t>1 okolica anatomiczna</t>
        </is>
      </c>
      <c r="K253" t="inlineStr">
        <is>
          <t>Tomasz Bujalski</t>
        </is>
      </c>
      <c r="L253" t="inlineStr">
        <is>
          <t> </t>
        </is>
      </c>
      <c r="M253" t="inlineStr">
        <is>
          <t> </t>
        </is>
      </c>
      <c r="N253" t="inlineStr">
        <is>
          <t> </t>
        </is>
      </c>
      <c r="O253" t="inlineStr">
        <is>
          <t> </t>
        </is>
      </c>
      <c r="P253" t="inlineStr">
        <is>
          <t> </t>
        </is>
      </c>
      <c r="Q253" t="inlineStr">
        <is>
          <t> </t>
        </is>
      </c>
      <c r="R253" t="inlineStr">
        <is>
          <t>rybnik</t>
        </is>
      </c>
      <c r="S253" s="1" t="n">
        <v>46165.67430555556</v>
      </c>
      <c r="T253" t="n">
        <v>0</v>
      </c>
      <c r="U253" t="inlineStr">
        <is>
          <t>BUJALSKI TOMASZ</t>
        </is>
      </c>
    </row>
    <row r="254">
      <c r="A254" s="1" t="n">
        <v>46169</v>
      </c>
      <c r="B254" t="inlineStr">
        <is>
          <t>1415379-3352221</t>
        </is>
      </c>
      <c r="C254" t="inlineStr">
        <is>
          <t>KRYSTIAN PASZENDA</t>
        </is>
      </c>
      <c r="D254" t="inlineStr">
        <is>
          <t>83060212596</t>
        </is>
      </c>
      <c r="E254" s="1" t="n">
        <v>46169</v>
      </c>
      <c r="F254" t="inlineStr">
        <is>
          <t>CITO-CITO</t>
        </is>
      </c>
      <c r="G254" t="inlineStr">
        <is>
          <t>TK</t>
        </is>
      </c>
      <c r="H254" t="inlineStr">
        <is>
          <t>TK twarzoczaszki</t>
        </is>
      </c>
      <c r="I254" t="inlineStr">
        <is>
          <t>TK Onkologia</t>
        </is>
      </c>
      <c r="J254" t="inlineStr">
        <is>
          <t>1 okolica anatomiczna</t>
        </is>
      </c>
      <c r="K254" t="inlineStr">
        <is>
          <t>Tomasz Bujalski</t>
        </is>
      </c>
      <c r="L254" t="inlineStr">
        <is>
          <t> </t>
        </is>
      </c>
      <c r="M254" t="inlineStr">
        <is>
          <t> </t>
        </is>
      </c>
      <c r="N254" t="inlineStr">
        <is>
          <t> </t>
        </is>
      </c>
      <c r="O254" t="inlineStr">
        <is>
          <t> </t>
        </is>
      </c>
      <c r="P254" t="inlineStr">
        <is>
          <t> </t>
        </is>
      </c>
      <c r="Q254" t="inlineStr">
        <is>
          <t> </t>
        </is>
      </c>
      <c r="R254" t="inlineStr">
        <is>
          <t>rybnik</t>
        </is>
      </c>
      <c r="S254" s="1" t="n">
        <v>46169.54097222222</v>
      </c>
      <c r="T254" t="n">
        <v>0</v>
      </c>
      <c r="U254" t="inlineStr">
        <is>
          <t>BUJALSKI TOMASZ</t>
        </is>
      </c>
    </row>
    <row r="255">
      <c r="A255" s="1" t="n">
        <v>46169</v>
      </c>
      <c r="B255" t="inlineStr">
        <is>
          <t>1415497-3352513</t>
        </is>
      </c>
      <c r="C255" t="inlineStr">
        <is>
          <t>RAFAL PALKA</t>
        </is>
      </c>
      <c r="D255" t="inlineStr">
        <is>
          <t>82081017010</t>
        </is>
      </c>
      <c r="E255" s="1" t="n">
        <v>46169</v>
      </c>
      <c r="F255" t="inlineStr">
        <is>
          <t>CITO-CITO</t>
        </is>
      </c>
      <c r="G255" t="inlineStr">
        <is>
          <t>TK</t>
        </is>
      </c>
      <c r="H255" t="inlineStr">
        <is>
          <t>TK głowy</t>
        </is>
      </c>
      <c r="I255" t="inlineStr">
        <is>
          <t>TK Onkologia</t>
        </is>
      </c>
      <c r="J255" t="inlineStr">
        <is>
          <t>1 okolica anatomiczna</t>
        </is>
      </c>
      <c r="K255" t="inlineStr">
        <is>
          <t>Tomasz Bujalski</t>
        </is>
      </c>
      <c r="L255" t="inlineStr">
        <is>
          <t> </t>
        </is>
      </c>
      <c r="M255" t="inlineStr">
        <is>
          <t> </t>
        </is>
      </c>
      <c r="N255" t="inlineStr">
        <is>
          <t> </t>
        </is>
      </c>
      <c r="O255" t="inlineStr">
        <is>
          <t> </t>
        </is>
      </c>
      <c r="P255" t="inlineStr">
        <is>
          <t> </t>
        </is>
      </c>
      <c r="Q255" t="inlineStr">
        <is>
          <t> </t>
        </is>
      </c>
      <c r="R255" t="inlineStr">
        <is>
          <t>rybnik</t>
        </is>
      </c>
      <c r="S255" s="1" t="n">
        <v>46169.64097222222</v>
      </c>
      <c r="T255" t="n">
        <v>0</v>
      </c>
      <c r="U255" t="inlineStr">
        <is>
          <t>BUJALSKI TOMASZ</t>
        </is>
      </c>
    </row>
    <row r="256">
      <c r="A256" s="1" t="n">
        <v>46169</v>
      </c>
      <c r="B256" t="inlineStr">
        <is>
          <t>1415526-3352597</t>
        </is>
      </c>
      <c r="C256" t="inlineStr">
        <is>
          <t>JAN DEPCZYNSKI</t>
        </is>
      </c>
      <c r="D256" t="inlineStr">
        <is>
          <t>98011603392</t>
        </is>
      </c>
      <c r="E256" s="1" t="n">
        <v>46169</v>
      </c>
      <c r="F256" t="inlineStr">
        <is>
          <t>CITO-CITO</t>
        </is>
      </c>
      <c r="G256" t="inlineStr">
        <is>
          <t>TK</t>
        </is>
      </c>
      <c r="H256" t="inlineStr">
        <is>
          <t>TK głowy bez wzmocnienia kontrastowego 87.030</t>
        </is>
      </c>
      <c r="I256" t="inlineStr">
        <is>
          <t>TK Zwykłe</t>
        </is>
      </c>
      <c r="J256" t="inlineStr">
        <is>
          <t>1 okolica anatomiczna</t>
        </is>
      </c>
      <c r="K256" t="inlineStr">
        <is>
          <t>Tomasz Bujalski</t>
        </is>
      </c>
      <c r="L256" t="inlineStr">
        <is>
          <t> </t>
        </is>
      </c>
      <c r="M256" t="inlineStr">
        <is>
          <t> </t>
        </is>
      </c>
      <c r="N256" t="inlineStr">
        <is>
          <t> </t>
        </is>
      </c>
      <c r="O256" t="inlineStr">
        <is>
          <t> </t>
        </is>
      </c>
      <c r="P256" t="inlineStr">
        <is>
          <t> </t>
        </is>
      </c>
      <c r="Q256" t="inlineStr">
        <is>
          <t> </t>
        </is>
      </c>
      <c r="R256" t="inlineStr">
        <is>
          <t>rybnik</t>
        </is>
      </c>
      <c r="S256" s="1" t="n">
        <v>46169.64791666667</v>
      </c>
      <c r="T256" t="n">
        <v>0</v>
      </c>
      <c r="U256" t="inlineStr">
        <is>
          <t>BUJALSKI TOMASZ</t>
        </is>
      </c>
    </row>
    <row r="257">
      <c r="A257" s="1" t="n">
        <v>46169</v>
      </c>
      <c r="B257" t="inlineStr">
        <is>
          <t>1415529-3352614</t>
        </is>
      </c>
      <c r="C257" t="inlineStr">
        <is>
          <t>ANDRZEJ MALOLEPSZY</t>
        </is>
      </c>
      <c r="D257" t="inlineStr">
        <is>
          <t>99113005956</t>
        </is>
      </c>
      <c r="E257" s="1" t="n">
        <v>46169</v>
      </c>
      <c r="F257" t="inlineStr">
        <is>
          <t>CITO-CITO</t>
        </is>
      </c>
      <c r="G257" t="inlineStr">
        <is>
          <t>TK</t>
        </is>
      </c>
      <c r="H257" t="inlineStr">
        <is>
          <t>TK j.brzusznej i miednicy z kontrastem</t>
        </is>
      </c>
      <c r="I257" t="inlineStr">
        <is>
          <t>TK Zwykłe</t>
        </is>
      </c>
      <c r="J257" t="inlineStr">
        <is>
          <t>2 okolice anatomiczne</t>
        </is>
      </c>
      <c r="K257" t="inlineStr">
        <is>
          <t>Tomasz Bujalski</t>
        </is>
      </c>
      <c r="L257" t="inlineStr">
        <is>
          <t> </t>
        </is>
      </c>
      <c r="M257" t="inlineStr">
        <is>
          <t> </t>
        </is>
      </c>
      <c r="N257" t="inlineStr">
        <is>
          <t> </t>
        </is>
      </c>
      <c r="O257" t="inlineStr">
        <is>
          <t> </t>
        </is>
      </c>
      <c r="P257" t="inlineStr">
        <is>
          <t> </t>
        </is>
      </c>
      <c r="Q257" t="inlineStr">
        <is>
          <t> </t>
        </is>
      </c>
      <c r="R257" t="inlineStr">
        <is>
          <t>rybnik</t>
        </is>
      </c>
      <c r="S257" s="1" t="n">
        <v>46169.675</v>
      </c>
      <c r="T257" t="n">
        <v>0</v>
      </c>
      <c r="U257" t="inlineStr">
        <is>
          <t>BUJALSKI TOMASZ</t>
        </is>
      </c>
    </row>
    <row r="258">
      <c r="A258" s="1" t="n">
        <v>46169</v>
      </c>
      <c r="B258" t="inlineStr">
        <is>
          <t>1415544-3352643</t>
        </is>
      </c>
      <c r="C258" t="inlineStr">
        <is>
          <t>IZABELA GAJEWSKA</t>
        </is>
      </c>
      <c r="D258" t="inlineStr">
        <is>
          <t>83020517925</t>
        </is>
      </c>
      <c r="E258" s="1" t="n">
        <v>46169</v>
      </c>
      <c r="F258" t="inlineStr">
        <is>
          <t>CITO-CITO</t>
        </is>
      </c>
      <c r="G258" t="inlineStr">
        <is>
          <t>TK</t>
        </is>
      </c>
      <c r="H258" t="inlineStr">
        <is>
          <t>TK głowy</t>
        </is>
      </c>
      <c r="I258" t="inlineStr">
        <is>
          <t>TK Onkologia</t>
        </is>
      </c>
      <c r="J258" t="inlineStr">
        <is>
          <t>1 okolica anatomiczna</t>
        </is>
      </c>
      <c r="K258" t="inlineStr">
        <is>
          <t>Tomasz Bujalski</t>
        </is>
      </c>
      <c r="L258" t="inlineStr">
        <is>
          <t> </t>
        </is>
      </c>
      <c r="M258" t="inlineStr">
        <is>
          <t> </t>
        </is>
      </c>
      <c r="N258" t="inlineStr">
        <is>
          <t> </t>
        </is>
      </c>
      <c r="O258" t="inlineStr">
        <is>
          <t> </t>
        </is>
      </c>
      <c r="P258" t="inlineStr">
        <is>
          <t> </t>
        </is>
      </c>
      <c r="Q258" t="inlineStr">
        <is>
          <t> </t>
        </is>
      </c>
      <c r="R258" t="inlineStr">
        <is>
          <t>rybnik</t>
        </is>
      </c>
      <c r="S258" s="1" t="n">
        <v>46169.69236111111</v>
      </c>
      <c r="T258" t="n">
        <v>0</v>
      </c>
      <c r="U258" t="inlineStr">
        <is>
          <t>BUJALSKI TOMASZ</t>
        </is>
      </c>
    </row>
    <row r="259">
      <c r="A259" s="1" t="n">
        <v>46169</v>
      </c>
      <c r="B259" t="inlineStr">
        <is>
          <t>1415544-3352643</t>
        </is>
      </c>
      <c r="C259" t="inlineStr">
        <is>
          <t>IZABELA GAJEWSKA</t>
        </is>
      </c>
      <c r="D259" t="inlineStr">
        <is>
          <t>83020517925</t>
        </is>
      </c>
      <c r="E259" s="1" t="n">
        <v>46169</v>
      </c>
      <c r="F259" t="inlineStr">
        <is>
          <t>CITO-CITO</t>
        </is>
      </c>
      <c r="G259" t="inlineStr">
        <is>
          <t>TK</t>
        </is>
      </c>
      <c r="H259" t="inlineStr">
        <is>
          <t>TK kręgosłupa odc. C</t>
        </is>
      </c>
      <c r="I259" t="inlineStr">
        <is>
          <t>TK Zwykłe</t>
        </is>
      </c>
      <c r="J259" t="inlineStr">
        <is>
          <t>1 okolica anatomiczna</t>
        </is>
      </c>
      <c r="K259" t="inlineStr">
        <is>
          <t>Tomasz Bujalski</t>
        </is>
      </c>
      <c r="L259" t="inlineStr">
        <is>
          <t> </t>
        </is>
      </c>
      <c r="M259" t="inlineStr">
        <is>
          <t> </t>
        </is>
      </c>
      <c r="N259" t="inlineStr">
        <is>
          <t> </t>
        </is>
      </c>
      <c r="O259" t="inlineStr">
        <is>
          <t> </t>
        </is>
      </c>
      <c r="P259" t="inlineStr">
        <is>
          <t> </t>
        </is>
      </c>
      <c r="Q259" t="inlineStr">
        <is>
          <t> </t>
        </is>
      </c>
      <c r="R259" t="inlineStr">
        <is>
          <t>rybnik</t>
        </is>
      </c>
      <c r="S259" s="1" t="n">
        <v>46169.69236111111</v>
      </c>
      <c r="T259" t="n">
        <v>0</v>
      </c>
      <c r="U259" t="inlineStr">
        <is>
          <t>BUJALSKI TOMASZ</t>
        </is>
      </c>
    </row>
    <row r="260">
      <c r="A260" s="1" t="n">
        <v>46169</v>
      </c>
      <c r="B260" t="inlineStr">
        <is>
          <t>1415579-3352695</t>
        </is>
      </c>
      <c r="C260" t="inlineStr">
        <is>
          <t>BARBARA PALA</t>
        </is>
      </c>
      <c r="D260" t="inlineStr">
        <is>
          <t>60012812325</t>
        </is>
      </c>
      <c r="E260" s="1" t="n">
        <v>46169</v>
      </c>
      <c r="F260" t="inlineStr">
        <is>
          <t>CITO-CITO</t>
        </is>
      </c>
      <c r="G260" t="inlineStr">
        <is>
          <t>TK</t>
        </is>
      </c>
      <c r="H260" t="inlineStr">
        <is>
          <t>TK głowy</t>
        </is>
      </c>
      <c r="I260" t="inlineStr">
        <is>
          <t>TK Onkologia</t>
        </is>
      </c>
      <c r="J260" t="inlineStr">
        <is>
          <t>1 okolica anatomiczna</t>
        </is>
      </c>
      <c r="K260" t="inlineStr">
        <is>
          <t>Tomasz Bujalski</t>
        </is>
      </c>
      <c r="L260" t="inlineStr">
        <is>
          <t> </t>
        </is>
      </c>
      <c r="M260" t="inlineStr">
        <is>
          <t> </t>
        </is>
      </c>
      <c r="N260" t="inlineStr">
        <is>
          <t> </t>
        </is>
      </c>
      <c r="O260" t="inlineStr">
        <is>
          <t> </t>
        </is>
      </c>
      <c r="P260" t="inlineStr">
        <is>
          <t> </t>
        </is>
      </c>
      <c r="Q260" t="inlineStr">
        <is>
          <t> </t>
        </is>
      </c>
      <c r="R260" t="inlineStr">
        <is>
          <t>rybnik</t>
        </is>
      </c>
      <c r="S260" s="1" t="n">
        <v>46169.69930555556</v>
      </c>
      <c r="T260" t="n">
        <v>0</v>
      </c>
      <c r="U260" t="inlineStr">
        <is>
          <t>BUJALSKI TOMASZ</t>
        </is>
      </c>
    </row>
    <row r="261">
      <c r="A261" s="1" t="n">
        <v>46169</v>
      </c>
      <c r="B261" t="inlineStr">
        <is>
          <t>1415595-3352731</t>
        </is>
      </c>
      <c r="C261" t="inlineStr">
        <is>
          <t>JOANNA POLOMSKA</t>
        </is>
      </c>
      <c r="D261" t="inlineStr">
        <is>
          <t>52021814249</t>
        </is>
      </c>
      <c r="E261" s="1" t="n">
        <v>46169</v>
      </c>
      <c r="F261" t="inlineStr">
        <is>
          <t>CITO-CITO</t>
        </is>
      </c>
      <c r="G261" t="inlineStr">
        <is>
          <t>TK</t>
        </is>
      </c>
      <c r="H261" t="inlineStr">
        <is>
          <t>TK angio aorty</t>
        </is>
      </c>
      <c r="I261" t="inlineStr">
        <is>
          <t>TK Angiografia</t>
        </is>
      </c>
      <c r="J261" t="inlineStr">
        <is>
          <t>3 okolice anatomiczne</t>
        </is>
      </c>
      <c r="K261" t="inlineStr">
        <is>
          <t>Tomasz Bujalski</t>
        </is>
      </c>
      <c r="L261" t="inlineStr">
        <is>
          <t> </t>
        </is>
      </c>
      <c r="M261" t="inlineStr">
        <is>
          <t> </t>
        </is>
      </c>
      <c r="N261" t="inlineStr">
        <is>
          <t> </t>
        </is>
      </c>
      <c r="O261" t="inlineStr">
        <is>
          <t> </t>
        </is>
      </c>
      <c r="P261" t="inlineStr">
        <is>
          <t> </t>
        </is>
      </c>
      <c r="Q261" t="inlineStr">
        <is>
          <t> </t>
        </is>
      </c>
      <c r="R261" t="inlineStr">
        <is>
          <t>rybnik</t>
        </is>
      </c>
      <c r="S261" s="1" t="n">
        <v>46169.73125</v>
      </c>
      <c r="T261" t="n">
        <v>0</v>
      </c>
      <c r="U261" t="inlineStr">
        <is>
          <t>BUJALSKI TOMASZ</t>
        </is>
      </c>
    </row>
    <row r="262">
      <c r="A262" s="1" t="n">
        <v>46169</v>
      </c>
      <c r="B262" t="inlineStr">
        <is>
          <t>1415627-3352838</t>
        </is>
      </c>
      <c r="C262" t="inlineStr">
        <is>
          <t>EWELINA OCIMEK</t>
        </is>
      </c>
      <c r="D262" t="inlineStr">
        <is>
          <t>82082011761</t>
        </is>
      </c>
      <c r="E262" s="1" t="n">
        <v>46169</v>
      </c>
      <c r="F262" t="inlineStr">
        <is>
          <t>CITO-CITO</t>
        </is>
      </c>
      <c r="G262" t="inlineStr">
        <is>
          <t>TK</t>
        </is>
      </c>
      <c r="H262" t="inlineStr">
        <is>
          <t>TK głowy</t>
        </is>
      </c>
      <c r="I262" t="inlineStr">
        <is>
          <t>TK Onkologia</t>
        </is>
      </c>
      <c r="J262" t="inlineStr">
        <is>
          <t>1 okolica anatomiczna</t>
        </is>
      </c>
      <c r="K262" t="inlineStr">
        <is>
          <t>Tomasz Bujalski</t>
        </is>
      </c>
      <c r="L262" t="inlineStr">
        <is>
          <t> </t>
        </is>
      </c>
      <c r="M262" t="inlineStr">
        <is>
          <t> </t>
        </is>
      </c>
      <c r="N262" t="inlineStr">
        <is>
          <t> </t>
        </is>
      </c>
      <c r="O262" t="inlineStr">
        <is>
          <t> </t>
        </is>
      </c>
      <c r="P262" t="inlineStr">
        <is>
          <t> </t>
        </is>
      </c>
      <c r="Q262" t="inlineStr">
        <is>
          <t> </t>
        </is>
      </c>
      <c r="R262" t="inlineStr">
        <is>
          <t>rybnik</t>
        </is>
      </c>
      <c r="S262" s="1" t="n">
        <v>46169.72708333333</v>
      </c>
      <c r="T262" t="n">
        <v>0</v>
      </c>
      <c r="U262" t="inlineStr">
        <is>
          <t>BUJALSKI TOMASZ</t>
        </is>
      </c>
    </row>
    <row r="263">
      <c r="A263" s="1" t="n">
        <v>46169</v>
      </c>
      <c r="B263" t="inlineStr">
        <is>
          <t>1415670-3352899</t>
        </is>
      </c>
      <c r="C263" t="inlineStr">
        <is>
          <t>SZYMON MALINA</t>
        </is>
      </c>
      <c r="D263" t="inlineStr">
        <is>
          <t>93091002958</t>
        </is>
      </c>
      <c r="E263" s="1" t="n">
        <v>46169</v>
      </c>
      <c r="F263" t="inlineStr">
        <is>
          <t>CITO-CITO</t>
        </is>
      </c>
      <c r="G263" t="inlineStr">
        <is>
          <t>TK</t>
        </is>
      </c>
      <c r="H263" t="inlineStr">
        <is>
          <t>TK kręgosłupa odc. L/S</t>
        </is>
      </c>
      <c r="I263" t="inlineStr">
        <is>
          <t>TK Zwykłe</t>
        </is>
      </c>
      <c r="J263" t="inlineStr">
        <is>
          <t>1 okolica anatomiczna</t>
        </is>
      </c>
      <c r="K263" t="inlineStr">
        <is>
          <t>Tomasz Bujalski</t>
        </is>
      </c>
      <c r="L263" t="inlineStr">
        <is>
          <t> </t>
        </is>
      </c>
      <c r="M263" t="inlineStr">
        <is>
          <t> </t>
        </is>
      </c>
      <c r="N263" t="inlineStr">
        <is>
          <t> </t>
        </is>
      </c>
      <c r="O263" t="inlineStr">
        <is>
          <t> </t>
        </is>
      </c>
      <c r="P263" t="inlineStr">
        <is>
          <t> </t>
        </is>
      </c>
      <c r="Q263" t="inlineStr">
        <is>
          <t> </t>
        </is>
      </c>
      <c r="R263" t="inlineStr">
        <is>
          <t>rybnik</t>
        </is>
      </c>
      <c r="S263" s="1" t="n">
        <v>46169.77361111111</v>
      </c>
      <c r="T263" t="n">
        <v>0</v>
      </c>
      <c r="U263" t="inlineStr">
        <is>
          <t>BUJALSKI TOMASZ</t>
        </is>
      </c>
    </row>
    <row r="264">
      <c r="A264" s="1" t="n">
        <v>46170</v>
      </c>
      <c r="B264" t="inlineStr">
        <is>
          <t>1412461-3346401</t>
        </is>
      </c>
      <c r="C264" t="inlineStr">
        <is>
          <t>BERNARD WAWRZYNCZYK</t>
        </is>
      </c>
      <c r="D264" t="inlineStr">
        <is>
          <t>41100703893</t>
        </is>
      </c>
      <c r="E264" s="1" t="n">
        <v>46169</v>
      </c>
      <c r="F264" t="inlineStr">
        <is>
          <t>Pilny</t>
        </is>
      </c>
      <c r="G264" t="inlineStr">
        <is>
          <t>TK</t>
        </is>
      </c>
      <c r="H264" t="inlineStr">
        <is>
          <t>TK klp.,  j.b.  przed i po podaniu i.v. kontrastu /88.012 BK/</t>
        </is>
      </c>
      <c r="I264" t="inlineStr">
        <is>
          <t>TK Onkologia</t>
        </is>
      </c>
      <c r="J264" t="inlineStr">
        <is>
          <t>3 okolice anatomiczne</t>
        </is>
      </c>
      <c r="K264" t="inlineStr">
        <is>
          <t>Tomasz Bujalski</t>
        </is>
      </c>
      <c r="L264" t="inlineStr">
        <is>
          <t> </t>
        </is>
      </c>
      <c r="M264" t="inlineStr">
        <is>
          <t> </t>
        </is>
      </c>
      <c r="N264" t="inlineStr">
        <is>
          <t> </t>
        </is>
      </c>
      <c r="O264" t="inlineStr">
        <is>
          <t> </t>
        </is>
      </c>
      <c r="P264" t="inlineStr">
        <is>
          <t> </t>
        </is>
      </c>
      <c r="Q264" t="inlineStr">
        <is>
          <t> </t>
        </is>
      </c>
      <c r="R264" t="inlineStr">
        <is>
          <t>rybnik</t>
        </is>
      </c>
      <c r="S264" s="1" t="n">
        <v>46169.60138888889</v>
      </c>
      <c r="T264" t="n">
        <v>3</v>
      </c>
      <c r="U264" t="inlineStr">
        <is>
          <t>BUJALSKI TOMASZ</t>
        </is>
      </c>
    </row>
    <row r="265">
      <c r="A265" s="1" t="n">
        <v>46170</v>
      </c>
      <c r="B265" t="inlineStr">
        <is>
          <t>1414208-3349837</t>
        </is>
      </c>
      <c r="C265" t="inlineStr">
        <is>
          <t>MARIA DOMERACKA</t>
        </is>
      </c>
      <c r="D265" t="inlineStr">
        <is>
          <t>58091402368</t>
        </is>
      </c>
      <c r="E265" s="1" t="n">
        <v>46169</v>
      </c>
      <c r="F265" t="inlineStr">
        <is>
          <t>Pilny</t>
        </is>
      </c>
      <c r="G265" t="inlineStr">
        <is>
          <t>TK</t>
        </is>
      </c>
      <c r="H265" t="inlineStr">
        <is>
          <t>TK klatki piersiowej, j.brzusznej i miednicy z kontrastem</t>
        </is>
      </c>
      <c r="I265" t="inlineStr">
        <is>
          <t>TK Onkologia</t>
        </is>
      </c>
      <c r="J265" t="inlineStr">
        <is>
          <t>3 okolice anatomiczne</t>
        </is>
      </c>
      <c r="K265" t="inlineStr">
        <is>
          <t>Tomasz Bujalski</t>
        </is>
      </c>
      <c r="L265" t="inlineStr">
        <is>
          <t> </t>
        </is>
      </c>
      <c r="M265" t="inlineStr">
        <is>
          <t> </t>
        </is>
      </c>
      <c r="N265" t="inlineStr">
        <is>
          <t> </t>
        </is>
      </c>
      <c r="O265" t="inlineStr">
        <is>
          <t> </t>
        </is>
      </c>
      <c r="P265" t="inlineStr">
        <is>
          <t> </t>
        </is>
      </c>
      <c r="Q265" t="inlineStr">
        <is>
          <t> </t>
        </is>
      </c>
      <c r="R265" t="inlineStr">
        <is>
          <t>rybnik</t>
        </is>
      </c>
      <c r="S265" s="1" t="n">
        <v>46169.57013888889</v>
      </c>
      <c r="T265" t="n">
        <v>3</v>
      </c>
      <c r="U265" t="inlineStr">
        <is>
          <t>BUJALSKI TOMASZ</t>
        </is>
      </c>
    </row>
    <row r="266">
      <c r="A266" s="1" t="n">
        <v>46149</v>
      </c>
      <c r="B266" t="inlineStr">
        <is>
          <t>86879950</t>
        </is>
      </c>
      <c r="C266" t="inlineStr">
        <is>
          <t>JULIAN WAJDA</t>
        </is>
      </c>
      <c r="D266" t="inlineStr">
        <is>
          <t>NW-000076/2026</t>
        </is>
      </c>
      <c r="E266" s="1" t="n">
        <v>46149</v>
      </c>
      <c r="F266" t="inlineStr">
        <is>
          <t>CITO-CITO</t>
        </is>
      </c>
      <c r="G266" t="inlineStr">
        <is>
          <t>TK</t>
        </is>
      </c>
      <c r="H266" t="inlineStr">
        <is>
          <t>K.TK MÓZGOWIA</t>
        </is>
      </c>
      <c r="I266" t="inlineStr">
        <is>
          <t>TK Zwykłe</t>
        </is>
      </c>
      <c r="J266" t="inlineStr">
        <is>
          <t>1 okolica anatomiczna</t>
        </is>
      </c>
      <c r="K266" t="inlineStr">
        <is>
          <t>Tomasz Bujalski</t>
        </is>
      </c>
      <c r="L266" t="inlineStr">
        <is>
          <t> </t>
        </is>
      </c>
      <c r="M266" t="inlineStr">
        <is>
          <t>351618159</t>
        </is>
      </c>
      <c r="N266" t="inlineStr">
        <is>
          <t>IZBA PRZYJ</t>
        </is>
      </c>
      <c r="O266" t="inlineStr">
        <is>
          <t> </t>
        </is>
      </c>
      <c r="P266" t="inlineStr">
        <is>
          <t> </t>
        </is>
      </c>
      <c r="Q266" t="inlineStr">
        <is>
          <t>S09.8</t>
        </is>
      </c>
      <c r="R266" t="inlineStr">
        <is>
          <t>scanmed</t>
        </is>
      </c>
      <c r="S266" s="1" t="n">
        <v>46149.22430555556</v>
      </c>
      <c r="T266" t="n">
        <v>0</v>
      </c>
      <c r="U266" t="inlineStr">
        <is>
          <t>BUJALSKI TOMASZ</t>
        </is>
      </c>
    </row>
    <row r="267">
      <c r="A267" s="1" t="n">
        <v>46149</v>
      </c>
      <c r="B267" t="inlineStr">
        <is>
          <t>86880000</t>
        </is>
      </c>
      <c r="C267" t="inlineStr">
        <is>
          <t>NELIA SIVCHENKO</t>
        </is>
      </c>
      <c r="D267" t="inlineStr">
        <is>
          <t>96050915085</t>
        </is>
      </c>
      <c r="E267" s="1" t="n">
        <v>46149</v>
      </c>
      <c r="F267" t="inlineStr">
        <is>
          <t>CITO-CITO</t>
        </is>
      </c>
      <c r="G267" t="inlineStr">
        <is>
          <t>TK</t>
        </is>
      </c>
      <c r="H267" t="inlineStr">
        <is>
          <t>TK j.brzusznej i miednicy</t>
        </is>
      </c>
      <c r="I267" t="inlineStr">
        <is>
          <t>TK Zwykłe</t>
        </is>
      </c>
      <c r="J267" t="inlineStr">
        <is>
          <t>2 okolice anatomiczne</t>
        </is>
      </c>
      <c r="K267" t="inlineStr">
        <is>
          <t>Tomasz Bujalski</t>
        </is>
      </c>
      <c r="L267" t="inlineStr">
        <is>
          <t> </t>
        </is>
      </c>
      <c r="M267" t="inlineStr">
        <is>
          <t>351618159</t>
        </is>
      </c>
      <c r="N267" t="inlineStr">
        <is>
          <t>IZBA PRZYJ</t>
        </is>
      </c>
      <c r="O267" t="inlineStr">
        <is>
          <t> </t>
        </is>
      </c>
      <c r="P267" t="inlineStr">
        <is>
          <t> </t>
        </is>
      </c>
      <c r="Q267" t="inlineStr">
        <is>
          <t>R10.4</t>
        </is>
      </c>
      <c r="R267" t="inlineStr">
        <is>
          <t>scanmed</t>
        </is>
      </c>
      <c r="S267" s="1" t="n">
        <v>46149.05138888889</v>
      </c>
      <c r="T267" t="n">
        <v>0</v>
      </c>
      <c r="U267" t="inlineStr">
        <is>
          <t>BUJALSKI TOMASZ</t>
        </is>
      </c>
    </row>
    <row r="268">
      <c r="A268" s="1" t="n">
        <v>46151</v>
      </c>
      <c r="B268" t="inlineStr">
        <is>
          <t>86957920</t>
        </is>
      </c>
      <c r="C268" t="inlineStr">
        <is>
          <t>ARKADIUSZ PIETRAS</t>
        </is>
      </c>
      <c r="D268" t="inlineStr">
        <is>
          <t>84082202972</t>
        </is>
      </c>
      <c r="E268" s="1" t="n">
        <v>46151</v>
      </c>
      <c r="F268" t="inlineStr">
        <is>
          <t>CITO-CITO</t>
        </is>
      </c>
      <c r="G268" t="inlineStr">
        <is>
          <t>TK</t>
        </is>
      </c>
      <c r="H268" t="inlineStr">
        <is>
          <t>K.TK JAMY BRZUSZNEJ</t>
        </is>
      </c>
      <c r="I268" t="inlineStr">
        <is>
          <t>TK Zwykłe</t>
        </is>
      </c>
      <c r="J268" t="inlineStr">
        <is>
          <t>1 okolica anatomiczna</t>
        </is>
      </c>
      <c r="K268" t="inlineStr">
        <is>
          <t>Tomasz Bujalski</t>
        </is>
      </c>
      <c r="L268" t="inlineStr">
        <is>
          <t> </t>
        </is>
      </c>
      <c r="M268" t="inlineStr">
        <is>
          <t>351618159</t>
        </is>
      </c>
      <c r="N268" t="inlineStr">
        <is>
          <t>IZBA PRZYJ</t>
        </is>
      </c>
      <c r="O268" t="inlineStr">
        <is>
          <t> </t>
        </is>
      </c>
      <c r="P268" t="inlineStr">
        <is>
          <t> </t>
        </is>
      </c>
      <c r="Q268" t="inlineStr">
        <is>
          <t>N20.1</t>
        </is>
      </c>
      <c r="R268" t="inlineStr">
        <is>
          <t>scanmed</t>
        </is>
      </c>
      <c r="S268" s="1" t="n">
        <v>46151.57708333333</v>
      </c>
      <c r="T268" t="n">
        <v>0</v>
      </c>
      <c r="U268" t="inlineStr">
        <is>
          <t>BUJALSKI TOMASZ</t>
        </is>
      </c>
    </row>
    <row r="269">
      <c r="A269" s="1" t="n">
        <v>46152</v>
      </c>
      <c r="B269" t="inlineStr">
        <is>
          <t>86959103</t>
        </is>
      </c>
      <c r="C269" t="inlineStr">
        <is>
          <t>KAMIL CZAJKA</t>
        </is>
      </c>
      <c r="D269" t="inlineStr">
        <is>
          <t>98020209095</t>
        </is>
      </c>
      <c r="E269" s="1" t="n">
        <v>46152</v>
      </c>
      <c r="F269" t="inlineStr">
        <is>
          <t>CITO-CITO</t>
        </is>
      </c>
      <c r="G269" t="inlineStr">
        <is>
          <t>TK</t>
        </is>
      </c>
      <c r="H269" t="inlineStr">
        <is>
          <t>K.TK MÓZGOWIA</t>
        </is>
      </c>
      <c r="I269" t="inlineStr">
        <is>
          <t>TK Zwykłe</t>
        </is>
      </c>
      <c r="J269" t="inlineStr">
        <is>
          <t>1 okolica anatomiczna</t>
        </is>
      </c>
      <c r="K269" t="inlineStr">
        <is>
          <t>Tomasz Bujalski</t>
        </is>
      </c>
      <c r="L269" t="inlineStr">
        <is>
          <t> </t>
        </is>
      </c>
      <c r="M269" t="inlineStr">
        <is>
          <t>351618159</t>
        </is>
      </c>
      <c r="N269" t="inlineStr">
        <is>
          <t xml:space="preserve">ODDZIAŁ </t>
        </is>
      </c>
      <c r="O269" t="inlineStr">
        <is>
          <t> </t>
        </is>
      </c>
      <c r="P269" t="inlineStr">
        <is>
          <t> </t>
        </is>
      </c>
      <c r="Q269" t="inlineStr">
        <is>
          <t>N39.0</t>
        </is>
      </c>
      <c r="R269" t="inlineStr">
        <is>
          <t>scanmed</t>
        </is>
      </c>
      <c r="S269" s="1" t="n">
        <v>46152.62638888889</v>
      </c>
      <c r="T269" t="n">
        <v>0</v>
      </c>
      <c r="U269" t="inlineStr">
        <is>
          <t>BUJALSKI TOMASZ</t>
        </is>
      </c>
    </row>
    <row r="270">
      <c r="A270" s="1" t="n">
        <v>46153</v>
      </c>
      <c r="B270" t="inlineStr">
        <is>
          <t>84832190</t>
        </is>
      </c>
      <c r="C270" t="inlineStr">
        <is>
          <t>KAROLINA LASZCZAK</t>
        </is>
      </c>
      <c r="D270" t="inlineStr">
        <is>
          <t>74010606901</t>
        </is>
      </c>
      <c r="E270" s="1" t="n">
        <v>46128</v>
      </c>
      <c r="F270" t="inlineStr">
        <is>
          <t>Planowy</t>
        </is>
      </c>
      <c r="G270" t="inlineStr">
        <is>
          <t>MR</t>
        </is>
      </c>
      <c r="H270" t="inlineStr">
        <is>
          <t>NFZ.MR MIEDNICY MNIEJSZEJ - WIELOFAZOWE</t>
        </is>
      </c>
      <c r="I270" t="inlineStr">
        <is>
          <t>MR Onkologia</t>
        </is>
      </c>
      <c r="J270" t="inlineStr">
        <is>
          <t>2 okolice anatomiczne</t>
        </is>
      </c>
      <c r="K270" t="inlineStr">
        <is>
          <t>Tomasz Bujalski</t>
        </is>
      </c>
      <c r="L270" t="inlineStr">
        <is>
          <t> </t>
        </is>
      </c>
      <c r="M270" t="inlineStr">
        <is>
          <t>351618159</t>
        </is>
      </c>
      <c r="N270" t="inlineStr">
        <is>
          <t>PORADNI</t>
        </is>
      </c>
      <c r="O270" t="inlineStr">
        <is>
          <t> </t>
        </is>
      </c>
      <c r="P270" t="inlineStr">
        <is>
          <t> </t>
        </is>
      </c>
      <c r="Q270" t="inlineStr">
        <is>
          <t>C21.1</t>
        </is>
      </c>
      <c r="R270" t="inlineStr">
        <is>
          <t>scanmed</t>
        </is>
      </c>
      <c r="S270" s="1" t="n">
        <v>46133.50902777778</v>
      </c>
      <c r="T270" t="n">
        <v>2</v>
      </c>
      <c r="U270" t="inlineStr">
        <is>
          <t>BUJALSKI TOMASZ</t>
        </is>
      </c>
    </row>
    <row r="271">
      <c r="A271" s="1" t="n">
        <v>46153</v>
      </c>
      <c r="B271" t="inlineStr">
        <is>
          <t>84870818</t>
        </is>
      </c>
      <c r="C271" t="inlineStr">
        <is>
          <t>INGA PAWŁOWSKA</t>
        </is>
      </c>
      <c r="D271" t="inlineStr">
        <is>
          <t>84021217869</t>
        </is>
      </c>
      <c r="E271" s="1" t="n">
        <v>46133</v>
      </c>
      <c r="F271" t="inlineStr">
        <is>
          <t>Planowy</t>
        </is>
      </c>
      <c r="G271" t="inlineStr">
        <is>
          <t>MR</t>
        </is>
      </c>
      <c r="H271" t="inlineStr">
        <is>
          <t>NFZ.MR MIEDNICY MNIEJSZEJ - WIELOFAZOWE</t>
        </is>
      </c>
      <c r="I271" t="inlineStr">
        <is>
          <t>MR Inne - wtym prostata, miednica, jama brzuszna tkanki miekkie</t>
        </is>
      </c>
      <c r="J271" t="inlineStr">
        <is>
          <t>1 okolica anatomiczna</t>
        </is>
      </c>
      <c r="K271" t="inlineStr">
        <is>
          <t>Tomasz Bujalski</t>
        </is>
      </c>
      <c r="L271" t="inlineStr">
        <is>
          <t> </t>
        </is>
      </c>
      <c r="M271" t="inlineStr">
        <is>
          <t>351618159</t>
        </is>
      </c>
      <c r="N271" t="inlineStr">
        <is>
          <t>Nie wskazano</t>
        </is>
      </c>
      <c r="O271" t="inlineStr">
        <is>
          <t> </t>
        </is>
      </c>
      <c r="P271" t="inlineStr">
        <is>
          <t> </t>
        </is>
      </c>
      <c r="Q271" t="inlineStr">
        <is>
          <t>L99</t>
        </is>
      </c>
      <c r="R271" t="inlineStr">
        <is>
          <t>scanmed</t>
        </is>
      </c>
      <c r="S271" s="1" t="n">
        <v>46135.42569444444</v>
      </c>
      <c r="T271" t="n">
        <v>0</v>
      </c>
      <c r="U271" t="inlineStr">
        <is>
          <t>BUJALSKI TOMASZ</t>
        </is>
      </c>
    </row>
    <row r="272">
      <c r="A272" s="1" t="n">
        <v>46153</v>
      </c>
      <c r="B272" t="inlineStr">
        <is>
          <t>85971917</t>
        </is>
      </c>
      <c r="C272" t="inlineStr">
        <is>
          <t>ZBIGNIEWA MIŚ</t>
        </is>
      </c>
      <c r="D272" t="inlineStr">
        <is>
          <t>54122209443</t>
        </is>
      </c>
      <c r="E272" s="1" t="n">
        <v>46148</v>
      </c>
      <c r="F272" t="inlineStr">
        <is>
          <t>Planowy</t>
        </is>
      </c>
      <c r="G272" t="inlineStr">
        <is>
          <t>MR</t>
        </is>
      </c>
      <c r="H272" t="inlineStr">
        <is>
          <t>NFZ.MR MIEDNICY MNIEJSZEJ - WIELOFAZOWE</t>
        </is>
      </c>
      <c r="I272" t="inlineStr">
        <is>
          <t>MR Onkologia</t>
        </is>
      </c>
      <c r="J272" t="inlineStr">
        <is>
          <t>1 okolica anatomiczna</t>
        </is>
      </c>
      <c r="K272" t="inlineStr">
        <is>
          <t>Tomasz Bujalski</t>
        </is>
      </c>
      <c r="L272" t="inlineStr">
        <is>
          <t> </t>
        </is>
      </c>
      <c r="M272" t="inlineStr">
        <is>
          <t>351618159</t>
        </is>
      </c>
      <c r="N272" t="inlineStr">
        <is>
          <t>Nie wskazano</t>
        </is>
      </c>
      <c r="O272" t="inlineStr">
        <is>
          <t> </t>
        </is>
      </c>
      <c r="P272" t="inlineStr">
        <is>
          <t> </t>
        </is>
      </c>
      <c r="Q272" t="inlineStr">
        <is>
          <t>C20</t>
        </is>
      </c>
      <c r="R272" t="inlineStr">
        <is>
          <t>scanmed</t>
        </is>
      </c>
      <c r="S272" s="1" t="n">
        <v>46153.34861111111</v>
      </c>
      <c r="T272" t="n">
        <v>1</v>
      </c>
      <c r="U272" t="inlineStr">
        <is>
          <t>BUJALSKI TOMASZ</t>
        </is>
      </c>
    </row>
    <row r="273">
      <c r="A273" s="1" t="n">
        <v>46153</v>
      </c>
      <c r="B273" t="inlineStr">
        <is>
          <t>86422583</t>
        </is>
      </c>
      <c r="C273" t="inlineStr">
        <is>
          <t>MAGDALENA KĘSEK</t>
        </is>
      </c>
      <c r="D273" t="inlineStr">
        <is>
          <t>80050109164</t>
        </is>
      </c>
      <c r="E273" s="1" t="n">
        <v>46135</v>
      </c>
      <c r="F273" t="inlineStr">
        <is>
          <t>Planowy</t>
        </is>
      </c>
      <c r="G273" t="inlineStr">
        <is>
          <t>MR</t>
        </is>
      </c>
      <c r="H273" t="inlineStr">
        <is>
          <t>K.MR MIEDNICY MNIEJSZEJ</t>
        </is>
      </c>
      <c r="I273" t="inlineStr">
        <is>
          <t>MR Onkologia</t>
        </is>
      </c>
      <c r="J273" t="inlineStr">
        <is>
          <t>1 okolica anatomiczna</t>
        </is>
      </c>
      <c r="K273" t="inlineStr">
        <is>
          <t>Tomasz Bujalski</t>
        </is>
      </c>
      <c r="L273" t="inlineStr">
        <is>
          <t> </t>
        </is>
      </c>
      <c r="M273" t="inlineStr">
        <is>
          <t>351618159</t>
        </is>
      </c>
      <c r="N273" t="inlineStr">
        <is>
          <t>Nie wskazano</t>
        </is>
      </c>
      <c r="O273" t="inlineStr">
        <is>
          <t> </t>
        </is>
      </c>
      <c r="P273" t="inlineStr">
        <is>
          <t> </t>
        </is>
      </c>
      <c r="Q273" t="inlineStr">
        <is>
          <t>D37.5</t>
        </is>
      </c>
      <c r="R273" t="inlineStr">
        <is>
          <t>scanmed</t>
        </is>
      </c>
      <c r="S273" s="1" t="n">
        <v>46139.48402777778</v>
      </c>
      <c r="T273" t="n">
        <v>1</v>
      </c>
      <c r="U273" t="inlineStr">
        <is>
          <t>BUJALSKI TOMASZ</t>
        </is>
      </c>
    </row>
    <row r="274">
      <c r="A274" s="1" t="n">
        <v>46153</v>
      </c>
      <c r="B274" t="inlineStr">
        <is>
          <t>86959603</t>
        </is>
      </c>
      <c r="C274" t="inlineStr">
        <is>
          <t>BARBARA WOJAS</t>
        </is>
      </c>
      <c r="D274" t="inlineStr">
        <is>
          <t>51092211649</t>
        </is>
      </c>
      <c r="E274" s="1" t="n">
        <v>46153</v>
      </c>
      <c r="F274" t="inlineStr">
        <is>
          <t>CITO-CITO</t>
        </is>
      </c>
      <c r="G274" t="inlineStr">
        <is>
          <t>TK</t>
        </is>
      </c>
      <c r="H274" t="inlineStr">
        <is>
          <t>K.TK MÓZGOWIA I KRĘGOSŁUPA SZYJNEGO</t>
        </is>
      </c>
      <c r="I274" t="inlineStr">
        <is>
          <t>TK Zwykłe</t>
        </is>
      </c>
      <c r="J274" t="inlineStr">
        <is>
          <t>2 okolice anatomiczne</t>
        </is>
      </c>
      <c r="K274" t="inlineStr">
        <is>
          <t>Tomasz Bujalski</t>
        </is>
      </c>
      <c r="L274" t="inlineStr">
        <is>
          <t> </t>
        </is>
      </c>
      <c r="M274" t="inlineStr">
        <is>
          <t>351618159</t>
        </is>
      </c>
      <c r="N274" t="inlineStr">
        <is>
          <t>IZBA PRZYJ</t>
        </is>
      </c>
      <c r="O274" t="inlineStr">
        <is>
          <t> </t>
        </is>
      </c>
      <c r="P274" t="inlineStr">
        <is>
          <t> </t>
        </is>
      </c>
      <c r="Q274" t="inlineStr">
        <is>
          <t>S00</t>
        </is>
      </c>
      <c r="R274" t="inlineStr">
        <is>
          <t>scanmed</t>
        </is>
      </c>
      <c r="S274" s="1" t="n">
        <v>46153.17986111111</v>
      </c>
      <c r="T274" t="n">
        <v>0</v>
      </c>
      <c r="U274" t="inlineStr">
        <is>
          <t>BUJALSKI TOMASZ</t>
        </is>
      </c>
    </row>
    <row r="275">
      <c r="A275" s="1" t="n">
        <v>46156</v>
      </c>
      <c r="B275" t="inlineStr">
        <is>
          <t>86956328</t>
        </is>
      </c>
      <c r="C275" t="inlineStr">
        <is>
          <t>JANINA ŁABUDA</t>
        </is>
      </c>
      <c r="D275" t="inlineStr">
        <is>
          <t>43071801529</t>
        </is>
      </c>
      <c r="E275" s="1" t="n">
        <v>46150</v>
      </c>
      <c r="F275" t="inlineStr">
        <is>
          <t>Pilny</t>
        </is>
      </c>
      <c r="G275" t="inlineStr">
        <is>
          <t>TK</t>
        </is>
      </c>
      <c r="H275" t="inlineStr">
        <is>
          <t>K.TK KRĘGOSŁUPA LĘDŹWIOWO-KRZYŻOWEGO</t>
        </is>
      </c>
      <c r="I275" t="inlineStr">
        <is>
          <t>TK Zwykłe</t>
        </is>
      </c>
      <c r="J275" t="inlineStr">
        <is>
          <t>1 okolica anatomiczna</t>
        </is>
      </c>
      <c r="K275" t="inlineStr">
        <is>
          <t>Tomasz Bujalski</t>
        </is>
      </c>
      <c r="L275" t="inlineStr">
        <is>
          <t> </t>
        </is>
      </c>
      <c r="M275" t="inlineStr">
        <is>
          <t>351618159</t>
        </is>
      </c>
      <c r="N275" t="inlineStr">
        <is>
          <t>IZBA PRZYJ</t>
        </is>
      </c>
      <c r="O275" t="inlineStr">
        <is>
          <t> </t>
        </is>
      </c>
      <c r="P275" t="inlineStr">
        <is>
          <t> </t>
        </is>
      </c>
      <c r="Q275" t="inlineStr">
        <is>
          <t>S32</t>
        </is>
      </c>
      <c r="R275" t="inlineStr">
        <is>
          <t>scanmed</t>
        </is>
      </c>
      <c r="S275" s="1" t="n">
        <v>46156.33958333333</v>
      </c>
      <c r="T275" t="n">
        <v>0</v>
      </c>
      <c r="U275" t="inlineStr">
        <is>
          <t>BUJALSKI TOMASZ</t>
        </is>
      </c>
    </row>
    <row r="276">
      <c r="A276" s="1" t="n">
        <v>46157</v>
      </c>
      <c r="B276" t="inlineStr">
        <is>
          <t>86571398</t>
        </is>
      </c>
      <c r="C276" t="inlineStr">
        <is>
          <t>STANISŁAW KWARCIAK</t>
        </is>
      </c>
      <c r="D276" t="inlineStr">
        <is>
          <t>53121704515</t>
        </is>
      </c>
      <c r="E276" s="1" t="n">
        <v>46139</v>
      </c>
      <c r="F276" t="inlineStr">
        <is>
          <t>Planowy</t>
        </is>
      </c>
      <c r="G276" t="inlineStr">
        <is>
          <t>MR</t>
        </is>
      </c>
      <c r="H276" t="inlineStr">
        <is>
          <t>K.MR MIEDNICY MNIEJSZEJ</t>
        </is>
      </c>
      <c r="I276" t="inlineStr">
        <is>
          <t>MR Onkologia</t>
        </is>
      </c>
      <c r="J276" t="inlineStr">
        <is>
          <t>1 okolica anatomiczna</t>
        </is>
      </c>
      <c r="K276" t="inlineStr">
        <is>
          <t>Tomasz Bujalski</t>
        </is>
      </c>
      <c r="L276" t="inlineStr">
        <is>
          <t> </t>
        </is>
      </c>
      <c r="M276" t="inlineStr">
        <is>
          <t>351618159</t>
        </is>
      </c>
      <c r="N276" t="inlineStr">
        <is>
          <t>Nie wskazano</t>
        </is>
      </c>
      <c r="O276" t="inlineStr">
        <is>
          <t> </t>
        </is>
      </c>
      <c r="P276" t="inlineStr">
        <is>
          <t> </t>
        </is>
      </c>
      <c r="Q276" t="inlineStr">
        <is>
          <t>D37.5</t>
        </is>
      </c>
      <c r="R276" t="inlineStr">
        <is>
          <t>scanmed</t>
        </is>
      </c>
      <c r="S276" s="1" t="n">
        <v>46141.34027777778</v>
      </c>
      <c r="T276" t="n">
        <v>0</v>
      </c>
      <c r="U276" t="inlineStr">
        <is>
          <t>BUJALSKI TOMASZ</t>
        </is>
      </c>
    </row>
    <row r="277">
      <c r="A277" s="1" t="n">
        <v>46157</v>
      </c>
      <c r="B277" t="inlineStr">
        <is>
          <t>87128168</t>
        </is>
      </c>
      <c r="C277" t="inlineStr">
        <is>
          <t>ROZALIA KOŚCIELNIAK</t>
        </is>
      </c>
      <c r="D277" t="inlineStr">
        <is>
          <t>49020708909</t>
        </is>
      </c>
      <c r="E277" s="1" t="n">
        <v>46157</v>
      </c>
      <c r="F277" t="inlineStr">
        <is>
          <t>CITO-CITO</t>
        </is>
      </c>
      <c r="G277" t="inlineStr">
        <is>
          <t>TK</t>
        </is>
      </c>
      <c r="H277" t="inlineStr">
        <is>
          <t>K.TK JAMY BRZUSZNEJ I MIEDNICY MNIEJSZEJ</t>
        </is>
      </c>
      <c r="I277" t="inlineStr">
        <is>
          <t>TK Onkologia</t>
        </is>
      </c>
      <c r="J277" t="inlineStr">
        <is>
          <t>2 okolice anatomiczne</t>
        </is>
      </c>
      <c r="K277" t="inlineStr">
        <is>
          <t>Tomasz Bujalski</t>
        </is>
      </c>
      <c r="L277" t="inlineStr">
        <is>
          <t> </t>
        </is>
      </c>
      <c r="M277" t="inlineStr">
        <is>
          <t>351618159</t>
        </is>
      </c>
      <c r="N277" t="inlineStr">
        <is>
          <t>ODDZIAŁ KL</t>
        </is>
      </c>
      <c r="O277" t="inlineStr">
        <is>
          <t> </t>
        </is>
      </c>
      <c r="P277" t="inlineStr">
        <is>
          <t> </t>
        </is>
      </c>
      <c r="Q277" t="inlineStr">
        <is>
          <t>N17.8</t>
        </is>
      </c>
      <c r="R277" t="inlineStr">
        <is>
          <t>scanmed</t>
        </is>
      </c>
      <c r="S277" s="1" t="n">
        <v>46157.33680555555</v>
      </c>
      <c r="T277" t="n">
        <v>0</v>
      </c>
      <c r="U277" t="inlineStr">
        <is>
          <t>BUJALSKI TOMASZ</t>
        </is>
      </c>
    </row>
    <row r="278">
      <c r="A278" s="1" t="n">
        <v>46159</v>
      </c>
      <c r="B278" t="inlineStr">
        <is>
          <t>87156729</t>
        </is>
      </c>
      <c r="C278" t="inlineStr">
        <is>
          <t>KRZYSZTOF JĘDRZEJCZYK</t>
        </is>
      </c>
      <c r="D278" t="inlineStr">
        <is>
          <t>48051009951</t>
        </is>
      </c>
      <c r="E278" s="1" t="n">
        <v>46158</v>
      </c>
      <c r="F278" t="inlineStr">
        <is>
          <t>Pilny</t>
        </is>
      </c>
      <c r="G278" t="inlineStr">
        <is>
          <t>TK</t>
        </is>
      </c>
      <c r="H278" t="inlineStr">
        <is>
          <t>K.TK KRĘGOSŁUPA SZYJNEGO</t>
        </is>
      </c>
      <c r="I278" t="inlineStr">
        <is>
          <t>TK Zwykłe</t>
        </is>
      </c>
      <c r="J278" t="inlineStr">
        <is>
          <t>1 okolica anatomiczna</t>
        </is>
      </c>
      <c r="K278" t="inlineStr">
        <is>
          <t>Tomasz Bujalski</t>
        </is>
      </c>
      <c r="L278" t="inlineStr">
        <is>
          <t> </t>
        </is>
      </c>
      <c r="M278" t="inlineStr">
        <is>
          <t>351618159</t>
        </is>
      </c>
      <c r="N278" t="inlineStr">
        <is>
          <t>ODDZIAŁ KL</t>
        </is>
      </c>
      <c r="O278" t="inlineStr">
        <is>
          <t> </t>
        </is>
      </c>
      <c r="P278" t="inlineStr">
        <is>
          <t> </t>
        </is>
      </c>
      <c r="Q278" t="inlineStr">
        <is>
          <t>S12.1</t>
        </is>
      </c>
      <c r="R278" t="inlineStr">
        <is>
          <t>scanmed</t>
        </is>
      </c>
      <c r="S278" s="1" t="n">
        <v>46158.60625</v>
      </c>
      <c r="T278" t="n">
        <v>0</v>
      </c>
      <c r="U278" t="inlineStr">
        <is>
          <t>BUJALSKI TOMASZ</t>
        </is>
      </c>
    </row>
    <row r="279">
      <c r="A279" s="1" t="n">
        <v>46161</v>
      </c>
      <c r="B279" t="inlineStr">
        <is>
          <t>86300927</t>
        </is>
      </c>
      <c r="C279" t="inlineStr">
        <is>
          <t>IGOR FURGALSKI</t>
        </is>
      </c>
      <c r="D279" t="inlineStr">
        <is>
          <t>03282610497</t>
        </is>
      </c>
      <c r="E279" s="1" t="n">
        <v>46154</v>
      </c>
      <c r="F279" t="inlineStr">
        <is>
          <t>Planowy</t>
        </is>
      </c>
      <c r="G279" t="inlineStr">
        <is>
          <t>TK</t>
        </is>
      </c>
      <c r="H279" t="inlineStr">
        <is>
          <t>NFZ.TK UDA - Z KONTRASTEM</t>
        </is>
      </c>
      <c r="I279" t="inlineStr">
        <is>
          <t>TK Onkologia</t>
        </is>
      </c>
      <c r="J279" t="inlineStr">
        <is>
          <t>1 okolica anatomiczna</t>
        </is>
      </c>
      <c r="K279" t="inlineStr">
        <is>
          <t>Tomasz Bujalski</t>
        </is>
      </c>
      <c r="L279" t="inlineStr">
        <is>
          <t> </t>
        </is>
      </c>
      <c r="M279" t="inlineStr">
        <is>
          <t>351618159</t>
        </is>
      </c>
      <c r="N279" t="inlineStr">
        <is>
          <t>Nie wskazano</t>
        </is>
      </c>
      <c r="O279" t="inlineStr">
        <is>
          <t> </t>
        </is>
      </c>
      <c r="P279" t="inlineStr">
        <is>
          <t> </t>
        </is>
      </c>
      <c r="Q279" t="inlineStr">
        <is>
          <t>D48.0</t>
        </is>
      </c>
      <c r="R279" t="inlineStr">
        <is>
          <t>scanmed</t>
        </is>
      </c>
      <c r="S279" s="1" t="n">
        <v>46157.47847222222</v>
      </c>
      <c r="T279" t="n">
        <v>1</v>
      </c>
      <c r="U279" t="inlineStr">
        <is>
          <t>BUJALSKI TOMASZ</t>
        </is>
      </c>
    </row>
    <row r="280">
      <c r="A280" s="1" t="n">
        <v>46163</v>
      </c>
      <c r="B280" t="inlineStr">
        <is>
          <t>83231316</t>
        </is>
      </c>
      <c r="C280" t="inlineStr">
        <is>
          <t>CECYLIA LIZAK</t>
        </is>
      </c>
      <c r="D280" t="inlineStr">
        <is>
          <t>69012206747</t>
        </is>
      </c>
      <c r="E280" s="1" t="n">
        <v>46155</v>
      </c>
      <c r="F280" t="inlineStr">
        <is>
          <t>Planowy</t>
        </is>
      </c>
      <c r="G280" t="inlineStr">
        <is>
          <t>TK</t>
        </is>
      </c>
      <c r="H280" t="inlineStr">
        <is>
          <t>NFZ.TK 2 ODCINKI KRĘGOSŁUPA - BEZ KONTRASTU</t>
        </is>
      </c>
      <c r="I280" t="inlineStr">
        <is>
          <t>TK Zwykłe</t>
        </is>
      </c>
      <c r="J280" t="inlineStr">
        <is>
          <t>2 okolice anatomiczne</t>
        </is>
      </c>
      <c r="K280" t="inlineStr">
        <is>
          <t>Tomasz Bujalski</t>
        </is>
      </c>
      <c r="L280" t="inlineStr">
        <is>
          <t> </t>
        </is>
      </c>
      <c r="M280" t="inlineStr">
        <is>
          <t>351618159</t>
        </is>
      </c>
      <c r="N280" t="inlineStr">
        <is>
          <t>Nie wskazano</t>
        </is>
      </c>
      <c r="O280" t="inlineStr">
        <is>
          <t> </t>
        </is>
      </c>
      <c r="P280" t="inlineStr">
        <is>
          <t> </t>
        </is>
      </c>
      <c r="Q280" t="inlineStr">
        <is>
          <t>D18.0</t>
        </is>
      </c>
      <c r="R280" t="inlineStr">
        <is>
          <t>scanmed</t>
        </is>
      </c>
      <c r="S280" s="1" t="n">
        <v>46157.49444444444</v>
      </c>
      <c r="T280" t="n">
        <v>2</v>
      </c>
      <c r="U280" t="inlineStr">
        <is>
          <t>BUJALSKI TOMASZ</t>
        </is>
      </c>
    </row>
    <row r="281">
      <c r="A281" s="1" t="n">
        <v>46164</v>
      </c>
      <c r="B281" t="inlineStr">
        <is>
          <t>85535822</t>
        </is>
      </c>
      <c r="C281" t="inlineStr">
        <is>
          <t>MARIAN WILKOŃSKI</t>
        </is>
      </c>
      <c r="D281" t="inlineStr">
        <is>
          <t>44042805953</t>
        </is>
      </c>
      <c r="E281" s="1" t="n">
        <v>46156</v>
      </c>
      <c r="F281" t="inlineStr">
        <is>
          <t>Planowy</t>
        </is>
      </c>
      <c r="G281" t="inlineStr">
        <is>
          <t>MR</t>
        </is>
      </c>
      <c r="H281" t="inlineStr">
        <is>
          <t>NFZ.MR JAMY BRZUSZNEJ - WIELOFAZOWE</t>
        </is>
      </c>
      <c r="I281" t="inlineStr">
        <is>
          <t>MR Onkologia</t>
        </is>
      </c>
      <c r="J281" t="inlineStr">
        <is>
          <t>1 okolica anatomiczna</t>
        </is>
      </c>
      <c r="K281" t="inlineStr">
        <is>
          <t>Tomasz Bujalski</t>
        </is>
      </c>
      <c r="L281" t="inlineStr">
        <is>
          <t> </t>
        </is>
      </c>
      <c r="M281" t="inlineStr">
        <is>
          <t>351618159</t>
        </is>
      </c>
      <c r="N281" t="inlineStr">
        <is>
          <t>Nie wskazano</t>
        </is>
      </c>
      <c r="O281" t="inlineStr">
        <is>
          <t> </t>
        </is>
      </c>
      <c r="P281" t="inlineStr">
        <is>
          <t> </t>
        </is>
      </c>
      <c r="Q281" t="inlineStr">
        <is>
          <t>D37.6</t>
        </is>
      </c>
      <c r="R281" t="inlineStr">
        <is>
          <t>scanmed</t>
        </is>
      </c>
      <c r="S281" s="1" t="n">
        <v>46160.31805555556</v>
      </c>
      <c r="T281" t="n">
        <v>0</v>
      </c>
      <c r="U281" t="inlineStr">
        <is>
          <t>BUJALSKI TOMASZ</t>
        </is>
      </c>
    </row>
    <row r="282">
      <c r="A282" s="1" t="n">
        <v>46164</v>
      </c>
      <c r="B282" t="inlineStr">
        <is>
          <t>87313145</t>
        </is>
      </c>
      <c r="C282" t="inlineStr">
        <is>
          <t>KACPER ORLICKI</t>
        </is>
      </c>
      <c r="D282" t="inlineStr">
        <is>
          <t>96082304714</t>
        </is>
      </c>
      <c r="E282" s="1" t="n">
        <v>46164</v>
      </c>
      <c r="F282" t="inlineStr">
        <is>
          <t>CITO-CITO</t>
        </is>
      </c>
      <c r="G282" t="inlineStr">
        <is>
          <t>TK</t>
        </is>
      </c>
      <c r="H282" t="inlineStr">
        <is>
          <t>K.TK J. BRZUSZNEJ I MIEDNICY MNIEJSZEJ</t>
        </is>
      </c>
      <c r="I282" t="inlineStr">
        <is>
          <t>TK Zwykłe</t>
        </is>
      </c>
      <c r="J282" t="inlineStr">
        <is>
          <t>2 okolice anatomiczne</t>
        </is>
      </c>
      <c r="K282" t="inlineStr">
        <is>
          <t>Tomasz Bujalski</t>
        </is>
      </c>
      <c r="L282" t="inlineStr">
        <is>
          <t> </t>
        </is>
      </c>
      <c r="M282" t="inlineStr">
        <is>
          <t>351618159</t>
        </is>
      </c>
      <c r="N282" t="inlineStr">
        <is>
          <t>IZBA PRZYJ</t>
        </is>
      </c>
      <c r="O282" t="inlineStr">
        <is>
          <t> </t>
        </is>
      </c>
      <c r="P282" t="inlineStr">
        <is>
          <t> </t>
        </is>
      </c>
      <c r="Q282" t="inlineStr">
        <is>
          <t>R10</t>
        </is>
      </c>
      <c r="R282" t="inlineStr">
        <is>
          <t>scanmed</t>
        </is>
      </c>
      <c r="S282" s="1" t="n">
        <v>46164.27777777778</v>
      </c>
      <c r="T282" t="n">
        <v>0</v>
      </c>
      <c r="U282" t="inlineStr">
        <is>
          <t>BUJALSKI TOMASZ</t>
        </is>
      </c>
    </row>
    <row r="283">
      <c r="A283" s="1" t="n">
        <v>46170</v>
      </c>
      <c r="B283" t="inlineStr">
        <is>
          <t>84520418</t>
        </is>
      </c>
      <c r="C283" t="inlineStr">
        <is>
          <t>STANISŁAW DORAWA</t>
        </is>
      </c>
      <c r="D283" t="inlineStr">
        <is>
          <t>59101500715</t>
        </is>
      </c>
      <c r="E283" s="1" t="n">
        <v>46161</v>
      </c>
      <c r="F283" t="inlineStr">
        <is>
          <t>Planowy</t>
        </is>
      </c>
      <c r="G283" t="inlineStr">
        <is>
          <t>MR</t>
        </is>
      </c>
      <c r="H283" t="inlineStr">
        <is>
          <t>NFZ.MR JAMY BRZUSZNEJ - WIELOFAZOWE</t>
        </is>
      </c>
      <c r="I283" t="inlineStr">
        <is>
          <t>MR Onkologia</t>
        </is>
      </c>
      <c r="J283" t="inlineStr">
        <is>
          <t>1 okolica anatomiczna</t>
        </is>
      </c>
      <c r="K283" t="inlineStr">
        <is>
          <t>Tomasz Bujalski</t>
        </is>
      </c>
      <c r="L283" t="inlineStr">
        <is>
          <t> </t>
        </is>
      </c>
      <c r="M283" t="inlineStr">
        <is>
          <t>351618159</t>
        </is>
      </c>
      <c r="N283" t="inlineStr">
        <is>
          <t>Nie wskazano</t>
        </is>
      </c>
      <c r="O283" t="inlineStr">
        <is>
          <t> </t>
        </is>
      </c>
      <c r="P283" t="inlineStr">
        <is>
          <t> </t>
        </is>
      </c>
      <c r="Q283" t="inlineStr">
        <is>
          <t>D37.7</t>
        </is>
      </c>
      <c r="R283" t="inlineStr">
        <is>
          <t>scanmed</t>
        </is>
      </c>
      <c r="S283" s="1" t="n">
        <v>46167.46180555555</v>
      </c>
      <c r="T283" t="n">
        <v>1</v>
      </c>
      <c r="U283" t="inlineStr">
        <is>
          <t>BUJALSKI TOMASZ</t>
        </is>
      </c>
    </row>
    <row r="284">
      <c r="A284" s="1" t="n">
        <v>46170</v>
      </c>
      <c r="B284" t="inlineStr">
        <is>
          <t>85663569</t>
        </is>
      </c>
      <c r="C284" t="inlineStr">
        <is>
          <t>BEATA MĄDRY</t>
        </is>
      </c>
      <c r="D284" t="inlineStr">
        <is>
          <t>70082700688</t>
        </is>
      </c>
      <c r="E284" s="1" t="n">
        <v>46162</v>
      </c>
      <c r="F284" t="inlineStr">
        <is>
          <t>Planowy</t>
        </is>
      </c>
      <c r="G284" t="inlineStr">
        <is>
          <t>MR</t>
        </is>
      </c>
      <c r="H284" t="inlineStr">
        <is>
          <t>NFZ.MR JAMY BRZUSZNEJ - WIELOFAZOWE</t>
        </is>
      </c>
      <c r="I284" t="inlineStr">
        <is>
          <t>MR Onkologia</t>
        </is>
      </c>
      <c r="J284" t="inlineStr">
        <is>
          <t>1 okolica anatomiczna</t>
        </is>
      </c>
      <c r="K284" t="inlineStr">
        <is>
          <t>Tomasz Bujalski</t>
        </is>
      </c>
      <c r="L284" t="inlineStr">
        <is>
          <t> </t>
        </is>
      </c>
      <c r="M284" t="inlineStr">
        <is>
          <t>351618159</t>
        </is>
      </c>
      <c r="N284" t="inlineStr">
        <is>
          <t>Nie wskazano</t>
        </is>
      </c>
      <c r="O284" t="inlineStr">
        <is>
          <t> </t>
        </is>
      </c>
      <c r="P284" t="inlineStr">
        <is>
          <t> </t>
        </is>
      </c>
      <c r="Q284" t="inlineStr">
        <is>
          <t>C50</t>
        </is>
      </c>
      <c r="R284" t="inlineStr">
        <is>
          <t>scanmed</t>
        </is>
      </c>
      <c r="S284" s="1" t="n">
        <v>46167.52430555555</v>
      </c>
      <c r="T284" t="n">
        <v>1</v>
      </c>
      <c r="U284" t="inlineStr">
        <is>
          <t>BUJALSKI TOMASZ</t>
        </is>
      </c>
    </row>
    <row r="285">
      <c r="A285" s="1" t="n">
        <v>46171</v>
      </c>
      <c r="B285" t="inlineStr">
        <is>
          <t>85693867</t>
        </is>
      </c>
      <c r="C285" t="inlineStr">
        <is>
          <t>JACEK ADAMCZAK</t>
        </is>
      </c>
      <c r="D285" t="inlineStr">
        <is>
          <t>71091101174</t>
        </is>
      </c>
      <c r="E285" s="1" t="n">
        <v>46163</v>
      </c>
      <c r="F285" t="inlineStr">
        <is>
          <t>Planowy</t>
        </is>
      </c>
      <c r="G285" t="inlineStr">
        <is>
          <t>MR</t>
        </is>
      </c>
      <c r="H285" t="inlineStr">
        <is>
          <t>NFZ.MRCP</t>
        </is>
      </c>
      <c r="I285" t="inlineStr">
        <is>
          <t>MR Inne - wtym prostata, miednica, jama brzuszna tkanki miekkie</t>
        </is>
      </c>
      <c r="J285" t="inlineStr">
        <is>
          <t>1 okolica anatomiczna</t>
        </is>
      </c>
      <c r="K285" t="inlineStr">
        <is>
          <t>Tomasz Bujalski</t>
        </is>
      </c>
      <c r="L285" t="inlineStr">
        <is>
          <t> </t>
        </is>
      </c>
      <c r="M285" t="inlineStr">
        <is>
          <t>351618159</t>
        </is>
      </c>
      <c r="N285" t="inlineStr">
        <is>
          <t>Nie wskazano</t>
        </is>
      </c>
      <c r="O285" t="inlineStr">
        <is>
          <t> </t>
        </is>
      </c>
      <c r="P285" t="inlineStr">
        <is>
          <t> </t>
        </is>
      </c>
      <c r="Q285" t="inlineStr">
        <is>
          <t>Z03.9</t>
        </is>
      </c>
      <c r="R285" t="inlineStr">
        <is>
          <t>scanmed</t>
        </is>
      </c>
      <c r="S285" s="1" t="n">
        <v>46168.42291666667</v>
      </c>
      <c r="T285" t="n">
        <v>1</v>
      </c>
      <c r="U285" t="inlineStr">
        <is>
          <t>BUJALSKI TOMASZ</t>
        </is>
      </c>
    </row>
    <row r="286">
      <c r="A286" s="1" t="n">
        <v>46171</v>
      </c>
      <c r="B286" t="inlineStr">
        <is>
          <t>87018639</t>
        </is>
      </c>
      <c r="C286" t="inlineStr">
        <is>
          <t>ELŻBIETA OCHMAŃSKA</t>
        </is>
      </c>
      <c r="D286" t="inlineStr">
        <is>
          <t>48011905482</t>
        </is>
      </c>
      <c r="E286" s="1" t="n">
        <v>46158</v>
      </c>
      <c r="F286" t="inlineStr">
        <is>
          <t>Planowy</t>
        </is>
      </c>
      <c r="G286" t="inlineStr">
        <is>
          <t>MR</t>
        </is>
      </c>
      <c r="H286" t="inlineStr">
        <is>
          <t>K.MR MIEDNICY MNIEJSZEJ</t>
        </is>
      </c>
      <c r="I286" t="inlineStr">
        <is>
          <t>MR Inne - wtym prostata, miednica, jama brzuszna tkanki miekkie</t>
        </is>
      </c>
      <c r="J286" t="inlineStr">
        <is>
          <t>1 okolica anatomiczna</t>
        </is>
      </c>
      <c r="K286" t="inlineStr">
        <is>
          <t>Tomasz Bujalski</t>
        </is>
      </c>
      <c r="L286" t="inlineStr">
        <is>
          <t> </t>
        </is>
      </c>
      <c r="M286" t="inlineStr">
        <is>
          <t>351618159</t>
        </is>
      </c>
      <c r="N286" t="inlineStr">
        <is>
          <t>Nie wskazano</t>
        </is>
      </c>
      <c r="O286" t="inlineStr">
        <is>
          <t> </t>
        </is>
      </c>
      <c r="P286" t="inlineStr">
        <is>
          <t> </t>
        </is>
      </c>
      <c r="Q286" t="inlineStr">
        <is>
          <t>C49.5</t>
        </is>
      </c>
      <c r="R286" t="inlineStr">
        <is>
          <t>scanmed</t>
        </is>
      </c>
      <c r="S286" s="1" t="n">
        <v>46169.35763888889</v>
      </c>
      <c r="T286" t="n">
        <v>0</v>
      </c>
      <c r="U286" t="inlineStr">
        <is>
          <t>BUJALSKI TOMASZ</t>
        </is>
      </c>
    </row>
    <row r="287">
      <c r="A287" s="1" t="n">
        <v>46149</v>
      </c>
      <c r="B287" t="inlineStr">
        <is>
          <t>ZMR/MR/26/1711</t>
        </is>
      </c>
      <c r="C287" t="inlineStr">
        <is>
          <t>EWA KOJ</t>
        </is>
      </c>
      <c r="D287" t="n">
        <v>70081009160</v>
      </c>
      <c r="E287" s="1" t="n">
        <v>46149</v>
      </c>
      <c r="F287" t="inlineStr">
        <is>
          <t>CITO-CITO</t>
        </is>
      </c>
      <c r="G287" t="inlineStr">
        <is>
          <t>MR</t>
        </is>
      </c>
      <c r="H287" t="inlineStr">
        <is>
          <t>MR głowy bez wzmocnienia kontrastowego - protokół udarowy</t>
        </is>
      </c>
      <c r="I287" t="inlineStr">
        <is>
          <t>MR Neurologia</t>
        </is>
      </c>
      <c r="J287" t="inlineStr">
        <is>
          <t>1 okolica anatomiczna</t>
        </is>
      </c>
      <c r="K287" t="inlineStr">
        <is>
          <t>Tomasz Bujalski</t>
        </is>
      </c>
      <c r="L287" t="inlineStr">
        <is>
          <t> </t>
        </is>
      </c>
      <c r="M287" t="inlineStr">
        <is>
          <t>SZPITAL MIEJSKI NR 4 W GLIWICACH SPÓŁKA Z OGRANICZONĄ ODPOWIEDZIALNOŚCIĄ</t>
        </is>
      </c>
      <c r="N287" t="inlineStr">
        <is>
          <t>Oddział Neurologii</t>
        </is>
      </c>
      <c r="O287" t="inlineStr">
        <is>
          <t>DARIUSZ KOZUB</t>
        </is>
      </c>
      <c r="P287" t="n">
        <v>6473138</v>
      </c>
      <c r="Q287" t="inlineStr">
        <is>
          <t>F03</t>
        </is>
      </c>
      <c r="R287" t="inlineStr">
        <is>
          <t>sm4gliwice</t>
        </is>
      </c>
      <c r="S287" s="1" t="n">
        <v>46149.27638888889</v>
      </c>
      <c r="T287" t="n">
        <v>0</v>
      </c>
      <c r="U287" t="inlineStr">
        <is>
          <t>BUJALSKI TOMASZ</t>
        </is>
      </c>
    </row>
    <row r="288">
      <c r="A288" s="1" t="n">
        <v>46149</v>
      </c>
      <c r="B288" t="inlineStr">
        <is>
          <t>ZMR/MR/26/1715</t>
        </is>
      </c>
      <c r="C288" t="inlineStr">
        <is>
          <t>ANIELA FRAUS</t>
        </is>
      </c>
      <c r="D288" t="n">
        <v>50091602281</v>
      </c>
      <c r="E288" s="1" t="n">
        <v>46149</v>
      </c>
      <c r="F288" t="inlineStr">
        <is>
          <t>CITO-UDAR</t>
        </is>
      </c>
      <c r="G288" t="inlineStr">
        <is>
          <t>MR</t>
        </is>
      </c>
      <c r="H288" t="inlineStr">
        <is>
          <t>MR głowy bez wzmocnienia kontrastowego - protokół udarowy</t>
        </is>
      </c>
      <c r="I288" t="inlineStr">
        <is>
          <t>MR Neurologia</t>
        </is>
      </c>
      <c r="J288" t="inlineStr">
        <is>
          <t>1 okolica anatomiczna</t>
        </is>
      </c>
      <c r="K288" t="inlineStr">
        <is>
          <t>Tomasz Bujalski</t>
        </is>
      </c>
      <c r="L288" t="inlineStr">
        <is>
          <t> </t>
        </is>
      </c>
      <c r="M288" t="inlineStr">
        <is>
          <t>SZPITAL MIEJSKI NR 4 W GLIWICACH SPÓŁKA Z OGRANICZONĄ ODPOWIEDZIALNOŚCIĄ</t>
        </is>
      </c>
      <c r="N288" t="inlineStr">
        <is>
          <t>Oddział Geriatryczny</t>
        </is>
      </c>
      <c r="O288" t="inlineStr">
        <is>
          <t>KAROLINA GORKI</t>
        </is>
      </c>
      <c r="P288" t="n">
        <v>2634011</v>
      </c>
      <c r="Q288" t="inlineStr">
        <is>
          <t>R54</t>
        </is>
      </c>
      <c r="R288" t="inlineStr">
        <is>
          <t>sm4gliwice</t>
        </is>
      </c>
      <c r="S288" s="1" t="n">
        <v>46149.35833333333</v>
      </c>
      <c r="T288" t="n">
        <v>0</v>
      </c>
      <c r="U288" t="inlineStr">
        <is>
          <t>BUJALSKI TOMASZ</t>
        </is>
      </c>
    </row>
    <row r="289">
      <c r="A289" s="1" t="n">
        <v>46149</v>
      </c>
      <c r="B289" t="inlineStr">
        <is>
          <t>ZMR/MR/26/1720</t>
        </is>
      </c>
      <c r="C289" t="inlineStr">
        <is>
          <t>MARIA FURCH</t>
        </is>
      </c>
      <c r="D289" t="n">
        <v>57072305906</v>
      </c>
      <c r="E289" s="1" t="n">
        <v>46149</v>
      </c>
      <c r="F289" t="inlineStr">
        <is>
          <t>CITO-UDAR</t>
        </is>
      </c>
      <c r="G289" t="inlineStr">
        <is>
          <t>MR</t>
        </is>
      </c>
      <c r="H289" t="inlineStr">
        <is>
          <t>MR głowy bez wzmocnienia kontrastowego - protokół udarowy</t>
        </is>
      </c>
      <c r="I289" t="inlineStr">
        <is>
          <t>MR Neurologia</t>
        </is>
      </c>
      <c r="J289" t="inlineStr">
        <is>
          <t>1 okolica anatomiczna</t>
        </is>
      </c>
      <c r="K289" t="inlineStr">
        <is>
          <t>Tomasz Bujalski</t>
        </is>
      </c>
      <c r="L289" t="inlineStr">
        <is>
          <t> </t>
        </is>
      </c>
      <c r="M289" t="inlineStr">
        <is>
          <t>SZPITAL MIEJSKI NR 4 W GLIWICACH SPÓŁKA Z OGRANICZONĄ ODPOWIEDZIALNOŚCIĄ</t>
        </is>
      </c>
      <c r="N289" t="inlineStr">
        <is>
          <t>Izba Przyjęć</t>
        </is>
      </c>
      <c r="O289" t="inlineStr">
        <is>
          <t>ADAM DZIELICKI</t>
        </is>
      </c>
      <c r="P289" t="n">
        <v>5962971</v>
      </c>
      <c r="Q289" t="inlineStr">
        <is>
          <t>G40.9</t>
        </is>
      </c>
      <c r="R289" t="inlineStr">
        <is>
          <t>sm4gliwice</t>
        </is>
      </c>
      <c r="S289" s="1" t="n">
        <v>46149.44305555556</v>
      </c>
      <c r="T289" t="n">
        <v>0</v>
      </c>
      <c r="U289" t="inlineStr">
        <is>
          <t>BUJALSKI TOMASZ</t>
        </is>
      </c>
    </row>
    <row r="290">
      <c r="A290" s="1" t="n">
        <v>46150</v>
      </c>
      <c r="B290" t="inlineStr">
        <is>
          <t>ZMR/MR/26/1721</t>
        </is>
      </c>
      <c r="C290" t="inlineStr">
        <is>
          <t>MAŁGORZATA DĄBROWSKA</t>
        </is>
      </c>
      <c r="D290" t="n">
        <v>64010504224</v>
      </c>
      <c r="E290" s="1" t="n">
        <v>46149</v>
      </c>
      <c r="F290" t="inlineStr">
        <is>
          <t>CITO-CITO</t>
        </is>
      </c>
      <c r="G290" t="inlineStr">
        <is>
          <t>MR</t>
        </is>
      </c>
      <c r="H290" t="inlineStr">
        <is>
          <t>MR jamy brzusznej, przestrzeni zaotrzewnowej - z kontrastem</t>
        </is>
      </c>
      <c r="I290" t="inlineStr">
        <is>
          <t>MR Onkologia</t>
        </is>
      </c>
      <c r="J290" t="inlineStr">
        <is>
          <t>1 okolica anatomiczna</t>
        </is>
      </c>
      <c r="K290" t="inlineStr">
        <is>
          <t>Tomasz Bujalski</t>
        </is>
      </c>
      <c r="L290" t="inlineStr">
        <is>
          <t> </t>
        </is>
      </c>
      <c r="M290" t="inlineStr">
        <is>
          <t>SZPITAL MIEJSKI NR 4 W GLIWICACH SPÓŁKA Z OGRANICZONĄ ODPOWIEDZIALNOŚCIĄ</t>
        </is>
      </c>
      <c r="N290" t="inlineStr">
        <is>
          <t>Oddział Chorób Wewnętrznych z Pododdziałem Nefrologicznym</t>
        </is>
      </c>
      <c r="O290" t="inlineStr">
        <is>
          <t>Wiktoria KUDZIA</t>
        </is>
      </c>
      <c r="P290" t="n">
        <v>4240341</v>
      </c>
      <c r="Q290" t="inlineStr">
        <is>
          <t>K85</t>
        </is>
      </c>
      <c r="R290" t="inlineStr">
        <is>
          <t>sm4gliwice</t>
        </is>
      </c>
      <c r="S290" s="1" t="n">
        <v>46149.48333333333</v>
      </c>
      <c r="T290" t="n">
        <v>0</v>
      </c>
      <c r="U290" t="inlineStr">
        <is>
          <t>BUJALSKI TOMASZ</t>
        </is>
      </c>
    </row>
    <row r="291">
      <c r="A291" s="1" t="n">
        <v>46150</v>
      </c>
      <c r="B291" t="inlineStr">
        <is>
          <t>ZMR/MR/26/1738</t>
        </is>
      </c>
      <c r="C291" t="inlineStr">
        <is>
          <t>STANISŁAW GŁĄB</t>
        </is>
      </c>
      <c r="D291" t="n">
        <v>60110306890</v>
      </c>
      <c r="E291" s="1" t="n">
        <v>46150</v>
      </c>
      <c r="F291" t="inlineStr">
        <is>
          <t>CITO-UDAR</t>
        </is>
      </c>
      <c r="G291" t="inlineStr">
        <is>
          <t>MR</t>
        </is>
      </c>
      <c r="H291" t="inlineStr">
        <is>
          <t>MR głowy bez wzmocnienia kontrastowego - protokół udarowy</t>
        </is>
      </c>
      <c r="I291" t="inlineStr">
        <is>
          <t>MR Neurologia</t>
        </is>
      </c>
      <c r="J291" t="inlineStr">
        <is>
          <t>1 okolica anatomiczna</t>
        </is>
      </c>
      <c r="K291" t="inlineStr">
        <is>
          <t>Tomasz Bujalski</t>
        </is>
      </c>
      <c r="L291" t="inlineStr">
        <is>
          <t> </t>
        </is>
      </c>
      <c r="M291" t="inlineStr">
        <is>
          <t>SZPITAL MIEJSKI NR 4 W GLIWICACH SPÓŁKA Z OGRANICZONĄ ODPOWIEDZIALNOŚCIĄ</t>
        </is>
      </c>
      <c r="N291" t="inlineStr">
        <is>
          <t>Oddział Neurologii</t>
        </is>
      </c>
      <c r="O291" t="inlineStr">
        <is>
          <t>DARIUSZ KOZUB</t>
        </is>
      </c>
      <c r="P291" t="n">
        <v>6473138</v>
      </c>
      <c r="Q291" t="inlineStr">
        <is>
          <t>H81.8</t>
        </is>
      </c>
      <c r="R291" t="inlineStr">
        <is>
          <t>sm4gliwice</t>
        </is>
      </c>
      <c r="S291" s="1" t="n">
        <v>46150.39236111111</v>
      </c>
      <c r="T291" t="n">
        <v>0</v>
      </c>
      <c r="U291" t="inlineStr">
        <is>
          <t>BUJALSKI TOMASZ</t>
        </is>
      </c>
    </row>
    <row r="292">
      <c r="A292" s="1" t="n">
        <v>46151</v>
      </c>
      <c r="B292" t="inlineStr">
        <is>
          <t>ZMR/MR/26/1749</t>
        </is>
      </c>
      <c r="C292" t="inlineStr">
        <is>
          <t>BOGUSŁAW SŁONCZYŃSKI</t>
        </is>
      </c>
      <c r="D292" t="n">
        <v>39011604211</v>
      </c>
      <c r="E292" s="1" t="n">
        <v>46151</v>
      </c>
      <c r="F292" t="inlineStr">
        <is>
          <t>CITO-UDAR</t>
        </is>
      </c>
      <c r="G292" t="inlineStr">
        <is>
          <t>MR</t>
        </is>
      </c>
      <c r="H292" t="inlineStr">
        <is>
          <t>MR głowy bez wzmocnienia kontrastowego - protokół udarowy</t>
        </is>
      </c>
      <c r="I292" t="inlineStr">
        <is>
          <t>MR Neurologia</t>
        </is>
      </c>
      <c r="J292" t="inlineStr">
        <is>
          <t>1 okolica anatomiczna</t>
        </is>
      </c>
      <c r="K292" t="inlineStr">
        <is>
          <t>Tomasz Bujalski</t>
        </is>
      </c>
      <c r="L292" t="inlineStr">
        <is>
          <t> </t>
        </is>
      </c>
      <c r="M292" t="inlineStr">
        <is>
          <t>SZPITAL MIEJSKI NR 4 W GLIWICACH SPÓŁKA Z OGRANICZONĄ ODPOWIEDZIALNOŚCIĄ</t>
        </is>
      </c>
      <c r="N292" t="inlineStr">
        <is>
          <t>Izba Przyjęć</t>
        </is>
      </c>
      <c r="O292" t="inlineStr">
        <is>
          <t>Karolina Wągrowska</t>
        </is>
      </c>
      <c r="P292" t="n">
        <v>3754128</v>
      </c>
      <c r="Q292" t="inlineStr">
        <is>
          <t>Z03.3</t>
        </is>
      </c>
      <c r="R292" t="inlineStr">
        <is>
          <t>sm4gliwice</t>
        </is>
      </c>
      <c r="S292" s="1" t="n">
        <v>46151.56666666667</v>
      </c>
      <c r="T292" t="n">
        <v>0</v>
      </c>
      <c r="U292" t="inlineStr">
        <is>
          <t>BUJALSKI TOMASZ</t>
        </is>
      </c>
    </row>
    <row r="293">
      <c r="A293" s="1" t="n">
        <v>46153</v>
      </c>
      <c r="B293" t="inlineStr">
        <is>
          <t>ZMR/MR/26/1735</t>
        </is>
      </c>
      <c r="C293" t="inlineStr">
        <is>
          <t>MICHAŁ PODGÓRSKI</t>
        </is>
      </c>
      <c r="D293" t="n">
        <v>86032310856</v>
      </c>
      <c r="E293" s="1" t="n">
        <v>46150</v>
      </c>
      <c r="F293" t="inlineStr">
        <is>
          <t>CITO-CITO</t>
        </is>
      </c>
      <c r="G293" t="inlineStr">
        <is>
          <t>MR</t>
        </is>
      </c>
      <c r="H293" t="inlineStr">
        <is>
          <t>MR jamy brzusznej, przestrzeni zaotrzewnowej - z kontrastem</t>
        </is>
      </c>
      <c r="I293" t="inlineStr">
        <is>
          <t>MR Inne - wtym prostata, miednica, jama brzuszna tkanki miekkie</t>
        </is>
      </c>
      <c r="J293" t="inlineStr">
        <is>
          <t>1 okolica anatomiczna</t>
        </is>
      </c>
      <c r="K293" t="inlineStr">
        <is>
          <t>Tomasz Bujalski</t>
        </is>
      </c>
      <c r="L293" t="inlineStr">
        <is>
          <t> </t>
        </is>
      </c>
      <c r="M293" t="inlineStr">
        <is>
          <t>SZPITAL MIEJSKI NR 4 W GLIWICACH SPÓŁKA Z OGRANICZONĄ ODPOWIEDZIALNOŚCIĄ</t>
        </is>
      </c>
      <c r="N293" t="inlineStr">
        <is>
          <t>Oddział Chorób Wewnętrznych</t>
        </is>
      </c>
      <c r="O293" t="inlineStr">
        <is>
          <t>Mikołaj Bluszcz</t>
        </is>
      </c>
      <c r="P293" t="n">
        <v>4609453</v>
      </c>
      <c r="Q293" t="inlineStr">
        <is>
          <t>R10.4</t>
        </is>
      </c>
      <c r="R293" t="inlineStr">
        <is>
          <t>sm4gliwice</t>
        </is>
      </c>
      <c r="S293" s="1" t="n">
        <v>46152.72430555556</v>
      </c>
      <c r="T293" t="n">
        <v>0</v>
      </c>
      <c r="U293" t="inlineStr">
        <is>
          <t>BUJALSKI TOMASZ</t>
        </is>
      </c>
    </row>
    <row r="294">
      <c r="A294" s="1" t="n">
        <v>46154</v>
      </c>
      <c r="B294" t="inlineStr">
        <is>
          <t>ZMR/MR/26/1776</t>
        </is>
      </c>
      <c r="C294" t="inlineStr">
        <is>
          <t>IRENEUSZ KOZŁOWSKI</t>
        </is>
      </c>
      <c r="D294" t="n">
        <v>56060809435</v>
      </c>
      <c r="E294" s="1" t="n">
        <v>46154</v>
      </c>
      <c r="F294" t="inlineStr">
        <is>
          <t>CITO-UDAR</t>
        </is>
      </c>
      <c r="G294" t="inlineStr">
        <is>
          <t>MR</t>
        </is>
      </c>
      <c r="H294" t="inlineStr">
        <is>
          <t>MR głowy bez wzmocnienia kontrastowego - protokół udarowy</t>
        </is>
      </c>
      <c r="I294" t="inlineStr">
        <is>
          <t>MR Neurologia</t>
        </is>
      </c>
      <c r="J294" t="inlineStr">
        <is>
          <t>1 okolica anatomiczna</t>
        </is>
      </c>
      <c r="K294" t="inlineStr">
        <is>
          <t>Tomasz Bujalski</t>
        </is>
      </c>
      <c r="L294" t="inlineStr">
        <is>
          <t> </t>
        </is>
      </c>
      <c r="M294" t="inlineStr">
        <is>
          <t>SZPITAL MIEJSKI NR 4 W GLIWICACH SPÓŁKA Z OGRANICZONĄ ODPOWIEDZIALNOŚCIĄ</t>
        </is>
      </c>
      <c r="N294" t="inlineStr">
        <is>
          <t>Izba Przyjęć</t>
        </is>
      </c>
      <c r="O294" t="inlineStr">
        <is>
          <t>Karolina Wągrowska</t>
        </is>
      </c>
      <c r="P294" t="n">
        <v>3754128</v>
      </c>
      <c r="Q294" t="inlineStr">
        <is>
          <t>I64</t>
        </is>
      </c>
      <c r="R294" t="inlineStr">
        <is>
          <t>sm4gliwice</t>
        </is>
      </c>
      <c r="S294" s="1" t="n">
        <v>46154.24444444444</v>
      </c>
      <c r="T294" t="n">
        <v>0</v>
      </c>
      <c r="U294" t="inlineStr">
        <is>
          <t>BUJALSKI TOMASZ</t>
        </is>
      </c>
    </row>
    <row r="295">
      <c r="A295" s="1" t="n">
        <v>46154</v>
      </c>
      <c r="B295" t="inlineStr">
        <is>
          <t>ZMR/MR/26/1777</t>
        </is>
      </c>
      <c r="C295" t="inlineStr">
        <is>
          <t>ANNA SEROKA</t>
        </is>
      </c>
      <c r="D295" t="n">
        <v>75121917982</v>
      </c>
      <c r="E295" s="1" t="n">
        <v>46154</v>
      </c>
      <c r="F295" t="inlineStr">
        <is>
          <t>CITO-CITO</t>
        </is>
      </c>
      <c r="G295" t="inlineStr">
        <is>
          <t>MR</t>
        </is>
      </c>
      <c r="H295" t="inlineStr">
        <is>
          <t>MR kręgosłupa lędźwiowego - bez kontrastu</t>
        </is>
      </c>
      <c r="I295" t="inlineStr">
        <is>
          <t>MR Neurologia</t>
        </is>
      </c>
      <c r="J295" t="inlineStr">
        <is>
          <t>1 okolica anatomiczna</t>
        </is>
      </c>
      <c r="K295" t="inlineStr">
        <is>
          <t>Tomasz Bujalski</t>
        </is>
      </c>
      <c r="L295" t="inlineStr">
        <is>
          <t> </t>
        </is>
      </c>
      <c r="M295" t="inlineStr">
        <is>
          <t>SZPITAL MIEJSKI NR 4 W GLIWICACH SPÓŁKA Z OGRANICZONĄ ODPOWIEDZIALNOŚCIĄ</t>
        </is>
      </c>
      <c r="N295" t="inlineStr">
        <is>
          <t>Oddział Neurologii</t>
        </is>
      </c>
      <c r="O295" t="inlineStr">
        <is>
          <t>DARIUSZ KOZUB</t>
        </is>
      </c>
      <c r="P295" t="n">
        <v>6473138</v>
      </c>
      <c r="Q295" t="inlineStr">
        <is>
          <t>M54.4</t>
        </is>
      </c>
      <c r="R295" t="inlineStr">
        <is>
          <t>sm4gliwice</t>
        </is>
      </c>
      <c r="S295" s="1" t="n">
        <v>46154.29791666667</v>
      </c>
      <c r="T295" t="n">
        <v>0</v>
      </c>
      <c r="U295" t="inlineStr">
        <is>
          <t>BUJALSKI TOMASZ</t>
        </is>
      </c>
    </row>
    <row r="296">
      <c r="A296" s="1" t="n">
        <v>46154</v>
      </c>
      <c r="B296" t="inlineStr">
        <is>
          <t>ZMR/MR/26/1779</t>
        </is>
      </c>
      <c r="C296" t="inlineStr">
        <is>
          <t>BOGDAN BIBAŃSKI</t>
        </is>
      </c>
      <c r="D296" t="n">
        <v>54120414553</v>
      </c>
      <c r="E296" s="1" t="n">
        <v>46154</v>
      </c>
      <c r="F296" t="inlineStr">
        <is>
          <t>CITO-UDAR</t>
        </is>
      </c>
      <c r="G296" t="inlineStr">
        <is>
          <t>MR</t>
        </is>
      </c>
      <c r="H296" t="inlineStr">
        <is>
          <t>MR głowy bez wzmocnienia kontrastowego - protokół udarowy</t>
        </is>
      </c>
      <c r="I296" t="inlineStr">
        <is>
          <t>MR Neurologia</t>
        </is>
      </c>
      <c r="J296" t="inlineStr">
        <is>
          <t>1 okolica anatomiczna</t>
        </is>
      </c>
      <c r="K296" t="inlineStr">
        <is>
          <t>Tomasz Bujalski</t>
        </is>
      </c>
      <c r="L296" t="inlineStr">
        <is>
          <t> </t>
        </is>
      </c>
      <c r="M296" t="inlineStr">
        <is>
          <t>SZPITAL MIEJSKI NR 4 W GLIWICACH SPÓŁKA Z OGRANICZONĄ ODPOWIEDZIALNOŚCIĄ</t>
        </is>
      </c>
      <c r="N296" t="inlineStr">
        <is>
          <t>Izba Przyjęć</t>
        </is>
      </c>
      <c r="O296" t="inlineStr">
        <is>
          <t>Aneta Cieślak-Chróst</t>
        </is>
      </c>
      <c r="P296" t="n">
        <v>2543015</v>
      </c>
      <c r="Q296" t="inlineStr">
        <is>
          <t>I64</t>
        </is>
      </c>
      <c r="R296" t="inlineStr">
        <is>
          <t>sm4gliwice</t>
        </is>
      </c>
      <c r="S296" s="1" t="n">
        <v>46154.35208333333</v>
      </c>
      <c r="T296" t="n">
        <v>0</v>
      </c>
      <c r="U296" t="inlineStr">
        <is>
          <t>BUJALSKI TOMASZ</t>
        </is>
      </c>
    </row>
    <row r="297">
      <c r="A297" s="1" t="n">
        <v>46157</v>
      </c>
      <c r="B297" t="inlineStr">
        <is>
          <t>ZMR/MR/26/1615</t>
        </is>
      </c>
      <c r="C297" t="inlineStr">
        <is>
          <t>JANUSZ PUZIA</t>
        </is>
      </c>
      <c r="D297" t="n">
        <v>46031304074</v>
      </c>
      <c r="E297" s="1" t="n">
        <v>46141</v>
      </c>
      <c r="F297" t="inlineStr">
        <is>
          <t>Planowy</t>
        </is>
      </c>
      <c r="G297" t="inlineStr">
        <is>
          <t>MR</t>
        </is>
      </c>
      <c r="H297" t="inlineStr">
        <is>
          <t>MR jamy brzusznej, przestrzeni zaotrzewnowej - z kontrastem</t>
        </is>
      </c>
      <c r="I297" t="inlineStr">
        <is>
          <t>MR Inne - wtym prostata, miednica, jama brzuszna tkanki miekkie</t>
        </is>
      </c>
      <c r="J297" t="inlineStr">
        <is>
          <t>1 okolica anatomiczna</t>
        </is>
      </c>
      <c r="K297" t="inlineStr">
        <is>
          <t>Tomasz Bujalski</t>
        </is>
      </c>
      <c r="L297" t="inlineStr">
        <is>
          <t> </t>
        </is>
      </c>
      <c r="M297" t="inlineStr">
        <is>
          <t>Ambulatorium im. św. Barbary - zakład leczniczy</t>
        </is>
      </c>
      <c r="N297" t="inlineStr">
        <is>
          <t>Ambulatorium im. św. Barbary - zakład leczniczy</t>
        </is>
      </c>
      <c r="O297" t="inlineStr">
        <is>
          <t>KINGA NATALIA HANDEREK</t>
        </is>
      </c>
      <c r="P297" t="n">
        <v>3216690</v>
      </c>
      <c r="Q297" t="inlineStr">
        <is>
          <t>D12</t>
        </is>
      </c>
      <c r="R297" t="inlineStr">
        <is>
          <t>sm4gliwice</t>
        </is>
      </c>
      <c r="S297" s="1" t="n">
        <v>46147.23680555556</v>
      </c>
      <c r="T297" t="n">
        <v>0</v>
      </c>
      <c r="U297" t="inlineStr">
        <is>
          <t>BUJALSKI TOMASZ</t>
        </is>
      </c>
    </row>
    <row r="298">
      <c r="A298" s="1" t="n">
        <v>46157</v>
      </c>
      <c r="B298" t="inlineStr">
        <is>
          <t>ZMR/MR/26/1654</t>
        </is>
      </c>
      <c r="C298" t="inlineStr">
        <is>
          <t>ALINA SKOBERLA</t>
        </is>
      </c>
      <c r="D298" t="n">
        <v>64013001681</v>
      </c>
      <c r="E298" s="1" t="n">
        <v>46146</v>
      </c>
      <c r="F298" t="inlineStr">
        <is>
          <t>Planowy</t>
        </is>
      </c>
      <c r="G298" t="inlineStr">
        <is>
          <t>MR</t>
        </is>
      </c>
      <c r="H298" t="inlineStr">
        <is>
          <t>MR miednicy małej - z kontrastem</t>
        </is>
      </c>
      <c r="I298" t="inlineStr">
        <is>
          <t>MR Inne - wtym prostata, miednica, jama brzuszna tkanki miekkie</t>
        </is>
      </c>
      <c r="J298" t="inlineStr">
        <is>
          <t>1 okolica anatomiczna</t>
        </is>
      </c>
      <c r="K298" t="inlineStr">
        <is>
          <t>Tomasz Bujalski</t>
        </is>
      </c>
      <c r="L298" t="inlineStr">
        <is>
          <t> </t>
        </is>
      </c>
      <c r="M298" t="inlineStr">
        <is>
          <t>Samodzielny Publiczny Zakład Opieki Zdrowotnej Miejsko Gminny Ośrodek Zdrowia w Sośnicowicach</t>
        </is>
      </c>
      <c r="N298" t="inlineStr">
        <is>
          <t>Samodzielny Publiczny Zakład Opieki Zdrowotnej Miejsko Gminny Ośrodek Zdrowia w Sośnicowicach</t>
        </is>
      </c>
      <c r="O298" t="inlineStr">
        <is>
          <t>LAKSHMAN MALEUWE</t>
        </is>
      </c>
      <c r="P298" t="n">
        <v>2127577</v>
      </c>
      <c r="Q298" t="inlineStr">
        <is>
          <t>D25</t>
        </is>
      </c>
      <c r="R298" t="inlineStr">
        <is>
          <t>sm4gliwice</t>
        </is>
      </c>
      <c r="S298" s="1" t="n">
        <v>46147.24027777778</v>
      </c>
      <c r="T298" t="n">
        <v>0</v>
      </c>
      <c r="U298" t="inlineStr">
        <is>
          <t>BUJALSKI TOMASZ</t>
        </is>
      </c>
    </row>
    <row r="299">
      <c r="A299" s="1" t="n">
        <v>46157</v>
      </c>
      <c r="B299" t="inlineStr">
        <is>
          <t>ZMR/MR/26/1807</t>
        </is>
      </c>
      <c r="C299" t="inlineStr">
        <is>
          <t>REGINA KRASOWSKA</t>
        </is>
      </c>
      <c r="D299" t="n">
        <v>56071015780</v>
      </c>
      <c r="E299" s="1" t="n">
        <v>46156</v>
      </c>
      <c r="F299" t="inlineStr">
        <is>
          <t>CITO-UDAR</t>
        </is>
      </c>
      <c r="G299" t="inlineStr">
        <is>
          <t>MR</t>
        </is>
      </c>
      <c r="H299" t="inlineStr">
        <is>
          <t>MR głowy bez wzmocnienia kontrastowego - protokół udarowy</t>
        </is>
      </c>
      <c r="I299" t="inlineStr">
        <is>
          <t>MR Neurologia</t>
        </is>
      </c>
      <c r="J299" t="inlineStr">
        <is>
          <t>1 okolica anatomiczna</t>
        </is>
      </c>
      <c r="K299" t="inlineStr">
        <is>
          <t>Tomasz Bujalski</t>
        </is>
      </c>
      <c r="L299" t="inlineStr">
        <is>
          <t> </t>
        </is>
      </c>
      <c r="M299" t="inlineStr">
        <is>
          <t>SZPITAL MIEJSKI NR 4 W GLIWICACH SPÓŁKA Z OGRANICZONĄ ODPOWIEDZIALNOŚCIĄ</t>
        </is>
      </c>
      <c r="N299" t="inlineStr">
        <is>
          <t>Oddział Neurologii</t>
        </is>
      </c>
      <c r="O299" t="inlineStr">
        <is>
          <t>DARIUSZ KOZUB</t>
        </is>
      </c>
      <c r="P299" t="n">
        <v>6473138</v>
      </c>
      <c r="Q299" t="inlineStr">
        <is>
          <t>Z03.3</t>
        </is>
      </c>
      <c r="R299" t="inlineStr">
        <is>
          <t>sm4gliwice</t>
        </is>
      </c>
      <c r="S299" s="1" t="n">
        <v>46157.25138888889</v>
      </c>
      <c r="T299" t="n">
        <v>0</v>
      </c>
      <c r="U299" t="inlineStr">
        <is>
          <t>BUJALSKI TOMASZ</t>
        </is>
      </c>
    </row>
    <row r="300">
      <c r="A300" s="1" t="n">
        <v>46157</v>
      </c>
      <c r="B300" t="inlineStr">
        <is>
          <t>ZMR/MR/26/1810</t>
        </is>
      </c>
      <c r="C300" t="inlineStr">
        <is>
          <t>ADRIANNA DASZKIEWICZ</t>
        </is>
      </c>
      <c r="D300" t="n">
        <v>96010405700</v>
      </c>
      <c r="E300" s="1" t="n">
        <v>46156</v>
      </c>
      <c r="F300" t="inlineStr">
        <is>
          <t>CITO-CITO</t>
        </is>
      </c>
      <c r="G300" t="inlineStr">
        <is>
          <t>MR</t>
        </is>
      </c>
      <c r="H300" t="inlineStr">
        <is>
          <t>MR - cholangiografia - bez kontrastu</t>
        </is>
      </c>
      <c r="I300" t="inlineStr">
        <is>
          <t>MR Inne - wtym prostata, miednica, jama brzuszna tkanki miekkie</t>
        </is>
      </c>
      <c r="J300" t="inlineStr">
        <is>
          <t>1 okolica anatomiczna</t>
        </is>
      </c>
      <c r="K300" t="inlineStr">
        <is>
          <t>Tomasz Bujalski</t>
        </is>
      </c>
      <c r="L300" t="inlineStr">
        <is>
          <t> </t>
        </is>
      </c>
      <c r="M300" t="inlineStr">
        <is>
          <t>SZPITAL MIEJSKI NR 4 W GLIWICACH SPÓŁKA Z OGRANICZONĄ ODPOWIEDZIALNOŚCIĄ</t>
        </is>
      </c>
      <c r="N300" t="inlineStr">
        <is>
          <t>Oddział Chorób Wewnętrznych z Pododdziałem Nefrologicznym</t>
        </is>
      </c>
      <c r="O300" t="inlineStr">
        <is>
          <t>Julia LETKIEWICZ</t>
        </is>
      </c>
      <c r="P300" t="n">
        <v>4605591</v>
      </c>
      <c r="Q300" t="inlineStr">
        <is>
          <t>K76.9</t>
        </is>
      </c>
      <c r="R300" t="inlineStr">
        <is>
          <t>sm4gliwice</t>
        </is>
      </c>
      <c r="S300" s="1" t="n">
        <v>46156.46388888889</v>
      </c>
      <c r="T300" t="n">
        <v>0</v>
      </c>
      <c r="U300" t="inlineStr">
        <is>
          <t>BUJALSKI TOMASZ</t>
        </is>
      </c>
    </row>
    <row r="301">
      <c r="A301" s="1" t="n">
        <v>46157</v>
      </c>
      <c r="B301" t="inlineStr">
        <is>
          <t>ZMR/MR/26/1811</t>
        </is>
      </c>
      <c r="C301" t="inlineStr">
        <is>
          <t>ADRIANNA DASZKIEWICZ</t>
        </is>
      </c>
      <c r="D301" t="n">
        <v>96010405700</v>
      </c>
      <c r="E301" s="1" t="n">
        <v>46156</v>
      </c>
      <c r="F301" t="inlineStr">
        <is>
          <t>CITO-CITO</t>
        </is>
      </c>
      <c r="G301" t="inlineStr">
        <is>
          <t>MR</t>
        </is>
      </c>
      <c r="H301" t="inlineStr">
        <is>
          <t>MR jamy brzusznej, przestrzeni zaotrzewnowej - z kontrastem</t>
        </is>
      </c>
      <c r="I301" t="inlineStr">
        <is>
          <t>MR Inne - wtym prostata, miednica, jama brzuszna tkanki miekkie</t>
        </is>
      </c>
      <c r="J301" t="inlineStr">
        <is>
          <t>1 okolica anatomiczna</t>
        </is>
      </c>
      <c r="K301" t="inlineStr">
        <is>
          <t>Tomasz Bujalski</t>
        </is>
      </c>
      <c r="L301" t="inlineStr">
        <is>
          <t> </t>
        </is>
      </c>
      <c r="M301" t="inlineStr">
        <is>
          <t>SZPITAL MIEJSKI NR 4 W GLIWICACH SPÓŁKA Z OGRANICZONĄ ODPOWIEDZIALNOŚCIĄ</t>
        </is>
      </c>
      <c r="N301" t="inlineStr">
        <is>
          <t>Oddział Chorób Wewnętrznych z Pododdziałem Nefrologicznym</t>
        </is>
      </c>
      <c r="O301" t="inlineStr">
        <is>
          <t>Mirela Hendel</t>
        </is>
      </c>
      <c r="P301" t="n">
        <v>4606541</v>
      </c>
      <c r="Q301" t="inlineStr">
        <is>
          <t>K76.9</t>
        </is>
      </c>
      <c r="R301" t="inlineStr">
        <is>
          <t>sm4gliwice</t>
        </is>
      </c>
      <c r="S301" s="1" t="n">
        <v>46156.46388888889</v>
      </c>
      <c r="T301" t="n">
        <v>0</v>
      </c>
      <c r="U301" t="inlineStr">
        <is>
          <t>BUJALSKI TOMASZ</t>
        </is>
      </c>
    </row>
    <row r="302">
      <c r="A302" s="1" t="n">
        <v>46157</v>
      </c>
      <c r="B302" t="inlineStr">
        <is>
          <t>ZMR/MR/26/1812</t>
        </is>
      </c>
      <c r="C302" t="inlineStr">
        <is>
          <t>SABINA KUŹNIK</t>
        </is>
      </c>
      <c r="D302" t="n">
        <v>87111211620</v>
      </c>
      <c r="E302" s="1" t="n">
        <v>46156</v>
      </c>
      <c r="F302" t="inlineStr">
        <is>
          <t>CITO-CITO</t>
        </is>
      </c>
      <c r="G302" t="inlineStr">
        <is>
          <t>MR</t>
        </is>
      </c>
      <c r="H302" t="inlineStr">
        <is>
          <t>MR kręgosłupa lędźwiowego - bez kontrastu</t>
        </is>
      </c>
      <c r="I302" t="inlineStr">
        <is>
          <t>MR Neurologia</t>
        </is>
      </c>
      <c r="J302" t="inlineStr">
        <is>
          <t>1 okolica anatomiczna</t>
        </is>
      </c>
      <c r="K302" t="inlineStr">
        <is>
          <t>Tomasz Bujalski</t>
        </is>
      </c>
      <c r="L302" t="inlineStr">
        <is>
          <t> </t>
        </is>
      </c>
      <c r="M302" t="inlineStr">
        <is>
          <t>SZPITAL MIEJSKI NR 4 W GLIWICACH SPÓŁKA Z OGRANICZONĄ ODPOWIEDZIALNOŚCIĄ</t>
        </is>
      </c>
      <c r="N302" t="inlineStr">
        <is>
          <t>Oddział Neurologii</t>
        </is>
      </c>
      <c r="O302" t="inlineStr">
        <is>
          <t>JUSTYNA GAWRYLUK</t>
        </is>
      </c>
      <c r="P302" t="n">
        <v>2740290</v>
      </c>
      <c r="Q302" t="inlineStr">
        <is>
          <t>M54.4</t>
        </is>
      </c>
      <c r="R302" t="inlineStr">
        <is>
          <t>sm4gliwice</t>
        </is>
      </c>
      <c r="S302" s="1" t="n">
        <v>46156.47430555556</v>
      </c>
      <c r="T302" t="n">
        <v>0</v>
      </c>
      <c r="U302" t="inlineStr">
        <is>
          <t>BUJALSKI TOMASZ</t>
        </is>
      </c>
    </row>
    <row r="303">
      <c r="A303" s="1" t="n">
        <v>46163</v>
      </c>
      <c r="B303" t="inlineStr">
        <is>
          <t>ZMR/MR/26/1736</t>
        </is>
      </c>
      <c r="C303" t="inlineStr">
        <is>
          <t>TOMASZ WÓJCIK</t>
        </is>
      </c>
      <c r="D303" t="n">
        <v>69012611996</v>
      </c>
      <c r="E303" s="1" t="n">
        <v>46150</v>
      </c>
      <c r="F303" t="inlineStr">
        <is>
          <t>Planowy</t>
        </is>
      </c>
      <c r="G303" t="inlineStr">
        <is>
          <t>MR</t>
        </is>
      </c>
      <c r="H303" t="inlineStr">
        <is>
          <t>MR jamy brzusznej, przestrzeni zaotrzewnowej - z kontrastem</t>
        </is>
      </c>
      <c r="I303" t="inlineStr">
        <is>
          <t>MR Inne - wtym prostata, miednica, jama brzuszna tkanki miekkie</t>
        </is>
      </c>
      <c r="J303" t="inlineStr">
        <is>
          <t>1 okolica anatomiczna</t>
        </is>
      </c>
      <c r="K303" t="inlineStr">
        <is>
          <t>Tomasz Bujalski</t>
        </is>
      </c>
      <c r="L303" t="inlineStr">
        <is>
          <t> </t>
        </is>
      </c>
      <c r="M303" t="inlineStr">
        <is>
          <t>SZPITAL MIEJSKI NR 4 W GLIWICACH SPÓŁKA Z OGRANICZONĄ ODPOWIEDZIALNOŚCIĄ</t>
        </is>
      </c>
      <c r="N303" t="inlineStr">
        <is>
          <t>Poradnia Urologiczna</t>
        </is>
      </c>
      <c r="O303" t="inlineStr">
        <is>
          <t>Przemysław Cnota</t>
        </is>
      </c>
      <c r="P303" t="n">
        <v>3002623</v>
      </c>
      <c r="Q303" t="inlineStr">
        <is>
          <t>D41.0</t>
        </is>
      </c>
      <c r="R303" t="inlineStr">
        <is>
          <t>sm4gliwice</t>
        </is>
      </c>
      <c r="S303" s="1" t="n">
        <v>46154.22916666666</v>
      </c>
      <c r="T303" t="n">
        <v>0</v>
      </c>
      <c r="U303" t="inlineStr">
        <is>
          <t>BUJALSKI TOMASZ</t>
        </is>
      </c>
    </row>
    <row r="304">
      <c r="A304" s="1" t="n">
        <v>46169</v>
      </c>
      <c r="B304" t="inlineStr">
        <is>
          <t>530039_1593</t>
        </is>
      </c>
      <c r="C304" t="inlineStr">
        <is>
          <t>Paulina Ksionek</t>
        </is>
      </c>
      <c r="D304" t="n">
        <v>88102112285</v>
      </c>
      <c r="E304" s="1" t="n">
        <v>46169</v>
      </c>
      <c r="F304" t="inlineStr">
        <is>
          <t>CITO-CITO</t>
        </is>
      </c>
      <c r="G304" t="inlineStr">
        <is>
          <t>MR</t>
        </is>
      </c>
      <c r="H304" t="inlineStr">
        <is>
          <t>MR – Angio</t>
        </is>
      </c>
      <c r="I304" t="inlineStr">
        <is>
          <t>MR Angiografia</t>
        </is>
      </c>
      <c r="J304" t="inlineStr">
        <is>
          <t>1 okolica anatomiczna</t>
        </is>
      </c>
      <c r="K304" t="inlineStr">
        <is>
          <t>Tomasz Bujalski</t>
        </is>
      </c>
      <c r="L304" t="inlineStr">
        <is>
          <t> </t>
        </is>
      </c>
      <c r="M304" t="inlineStr">
        <is>
          <t>SAMODZIELNY PUBLICZNY ZAKŁAD OPIEKI ZDROWOTNEJ W SOKOŁOWIE PODLASKIM</t>
        </is>
      </c>
      <c r="N304" t="inlineStr">
        <is>
          <t>Poradnia neurologiczna</t>
        </is>
      </c>
      <c r="O304" t="inlineStr">
        <is>
          <t>ADAM KOŚCIUKIEWICZ</t>
        </is>
      </c>
      <c r="P304" t="inlineStr">
        <is>
          <t>1361249</t>
        </is>
      </c>
      <c r="Q304" t="inlineStr">
        <is>
          <t>G44</t>
        </is>
      </c>
      <c r="R304" t="inlineStr">
        <is>
          <t>sokolow</t>
        </is>
      </c>
      <c r="S304" s="1" t="n">
        <v>46169.57152777778</v>
      </c>
      <c r="T304" t="n">
        <v>0</v>
      </c>
      <c r="U304" t="inlineStr">
        <is>
          <t>BUJALSKI TOMASZ</t>
        </is>
      </c>
    </row>
    <row r="305">
      <c r="A305" s="1" t="n">
        <v>46152</v>
      </c>
      <c r="B305" t="inlineStr">
        <is>
          <t>4355/26/TK</t>
        </is>
      </c>
      <c r="C305" t="inlineStr">
        <is>
          <t>Marek Judka</t>
        </is>
      </c>
      <c r="D305" t="inlineStr">
        <is>
          <t>70091313077</t>
        </is>
      </c>
      <c r="E305" s="1" t="n">
        <v>46152</v>
      </c>
      <c r="F305" t="inlineStr">
        <is>
          <t>CITO-CITO</t>
        </is>
      </c>
      <c r="G305" t="inlineStr">
        <is>
          <t>TK</t>
        </is>
      </c>
      <c r="H305" t="inlineStr">
        <is>
          <t>Tk głowy bez wzmocnienia kontrastowego</t>
        </is>
      </c>
      <c r="I305" t="inlineStr">
        <is>
          <t>TK Zwykłe</t>
        </is>
      </c>
      <c r="J305" t="inlineStr">
        <is>
          <t>1 okolica anatomiczna</t>
        </is>
      </c>
      <c r="K305" t="inlineStr">
        <is>
          <t>Tomasz Bujalski</t>
        </is>
      </c>
      <c r="L305" t="inlineStr">
        <is>
          <t> </t>
        </is>
      </c>
      <c r="M305" t="inlineStr">
        <is>
          <t>SAMODZIELNY PUBLICZNY ZAKŁAD OPIEKI ZDROWOTNEJ W BOCHNI "SZPITAL POWIATOWY" IM. BŁ. MARTY WIECKIEJ</t>
        </is>
      </c>
      <c r="N305" t="inlineStr">
        <is>
          <t>Oddział ratunkowy</t>
        </is>
      </c>
      <c r="O305" t="inlineStr">
        <is>
          <t>Patrycja MISIASZEK</t>
        </is>
      </c>
      <c r="P305" t="inlineStr">
        <is>
          <t>4591629</t>
        </is>
      </c>
      <c r="Q305" t="inlineStr">
        <is>
          <t> </t>
        </is>
      </c>
      <c r="R305" t="inlineStr">
        <is>
          <t>spbochnia</t>
        </is>
      </c>
      <c r="S305" s="1" t="n">
        <v>46152.64236111111</v>
      </c>
      <c r="T305" t="n">
        <v>0</v>
      </c>
      <c r="U305" t="inlineStr">
        <is>
          <t>BUJALSKI TOMASZ</t>
        </is>
      </c>
    </row>
    <row r="306">
      <c r="A306" s="1" t="n">
        <v>46152</v>
      </c>
      <c r="B306" t="inlineStr">
        <is>
          <t>4356/26/TK</t>
        </is>
      </c>
      <c r="C306" t="inlineStr">
        <is>
          <t>Marek Judka</t>
        </is>
      </c>
      <c r="D306" t="inlineStr">
        <is>
          <t>70091313077</t>
        </is>
      </c>
      <c r="E306" s="1" t="n">
        <v>46152</v>
      </c>
      <c r="F306" t="inlineStr">
        <is>
          <t>CITO-CITO</t>
        </is>
      </c>
      <c r="G306" t="inlineStr">
        <is>
          <t>TK</t>
        </is>
      </c>
      <c r="H306" t="inlineStr">
        <is>
          <t>TK kręgosłupa szyjnego bez wzmocnienia kontrastowego</t>
        </is>
      </c>
      <c r="I306" t="inlineStr">
        <is>
          <t>TK Zwykłe</t>
        </is>
      </c>
      <c r="J306" t="inlineStr">
        <is>
          <t>1 okolica anatomiczna</t>
        </is>
      </c>
      <c r="K306" t="inlineStr">
        <is>
          <t>Tomasz Bujalski</t>
        </is>
      </c>
      <c r="L306" t="inlineStr">
        <is>
          <t> </t>
        </is>
      </c>
      <c r="M306" t="inlineStr">
        <is>
          <t>SAMODZIELNY PUBLICZNY ZAKŁAD OPIEKI ZDROWOTNEJ W BOCHNI "SZPITAL POWIATOWY" IM. BŁ. MARTY WIECKIEJ</t>
        </is>
      </c>
      <c r="N306" t="inlineStr">
        <is>
          <t>Oddział ratunkowy</t>
        </is>
      </c>
      <c r="O306" t="inlineStr">
        <is>
          <t>Patrycja MISIASZEK</t>
        </is>
      </c>
      <c r="P306" t="inlineStr">
        <is>
          <t>4591629</t>
        </is>
      </c>
      <c r="Q306" t="inlineStr">
        <is>
          <t> </t>
        </is>
      </c>
      <c r="R306" t="inlineStr">
        <is>
          <t>spbochnia</t>
        </is>
      </c>
      <c r="S306" s="1" t="n">
        <v>46152.64305555556</v>
      </c>
      <c r="T306" t="n">
        <v>0</v>
      </c>
      <c r="U306" t="inlineStr">
        <is>
          <t>BUJALSKI TOMASZ</t>
        </is>
      </c>
    </row>
    <row r="307">
      <c r="A307" s="1" t="n">
        <v>46152</v>
      </c>
      <c r="B307" t="inlineStr">
        <is>
          <t>4357/26/TK</t>
        </is>
      </c>
      <c r="C307" t="inlineStr">
        <is>
          <t>Marek Judka</t>
        </is>
      </c>
      <c r="D307" t="inlineStr">
        <is>
          <t>70091313077</t>
        </is>
      </c>
      <c r="E307" s="1" t="n">
        <v>46152</v>
      </c>
      <c r="F307" t="inlineStr">
        <is>
          <t>CITO-CITO</t>
        </is>
      </c>
      <c r="G307" t="inlineStr">
        <is>
          <t>TK</t>
        </is>
      </c>
      <c r="H307" t="inlineStr">
        <is>
          <t>TK jamy brzusznej lub miednicy mniejszej bez wzmocnienia kontrastowego; TK klatki piersiowej bez wzmocnienia kontrastowego</t>
        </is>
      </c>
      <c r="I307" t="inlineStr">
        <is>
          <t>TK Zwykłe</t>
        </is>
      </c>
      <c r="J307" t="inlineStr">
        <is>
          <t>3 okolice anatomiczne</t>
        </is>
      </c>
      <c r="K307" t="inlineStr">
        <is>
          <t>Tomasz Bujalski</t>
        </is>
      </c>
      <c r="L307" t="inlineStr">
        <is>
          <t> </t>
        </is>
      </c>
      <c r="M307" t="inlineStr">
        <is>
          <t>SAMODZIELNY PUBLICZNY ZAKŁAD OPIEKI ZDROWOTNEJ W BOCHNI "SZPITAL POWIATOWY" IM. BŁ. MARTY WIECKIEJ</t>
        </is>
      </c>
      <c r="N307" t="inlineStr">
        <is>
          <t>Oddział ratunkowy</t>
        </is>
      </c>
      <c r="O307" t="inlineStr">
        <is>
          <t>Patrycja MISIASZEK</t>
        </is>
      </c>
      <c r="P307" t="inlineStr">
        <is>
          <t>4591629</t>
        </is>
      </c>
      <c r="Q307" t="inlineStr">
        <is>
          <t> </t>
        </is>
      </c>
      <c r="R307" t="inlineStr">
        <is>
          <t>spbochnia</t>
        </is>
      </c>
      <c r="S307" s="1" t="n">
        <v>46152.64444444444</v>
      </c>
      <c r="T307" t="n">
        <v>0</v>
      </c>
      <c r="U307" t="inlineStr">
        <is>
          <t>BUJALSKI TOMASZ</t>
        </is>
      </c>
    </row>
    <row r="308">
      <c r="A308" s="1" t="n">
        <v>46154</v>
      </c>
      <c r="B308" t="inlineStr">
        <is>
          <t>4408/26/TK</t>
        </is>
      </c>
      <c r="C308" t="inlineStr">
        <is>
          <t>Stefania Sadulska</t>
        </is>
      </c>
      <c r="D308" t="inlineStr">
        <is>
          <t>32031710067</t>
        </is>
      </c>
      <c r="E308" s="1" t="n">
        <v>46154</v>
      </c>
      <c r="F308" t="inlineStr">
        <is>
          <t>CITO-CITO</t>
        </is>
      </c>
      <c r="G308" t="inlineStr">
        <is>
          <t>TK</t>
        </is>
      </c>
      <c r="H308" t="inlineStr">
        <is>
          <t>Tk głowy bez wzmocnienia kontrastowego</t>
        </is>
      </c>
      <c r="I308" t="inlineStr">
        <is>
          <t>TK Zwykłe</t>
        </is>
      </c>
      <c r="J308" t="inlineStr">
        <is>
          <t>1 okolica anatomiczna</t>
        </is>
      </c>
      <c r="K308" t="inlineStr">
        <is>
          <t>Tomasz Bujalski</t>
        </is>
      </c>
      <c r="L308" t="inlineStr">
        <is>
          <t> </t>
        </is>
      </c>
      <c r="M308" t="inlineStr">
        <is>
          <t>SAMODZIELNY PUBLICZNY ZAKŁAD OPIEKI ZDROWOTNEJ W BOCHNI "SZPITAL POWIATOWY" IM. BŁ. MARTY WIECKIEJ</t>
        </is>
      </c>
      <c r="N308" t="inlineStr">
        <is>
          <t>Oddział ratunkowy</t>
        </is>
      </c>
      <c r="O308" t="inlineStr">
        <is>
          <t>Ewelina KUREK</t>
        </is>
      </c>
      <c r="P308" t="inlineStr">
        <is>
          <t>2744185</t>
        </is>
      </c>
      <c r="Q308" t="inlineStr">
        <is>
          <t>R06.0</t>
        </is>
      </c>
      <c r="R308" t="inlineStr">
        <is>
          <t>spbochnia</t>
        </is>
      </c>
      <c r="S308" s="1" t="n">
        <v>46154.21388888889</v>
      </c>
      <c r="T308" t="n">
        <v>0</v>
      </c>
      <c r="U308" t="inlineStr">
        <is>
          <t>BUJALSKI TOMASZ</t>
        </is>
      </c>
    </row>
    <row r="309">
      <c r="A309" s="1" t="n">
        <v>46154</v>
      </c>
      <c r="B309" t="inlineStr">
        <is>
          <t>4409/26/TK</t>
        </is>
      </c>
      <c r="C309" t="inlineStr">
        <is>
          <t>Stefania Sadulska</t>
        </is>
      </c>
      <c r="D309" t="inlineStr">
        <is>
          <t>32031710067</t>
        </is>
      </c>
      <c r="E309" s="1" t="n">
        <v>46154</v>
      </c>
      <c r="F309" t="inlineStr">
        <is>
          <t>CITO-CITO</t>
        </is>
      </c>
      <c r="G309" t="inlineStr">
        <is>
          <t>TK</t>
        </is>
      </c>
      <c r="H309" t="inlineStr">
        <is>
          <t>TK klatki piersiowej bez wzmocnienia kontrastowego</t>
        </is>
      </c>
      <c r="I309" t="inlineStr">
        <is>
          <t>TK Zwykłe</t>
        </is>
      </c>
      <c r="J309" t="inlineStr">
        <is>
          <t>1 okolica anatomiczna</t>
        </is>
      </c>
      <c r="K309" t="inlineStr">
        <is>
          <t>Tomasz Bujalski</t>
        </is>
      </c>
      <c r="L309" t="inlineStr">
        <is>
          <t> </t>
        </is>
      </c>
      <c r="M309" t="inlineStr">
        <is>
          <t>SAMODZIELNY PUBLICZNY ZAKŁAD OPIEKI ZDROWOTNEJ W BOCHNI "SZPITAL POWIATOWY" IM. BŁ. MARTY WIECKIEJ</t>
        </is>
      </c>
      <c r="N309" t="inlineStr">
        <is>
          <t>Oddział ratunkowy</t>
        </is>
      </c>
      <c r="O309" t="inlineStr">
        <is>
          <t>Ewelina KUREK</t>
        </is>
      </c>
      <c r="P309" t="inlineStr">
        <is>
          <t>2744185</t>
        </is>
      </c>
      <c r="Q309" t="inlineStr">
        <is>
          <t>R06.0</t>
        </is>
      </c>
      <c r="R309" t="inlineStr">
        <is>
          <t>spbochnia</t>
        </is>
      </c>
      <c r="S309" s="1" t="n">
        <v>46154.2125</v>
      </c>
      <c r="T309" t="n">
        <v>0</v>
      </c>
      <c r="U309" t="inlineStr">
        <is>
          <t>BUJALSKI TOMASZ</t>
        </is>
      </c>
    </row>
    <row r="310">
      <c r="A310" s="1" t="n">
        <v>46154</v>
      </c>
      <c r="B310" t="inlineStr">
        <is>
          <t>4423/26/TK</t>
        </is>
      </c>
      <c r="C310" t="inlineStr">
        <is>
          <t>Maria Kuchnik</t>
        </is>
      </c>
      <c r="D310" t="inlineStr">
        <is>
          <t>57092319363</t>
        </is>
      </c>
      <c r="E310" s="1" t="n">
        <v>46154</v>
      </c>
      <c r="F310" t="inlineStr">
        <is>
          <t>CITO-CITO</t>
        </is>
      </c>
      <c r="G310" t="inlineStr">
        <is>
          <t>TK</t>
        </is>
      </c>
      <c r="H310" t="inlineStr">
        <is>
          <t>TK tętnic jamy brzusznej (w tym aorta)</t>
        </is>
      </c>
      <c r="I310" t="inlineStr">
        <is>
          <t>TK Angiografia</t>
        </is>
      </c>
      <c r="J310" t="inlineStr">
        <is>
          <t>2 okolice anatomiczne</t>
        </is>
      </c>
      <c r="K310" t="inlineStr">
        <is>
          <t>Tomasz Bujalski</t>
        </is>
      </c>
      <c r="L310" t="inlineStr">
        <is>
          <t> </t>
        </is>
      </c>
      <c r="M310" t="inlineStr">
        <is>
          <t>SAMODZIELNY PUBLICZNY ZAKŁAD OPIEKI ZDROWOTNEJ W BOCHNI "SZPITAL POWIATOWY" IM. BŁ. MARTY WIECKIEJ</t>
        </is>
      </c>
      <c r="N310" t="inlineStr">
        <is>
          <t>Oddział Chorób Wewnętrznych z Pododdziałem Kardiologicznym</t>
        </is>
      </c>
      <c r="O310" t="inlineStr">
        <is>
          <t>Natalia Palka</t>
        </is>
      </c>
      <c r="P310" t="inlineStr">
        <is>
          <t>2404472</t>
        </is>
      </c>
      <c r="Q310" t="inlineStr">
        <is>
          <t>D64.9</t>
        </is>
      </c>
      <c r="R310" t="inlineStr">
        <is>
          <t>spbochnia</t>
        </is>
      </c>
      <c r="S310" s="1" t="n">
        <v>46154.39305555556</v>
      </c>
      <c r="T310" t="n">
        <v>0</v>
      </c>
      <c r="U310" t="inlineStr">
        <is>
          <t>BUJALSKI TOMASZ</t>
        </is>
      </c>
    </row>
    <row r="311">
      <c r="A311" s="1" t="n">
        <v>46154</v>
      </c>
      <c r="B311" t="inlineStr">
        <is>
          <t>4424/26/TK</t>
        </is>
      </c>
      <c r="C311" t="inlineStr">
        <is>
          <t>Krzysztof Sikorski</t>
        </is>
      </c>
      <c r="D311" t="inlineStr">
        <is>
          <t>77020413411</t>
        </is>
      </c>
      <c r="E311" s="1" t="n">
        <v>46154</v>
      </c>
      <c r="F311" t="inlineStr">
        <is>
          <t>CITO-CITO</t>
        </is>
      </c>
      <c r="G311" t="inlineStr">
        <is>
          <t>TK</t>
        </is>
      </c>
      <c r="H311" t="inlineStr">
        <is>
          <t>TK jamy brzusznej lub miednicy małej bez i ze wzmocnieniem kontrastowym; TK klatki piersiowej bez i ze wzmocnieniem kontrastowym</t>
        </is>
      </c>
      <c r="I311" t="inlineStr">
        <is>
          <t>TK Zwykłe</t>
        </is>
      </c>
      <c r="J311" t="inlineStr">
        <is>
          <t>3 okolice anatomiczne</t>
        </is>
      </c>
      <c r="K311" t="inlineStr">
        <is>
          <t>Tomasz Bujalski</t>
        </is>
      </c>
      <c r="L311" t="inlineStr">
        <is>
          <t> </t>
        </is>
      </c>
      <c r="M311" t="inlineStr">
        <is>
          <t>SAMODZIELNY PUBLICZNY ZAKŁAD OPIEKI ZDROWOTNEJ W BOCHNI "SZPITAL POWIATOWY" IM. BŁ. MARTY WIECKIEJ</t>
        </is>
      </c>
      <c r="N311" t="inlineStr">
        <is>
          <t>Oddział Chorób Wewnętrznych z Pododdziałem Kardiologicznym</t>
        </is>
      </c>
      <c r="O311" t="inlineStr">
        <is>
          <t>Izabela Nowacka-Pietrzyk</t>
        </is>
      </c>
      <c r="P311" t="inlineStr">
        <is>
          <t>4393930</t>
        </is>
      </c>
      <c r="Q311" t="inlineStr">
        <is>
          <t>R57.8</t>
        </is>
      </c>
      <c r="R311" t="inlineStr">
        <is>
          <t>spbochnia</t>
        </is>
      </c>
      <c r="S311" s="1" t="n">
        <v>46154.41944444444</v>
      </c>
      <c r="T311" t="n">
        <v>0</v>
      </c>
      <c r="U311" t="inlineStr">
        <is>
          <t>BUJALSKI TOMASZ</t>
        </is>
      </c>
    </row>
    <row r="312">
      <c r="A312" s="1" t="n">
        <v>46155</v>
      </c>
      <c r="B312" t="inlineStr">
        <is>
          <t>4463/26/TK</t>
        </is>
      </c>
      <c r="C312" t="inlineStr">
        <is>
          <t>Antoni Skubida</t>
        </is>
      </c>
      <c r="D312" t="inlineStr">
        <is>
          <t>32123000713</t>
        </is>
      </c>
      <c r="E312" s="1" t="n">
        <v>46155</v>
      </c>
      <c r="F312" t="inlineStr">
        <is>
          <t>CITO-CITO</t>
        </is>
      </c>
      <c r="G312" t="inlineStr">
        <is>
          <t>TK</t>
        </is>
      </c>
      <c r="H312" t="inlineStr">
        <is>
          <t>TK klatki piersiowej bez wzmocnienia kontrastowego</t>
        </is>
      </c>
      <c r="I312" t="inlineStr">
        <is>
          <t>TK Zwykłe</t>
        </is>
      </c>
      <c r="J312" t="inlineStr">
        <is>
          <t>1 okolica anatomiczna</t>
        </is>
      </c>
      <c r="K312" t="inlineStr">
        <is>
          <t>Tomasz Bujalski</t>
        </is>
      </c>
      <c r="L312" t="inlineStr">
        <is>
          <t> </t>
        </is>
      </c>
      <c r="M312" t="inlineStr">
        <is>
          <t>SAMODZIELNY PUBLICZNY ZAKŁAD OPIEKI ZDROWOTNEJ W BOCHNI "SZPITAL POWIATOWY" IM. BŁ. MARTY WIECKIEJ</t>
        </is>
      </c>
      <c r="N312" t="inlineStr">
        <is>
          <t>Oddział ratunkowy</t>
        </is>
      </c>
      <c r="O312" t="inlineStr">
        <is>
          <t>Grzegorz Cebula</t>
        </is>
      </c>
      <c r="P312" t="inlineStr">
        <is>
          <t>4393312</t>
        </is>
      </c>
      <c r="Q312" t="inlineStr">
        <is>
          <t>R06.0</t>
        </is>
      </c>
      <c r="R312" t="inlineStr">
        <is>
          <t>spbochnia</t>
        </is>
      </c>
      <c r="S312" s="1" t="n">
        <v>46155.48055555556</v>
      </c>
      <c r="T312" t="n">
        <v>0</v>
      </c>
      <c r="U312" t="inlineStr">
        <is>
          <t>BUJALSKI TOMASZ</t>
        </is>
      </c>
    </row>
    <row r="313">
      <c r="A313" s="1" t="n">
        <v>46159</v>
      </c>
      <c r="B313" t="inlineStr">
        <is>
          <t>4603/26/TK</t>
        </is>
      </c>
      <c r="C313" t="inlineStr">
        <is>
          <t>Zbigniew Bieniek</t>
        </is>
      </c>
      <c r="D313" t="inlineStr">
        <is>
          <t>49122403676</t>
        </is>
      </c>
      <c r="E313" s="1" t="n">
        <v>46159</v>
      </c>
      <c r="F313" t="inlineStr">
        <is>
          <t>CITO-CITO</t>
        </is>
      </c>
      <c r="G313" t="inlineStr">
        <is>
          <t>TK</t>
        </is>
      </c>
      <c r="H313" t="inlineStr">
        <is>
          <t>Tk głowy bez wzmocnienia kontrastowego</t>
        </is>
      </c>
      <c r="I313" t="inlineStr">
        <is>
          <t>TK Zwykłe</t>
        </is>
      </c>
      <c r="J313" t="inlineStr">
        <is>
          <t>1 okolica anatomiczna</t>
        </is>
      </c>
      <c r="K313" t="inlineStr">
        <is>
          <t>Tomasz Bujalski</t>
        </is>
      </c>
      <c r="L313" t="inlineStr">
        <is>
          <t> </t>
        </is>
      </c>
      <c r="M313" t="inlineStr">
        <is>
          <t>SAMODZIELNY PUBLICZNY ZAKŁAD OPIEKI ZDROWOTNEJ W BOCHNI "SZPITAL POWIATOWY" IM. BŁ. MARTY WIECKIEJ</t>
        </is>
      </c>
      <c r="N313" t="inlineStr">
        <is>
          <t>Oddział ratunkowy</t>
        </is>
      </c>
      <c r="O313" t="inlineStr">
        <is>
          <t>Jakub BATKO</t>
        </is>
      </c>
      <c r="P313" t="inlineStr">
        <is>
          <t>4455851</t>
        </is>
      </c>
      <c r="Q313" t="inlineStr">
        <is>
          <t>S00.9</t>
        </is>
      </c>
      <c r="R313" t="inlineStr">
        <is>
          <t>spbochnia</t>
        </is>
      </c>
      <c r="S313" s="1" t="n">
        <v>46159.40833333333</v>
      </c>
      <c r="T313" t="n">
        <v>0</v>
      </c>
      <c r="U313" t="inlineStr">
        <is>
          <t>BUJALSKI TOMASZ</t>
        </is>
      </c>
    </row>
    <row r="314">
      <c r="A314" s="1" t="n">
        <v>46159</v>
      </c>
      <c r="B314" t="inlineStr">
        <is>
          <t>4604/26/TK</t>
        </is>
      </c>
      <c r="C314" t="inlineStr">
        <is>
          <t>Zbigniew Bieniek</t>
        </is>
      </c>
      <c r="D314" t="inlineStr">
        <is>
          <t>49122403676</t>
        </is>
      </c>
      <c r="E314" s="1" t="n">
        <v>46159</v>
      </c>
      <c r="F314" t="inlineStr">
        <is>
          <t>CITO-CITO</t>
        </is>
      </c>
      <c r="G314" t="inlineStr">
        <is>
          <t>TK</t>
        </is>
      </c>
      <c r="H314" t="inlineStr">
        <is>
          <t>TK twarzoczaszki bez wzmocnienia kontrastowego</t>
        </is>
      </c>
      <c r="I314" t="inlineStr">
        <is>
          <t>TK Zwykłe</t>
        </is>
      </c>
      <c r="J314" t="inlineStr">
        <is>
          <t>1 okolica anatomiczna</t>
        </is>
      </c>
      <c r="K314" t="inlineStr">
        <is>
          <t>Tomasz Bujalski</t>
        </is>
      </c>
      <c r="L314" t="inlineStr">
        <is>
          <t> </t>
        </is>
      </c>
      <c r="M314" t="inlineStr">
        <is>
          <t>SAMODZIELNY PUBLICZNY ZAKŁAD OPIEKI ZDROWOTNEJ W BOCHNI "SZPITAL POWIATOWY" IM. BŁ. MARTY WIECKIEJ</t>
        </is>
      </c>
      <c r="N314" t="inlineStr">
        <is>
          <t>Oddział ratunkowy</t>
        </is>
      </c>
      <c r="O314" t="inlineStr">
        <is>
          <t>Jakub BATKO</t>
        </is>
      </c>
      <c r="P314" t="inlineStr">
        <is>
          <t>4455851</t>
        </is>
      </c>
      <c r="Q314" t="inlineStr">
        <is>
          <t>S00.9</t>
        </is>
      </c>
      <c r="R314" t="inlineStr">
        <is>
          <t>spbochnia</t>
        </is>
      </c>
      <c r="S314" s="1" t="n">
        <v>46159.41180555556</v>
      </c>
      <c r="T314" t="n">
        <v>0</v>
      </c>
      <c r="U314" t="inlineStr">
        <is>
          <t>BUJALSKI TOMASZ</t>
        </is>
      </c>
    </row>
    <row r="315">
      <c r="A315" s="1" t="n">
        <v>46162</v>
      </c>
      <c r="B315" t="inlineStr">
        <is>
          <t>4746/26/TK</t>
        </is>
      </c>
      <c r="C315" t="inlineStr">
        <is>
          <t>Helena Budyś</t>
        </is>
      </c>
      <c r="D315" t="inlineStr">
        <is>
          <t>43122407029</t>
        </is>
      </c>
      <c r="E315" s="1" t="n">
        <v>46162</v>
      </c>
      <c r="F315" t="inlineStr">
        <is>
          <t>CITO-CITO</t>
        </is>
      </c>
      <c r="G315" t="inlineStr">
        <is>
          <t>TK</t>
        </is>
      </c>
      <c r="H315" t="inlineStr">
        <is>
          <t>Angio TK - klatki piersiowej</t>
        </is>
      </c>
      <c r="I315" t="inlineStr">
        <is>
          <t>TK Angiografia</t>
        </is>
      </c>
      <c r="J315" t="inlineStr">
        <is>
          <t>3 okolice anatomiczne</t>
        </is>
      </c>
      <c r="K315" t="inlineStr">
        <is>
          <t>Tomasz Bujalski</t>
        </is>
      </c>
      <c r="L315" t="inlineStr">
        <is>
          <t> </t>
        </is>
      </c>
      <c r="M315" t="inlineStr">
        <is>
          <t>SAMODZIELNY PUBLICZNY ZAKŁAD OPIEKI ZDROWOTNEJ W BOCHNI "SZPITAL POWIATOWY" IM. BŁ. MARTY WIECKIEJ</t>
        </is>
      </c>
      <c r="N315" t="inlineStr">
        <is>
          <t>Oddział ratunkowy</t>
        </is>
      </c>
      <c r="O315" t="inlineStr">
        <is>
          <t>Grzegorz Cebula</t>
        </is>
      </c>
      <c r="P315" t="inlineStr">
        <is>
          <t>4393312</t>
        </is>
      </c>
      <c r="Q315" t="inlineStr">
        <is>
          <t>Z03.9</t>
        </is>
      </c>
      <c r="R315" t="inlineStr">
        <is>
          <t>spbochnia</t>
        </is>
      </c>
      <c r="S315" s="1" t="n">
        <v>46162.72777777778</v>
      </c>
      <c r="T315" t="n">
        <v>0</v>
      </c>
      <c r="U315" t="inlineStr">
        <is>
          <t>BUJALSKI TOMASZ</t>
        </is>
      </c>
    </row>
    <row r="316">
      <c r="A316" s="1" t="n">
        <v>46167</v>
      </c>
      <c r="B316" t="inlineStr">
        <is>
          <t>4723/26/TK</t>
        </is>
      </c>
      <c r="C316" t="inlineStr">
        <is>
          <t>Władysław Bilski</t>
        </is>
      </c>
      <c r="D316" t="inlineStr">
        <is>
          <t>49110202979</t>
        </is>
      </c>
      <c r="E316" s="1" t="n">
        <v>46162</v>
      </c>
      <c r="F316" t="inlineStr">
        <is>
          <t>Pilny</t>
        </is>
      </c>
      <c r="G316" t="inlineStr">
        <is>
          <t>TK</t>
        </is>
      </c>
      <c r="H316" t="inlineStr">
        <is>
          <t>TK jamy brzusznej lub miednicy małej bez i ze wzmocnieniem kontrastowym; TK klatki piersiowej bez i ze wzmocnieniem kontrastowym</t>
        </is>
      </c>
      <c r="I316" t="inlineStr">
        <is>
          <t>TK Onkologia</t>
        </is>
      </c>
      <c r="J316" t="inlineStr">
        <is>
          <t>3 okolice anatomiczne</t>
        </is>
      </c>
      <c r="K316" t="inlineStr">
        <is>
          <t>Tomasz Bujalski</t>
        </is>
      </c>
      <c r="L316" t="inlineStr">
        <is>
          <t> </t>
        </is>
      </c>
      <c r="M316" t="inlineStr">
        <is>
          <t>SAMODZIELNY PUBLICZNY ZAKŁAD OPIEKI ZDROWOTNEJ W BOCHNI "SZPITAL POWIATOWY" IM. BŁ. MARTY WIECKIEJ</t>
        </is>
      </c>
      <c r="N316" t="inlineStr">
        <is>
          <t>Oddział Chorób Wewnętrznych z Pododdziałem Kardiologicznym</t>
        </is>
      </c>
      <c r="O316" t="inlineStr">
        <is>
          <t>Aleksandra Seweryn</t>
        </is>
      </c>
      <c r="P316" t="inlineStr">
        <is>
          <t>3599417</t>
        </is>
      </c>
      <c r="Q316" t="inlineStr">
        <is>
          <t>I26.9</t>
        </is>
      </c>
      <c r="R316" t="inlineStr">
        <is>
          <t>spbochnia</t>
        </is>
      </c>
      <c r="S316" s="1" t="n">
        <v>46163.37708333333</v>
      </c>
      <c r="T316" t="n">
        <v>3</v>
      </c>
      <c r="U316" t="inlineStr">
        <is>
          <t>BUJALSKI TOMASZ</t>
        </is>
      </c>
    </row>
    <row r="317">
      <c r="A317" s="1" t="n">
        <v>46168</v>
      </c>
      <c r="B317" t="inlineStr">
        <is>
          <t>4951/26/TK</t>
        </is>
      </c>
      <c r="C317" t="inlineStr">
        <is>
          <t>Urszula Smyk</t>
        </is>
      </c>
      <c r="D317" t="inlineStr">
        <is>
          <t>41021901701</t>
        </is>
      </c>
      <c r="E317" s="1" t="n">
        <v>46168</v>
      </c>
      <c r="F317" t="inlineStr">
        <is>
          <t>CITO-CITO</t>
        </is>
      </c>
      <c r="G317" t="inlineStr">
        <is>
          <t>TK</t>
        </is>
      </c>
      <c r="H317" t="inlineStr">
        <is>
          <t>Tk głowy bez wzmocnienia kontrastowego</t>
        </is>
      </c>
      <c r="I317" t="inlineStr">
        <is>
          <t>TK Zwykłe</t>
        </is>
      </c>
      <c r="J317" t="inlineStr">
        <is>
          <t>1 okolica anatomiczna</t>
        </is>
      </c>
      <c r="K317" t="inlineStr">
        <is>
          <t>Tomasz Bujalski</t>
        </is>
      </c>
      <c r="L317" t="inlineStr">
        <is>
          <t> </t>
        </is>
      </c>
      <c r="M317" t="inlineStr">
        <is>
          <t>SAMODZIELNY PUBLICZNY ZAKŁAD OPIEKI ZDROWOTNEJ W BOCHNI "SZPITAL POWIATOWY" IM. BŁ. MARTY WIECKIEJ</t>
        </is>
      </c>
      <c r="N317" t="inlineStr">
        <is>
          <t>Oddział ratunkowy</t>
        </is>
      </c>
      <c r="O317" t="inlineStr">
        <is>
          <t>Jakub BATKO</t>
        </is>
      </c>
      <c r="P317" t="inlineStr">
        <is>
          <t>4455851</t>
        </is>
      </c>
      <c r="Q317" t="inlineStr">
        <is>
          <t>S09.8</t>
        </is>
      </c>
      <c r="R317" t="inlineStr">
        <is>
          <t>spbochnia</t>
        </is>
      </c>
      <c r="S317" s="1" t="n">
        <v>46168.21041666667</v>
      </c>
      <c r="T317" t="n">
        <v>0</v>
      </c>
      <c r="U317" t="inlineStr">
        <is>
          <t>BUJALSKI TOMASZ</t>
        </is>
      </c>
    </row>
    <row r="318">
      <c r="A318" s="1" t="n">
        <v>46168</v>
      </c>
      <c r="B318" t="inlineStr">
        <is>
          <t>4952/26/TK</t>
        </is>
      </c>
      <c r="C318" t="inlineStr">
        <is>
          <t>Stanisław Badura</t>
        </is>
      </c>
      <c r="D318" t="inlineStr">
        <is>
          <t>42062104937</t>
        </is>
      </c>
      <c r="E318" s="1" t="n">
        <v>46168</v>
      </c>
      <c r="F318" t="inlineStr">
        <is>
          <t>CITO-CITO</t>
        </is>
      </c>
      <c r="G318" t="inlineStr">
        <is>
          <t>TK</t>
        </is>
      </c>
      <c r="H318" t="inlineStr">
        <is>
          <t>TK kręgosłupa lędźwiowo-krzyżowego bez wzmocnienia kontrastwego</t>
        </is>
      </c>
      <c r="I318" t="inlineStr">
        <is>
          <t>TK Zwykłe</t>
        </is>
      </c>
      <c r="J318" t="inlineStr">
        <is>
          <t>1 okolica anatomiczna</t>
        </is>
      </c>
      <c r="K318" t="inlineStr">
        <is>
          <t>Tomasz Bujalski</t>
        </is>
      </c>
      <c r="L318" t="inlineStr">
        <is>
          <t> </t>
        </is>
      </c>
      <c r="M318" t="inlineStr">
        <is>
          <t>SAMODZIELNY PUBLICZNY ZAKŁAD OPIEKI ZDROWOTNEJ W BOCHNI "SZPITAL POWIATOWY" IM. BŁ. MARTY WIECKIEJ</t>
        </is>
      </c>
      <c r="N318" t="inlineStr">
        <is>
          <t>Oddział ratunkowy</t>
        </is>
      </c>
      <c r="O318" t="inlineStr">
        <is>
          <t>Ewelina KUREK</t>
        </is>
      </c>
      <c r="P318" t="inlineStr">
        <is>
          <t>2744185</t>
        </is>
      </c>
      <c r="Q318" t="inlineStr">
        <is>
          <t>M54.5</t>
        </is>
      </c>
      <c r="R318" t="inlineStr">
        <is>
          <t>spbochnia</t>
        </is>
      </c>
      <c r="S318" s="1" t="n">
        <v>46168.23194444444</v>
      </c>
      <c r="T318" t="n">
        <v>0</v>
      </c>
      <c r="U318" t="inlineStr">
        <is>
          <t>BUJALSKI TOMASZ</t>
        </is>
      </c>
    </row>
    <row r="319">
      <c r="A319" s="1" t="n">
        <v>46169</v>
      </c>
      <c r="B319" t="inlineStr">
        <is>
          <t>4994/26/TK</t>
        </is>
      </c>
      <c r="C319" t="inlineStr">
        <is>
          <t>Stanisław Maciaszek</t>
        </is>
      </c>
      <c r="D319" t="inlineStr">
        <is>
          <t>48050121933</t>
        </is>
      </c>
      <c r="E319" s="1" t="n">
        <v>46169</v>
      </c>
      <c r="F319" t="inlineStr">
        <is>
          <t>CITO-CITO</t>
        </is>
      </c>
      <c r="G319" t="inlineStr">
        <is>
          <t>TK</t>
        </is>
      </c>
      <c r="H319" t="inlineStr">
        <is>
          <t>TK klatki piersiowej bez wzmocnienia kontrastowego</t>
        </is>
      </c>
      <c r="I319" t="inlineStr">
        <is>
          <t>TK Zwykłe</t>
        </is>
      </c>
      <c r="J319" t="inlineStr">
        <is>
          <t>1 okolica anatomiczna</t>
        </is>
      </c>
      <c r="K319" t="inlineStr">
        <is>
          <t>Tomasz Bujalski</t>
        </is>
      </c>
      <c r="L319" t="inlineStr">
        <is>
          <t> </t>
        </is>
      </c>
      <c r="M319" t="inlineStr">
        <is>
          <t>SAMODZIELNY PUBLICZNY ZAKŁAD OPIEKI ZDROWOTNEJ W BOCHNI "SZPITAL POWIATOWY" IM. BŁ. MARTY WIECKIEJ</t>
        </is>
      </c>
      <c r="N319" t="inlineStr">
        <is>
          <t>Oddział ratunkowy</t>
        </is>
      </c>
      <c r="O319" t="inlineStr">
        <is>
          <t>Michał Kurek</t>
        </is>
      </c>
      <c r="P319" t="inlineStr">
        <is>
          <t>4520365</t>
        </is>
      </c>
      <c r="Q319" t="inlineStr">
        <is>
          <t>R06.0</t>
        </is>
      </c>
      <c r="R319" t="inlineStr">
        <is>
          <t>spbochnia</t>
        </is>
      </c>
      <c r="S319" s="1" t="n">
        <v>46169.61736111111</v>
      </c>
      <c r="T319" t="n">
        <v>0</v>
      </c>
      <c r="U319" t="inlineStr">
        <is>
          <t>BUJALSKI TOMASZ</t>
        </is>
      </c>
    </row>
    <row r="320">
      <c r="A320" s="1" t="n">
        <v>46171</v>
      </c>
      <c r="B320" t="inlineStr">
        <is>
          <t>5044/26/TK</t>
        </is>
      </c>
      <c r="C320" t="inlineStr">
        <is>
          <t>Aleksandra Kmiecik</t>
        </is>
      </c>
      <c r="D320" t="inlineStr">
        <is>
          <t>22221003248</t>
        </is>
      </c>
      <c r="E320" s="1" t="n">
        <v>46171</v>
      </c>
      <c r="F320" t="inlineStr">
        <is>
          <t>CITO-CITO</t>
        </is>
      </c>
      <c r="G320" t="inlineStr">
        <is>
          <t>TK</t>
        </is>
      </c>
      <c r="H320" t="inlineStr">
        <is>
          <t>Tk głowy bez wzmocnienia kontrastowego</t>
        </is>
      </c>
      <c r="I320" t="inlineStr">
        <is>
          <t>TK Zwykłe</t>
        </is>
      </c>
      <c r="J320" t="inlineStr">
        <is>
          <t>1 okolica anatomiczna</t>
        </is>
      </c>
      <c r="K320" t="inlineStr">
        <is>
          <t>Tomasz Bujalski</t>
        </is>
      </c>
      <c r="L320" t="inlineStr">
        <is>
          <t> </t>
        </is>
      </c>
      <c r="M320" t="inlineStr">
        <is>
          <t>SAMODZIELNY PUBLICZNY ZAKŁAD OPIEKI ZDROWOTNEJ W BOCHNI "SZPITAL POWIATOWY" IM. BŁ. MARTY WIECKIEJ</t>
        </is>
      </c>
      <c r="N320" t="inlineStr">
        <is>
          <t>Oddział ratunkowy</t>
        </is>
      </c>
      <c r="O320" t="inlineStr">
        <is>
          <t>KAZIMIERZ KOZIEJA</t>
        </is>
      </c>
      <c r="P320" t="inlineStr">
        <is>
          <t>1366333</t>
        </is>
      </c>
      <c r="Q320" t="inlineStr">
        <is>
          <t>R56.0</t>
        </is>
      </c>
      <c r="R320" t="inlineStr">
        <is>
          <t>spbochnia</t>
        </is>
      </c>
      <c r="S320" s="1" t="n">
        <v>46171.2</v>
      </c>
      <c r="T320" t="n">
        <v>0</v>
      </c>
      <c r="U320" t="inlineStr">
        <is>
          <t>BUJALSKI TOMASZ</t>
        </is>
      </c>
    </row>
    <row r="321">
      <c r="A321" s="1" t="n">
        <v>46172</v>
      </c>
      <c r="B321" t="inlineStr">
        <is>
          <t>5098/26/TK</t>
        </is>
      </c>
      <c r="C321" t="inlineStr">
        <is>
          <t>Renata Florek</t>
        </is>
      </c>
      <c r="D321" t="inlineStr">
        <is>
          <t>64072310902</t>
        </is>
      </c>
      <c r="E321" s="1" t="n">
        <v>46172</v>
      </c>
      <c r="F321" t="inlineStr">
        <is>
          <t>CITO-CITO</t>
        </is>
      </c>
      <c r="G321" t="inlineStr">
        <is>
          <t>TK</t>
        </is>
      </c>
      <c r="H321" t="inlineStr">
        <is>
          <t>Tk głowy bez wzmocnienia kontrastowego</t>
        </is>
      </c>
      <c r="I321" t="inlineStr">
        <is>
          <t>TK Zwykłe</t>
        </is>
      </c>
      <c r="J321" t="inlineStr">
        <is>
          <t>1 okolica anatomiczna</t>
        </is>
      </c>
      <c r="K321" t="inlineStr">
        <is>
          <t>Tomasz Bujalski</t>
        </is>
      </c>
      <c r="L321" t="inlineStr">
        <is>
          <t> </t>
        </is>
      </c>
      <c r="M321" t="inlineStr">
        <is>
          <t>SAMODZIELNY PUBLICZNY ZAKŁAD OPIEKI ZDROWOTNEJ W BOCHNI "SZPITAL POWIATOWY" IM. BŁ. MARTY WIECKIEJ</t>
        </is>
      </c>
      <c r="N321" t="inlineStr">
        <is>
          <t>Oddział ratunkowy</t>
        </is>
      </c>
      <c r="O321" t="inlineStr">
        <is>
          <t>Mateusz Dzielski</t>
        </is>
      </c>
      <c r="P321" t="inlineStr">
        <is>
          <t>4129514</t>
        </is>
      </c>
      <c r="Q321" t="inlineStr">
        <is>
          <t>I64</t>
        </is>
      </c>
      <c r="R321" t="inlineStr">
        <is>
          <t>spbochnia</t>
        </is>
      </c>
      <c r="S321" s="1" t="n">
        <v>46172.63125</v>
      </c>
      <c r="T321" t="n">
        <v>0</v>
      </c>
      <c r="U321" t="inlineStr">
        <is>
          <t>BUJALSKI TOMASZ</t>
        </is>
      </c>
    </row>
    <row r="322">
      <c r="A322" s="1" t="n">
        <v>46153</v>
      </c>
      <c r="B322" t="inlineStr">
        <is>
          <t>130477_630</t>
        </is>
      </c>
      <c r="C322" t="inlineStr">
        <is>
          <t>Barbara Krzyżostaniak</t>
        </is>
      </c>
      <c r="D322" t="n">
        <v>47102905066</v>
      </c>
      <c r="E322" s="1" t="n">
        <v>46153</v>
      </c>
      <c r="F322" t="inlineStr">
        <is>
          <t>CITO-CITO</t>
        </is>
      </c>
      <c r="G322" t="inlineStr">
        <is>
          <t>TK</t>
        </is>
      </c>
      <c r="H322" t="inlineStr">
        <is>
          <t>Tomografia Komputerowa jamy brzusznej i miednicy</t>
        </is>
      </c>
      <c r="I322" t="inlineStr">
        <is>
          <t>TK Zwykłe</t>
        </is>
      </c>
      <c r="J322" t="inlineStr">
        <is>
          <t>2 okolice anatomiczne</t>
        </is>
      </c>
      <c r="K322" t="inlineStr">
        <is>
          <t>Tomasz Bujalski</t>
        </is>
      </c>
      <c r="L322" t="inlineStr">
        <is>
          <t> </t>
        </is>
      </c>
      <c r="M322" t="inlineStr">
        <is>
          <t>SAMODZIELNY PUBLICZNY ZAKŁAD OPIEKI ZDROWOTNEJ</t>
        </is>
      </c>
      <c r="N322" t="inlineStr">
        <is>
          <t>Oddział Internistyczno - Kardiologiczny</t>
        </is>
      </c>
      <c r="O322" t="inlineStr">
        <is>
          <t>Andrzej Słodnik</t>
        </is>
      </c>
      <c r="P322" t="n">
        <v>7360120</v>
      </c>
      <c r="Q322" t="inlineStr">
        <is>
          <t>I50.9</t>
        </is>
      </c>
      <c r="R322" t="inlineStr">
        <is>
          <t>spzozgrodzisk</t>
        </is>
      </c>
      <c r="S322" s="1" t="n">
        <v>46153.28055555555</v>
      </c>
      <c r="T322" t="n">
        <v>0</v>
      </c>
      <c r="U322" t="inlineStr">
        <is>
          <t>BUJALSKI TOMASZ</t>
        </is>
      </c>
    </row>
    <row r="323">
      <c r="A323" s="1" t="n">
        <v>46154</v>
      </c>
      <c r="B323" t="inlineStr">
        <is>
          <t>130664_615</t>
        </is>
      </c>
      <c r="C323" t="inlineStr">
        <is>
          <t>Jacek Śledź</t>
        </is>
      </c>
      <c r="D323" t="n">
        <v>55071314110</v>
      </c>
      <c r="E323" s="1" t="n">
        <v>46154</v>
      </c>
      <c r="F323" t="inlineStr">
        <is>
          <t>CITO-CITO</t>
        </is>
      </c>
      <c r="G323" t="inlineStr">
        <is>
          <t>TK</t>
        </is>
      </c>
      <c r="H323" t="inlineStr">
        <is>
          <t>Tomografia Komputerowa głowy</t>
        </is>
      </c>
      <c r="I323" t="inlineStr">
        <is>
          <t>TK Onkologia</t>
        </is>
      </c>
      <c r="J323" t="inlineStr">
        <is>
          <t>1 okolica anatomiczna</t>
        </is>
      </c>
      <c r="K323" t="inlineStr">
        <is>
          <t>Tomasz Bujalski</t>
        </is>
      </c>
      <c r="L323" t="inlineStr">
        <is>
          <t> </t>
        </is>
      </c>
      <c r="M323" t="inlineStr">
        <is>
          <t>SAMODZIELNY PUBLICZNY ZAKŁAD OPIEKI ZDROWOTNEJ</t>
        </is>
      </c>
      <c r="N323" t="inlineStr">
        <is>
          <t>Oddział Internistyczno - Kardiologiczny</t>
        </is>
      </c>
      <c r="O323" t="inlineStr">
        <is>
          <t>Andrzej Słodnik</t>
        </is>
      </c>
      <c r="P323" t="n">
        <v>7360120</v>
      </c>
      <c r="Q323" t="inlineStr">
        <is>
          <t>J44.1</t>
        </is>
      </c>
      <c r="R323" t="inlineStr">
        <is>
          <t>spzozgrodzisk</t>
        </is>
      </c>
      <c r="S323" s="1" t="n">
        <v>46154.39236111111</v>
      </c>
      <c r="T323" t="n">
        <v>0</v>
      </c>
      <c r="U323" t="inlineStr">
        <is>
          <t>BUJALSKI TOMASZ</t>
        </is>
      </c>
    </row>
    <row r="324">
      <c r="A324" s="1" t="n">
        <v>46154</v>
      </c>
      <c r="B324" t="inlineStr">
        <is>
          <t>130665_631</t>
        </is>
      </c>
      <c r="C324" t="inlineStr">
        <is>
          <t>Barbara Konieczna</t>
        </is>
      </c>
      <c r="D324" t="n">
        <v>58120805663</v>
      </c>
      <c r="E324" s="1" t="n">
        <v>46154</v>
      </c>
      <c r="F324" t="inlineStr">
        <is>
          <t>Pilny</t>
        </is>
      </c>
      <c r="G324" t="inlineStr">
        <is>
          <t>TK</t>
        </is>
      </c>
      <c r="H324" t="inlineStr">
        <is>
          <t>Tomografia Komputerowa jamy brzusznej i miednicy bez i z kontrastem</t>
        </is>
      </c>
      <c r="I324" t="inlineStr">
        <is>
          <t>TK Zwykłe</t>
        </is>
      </c>
      <c r="J324" t="inlineStr">
        <is>
          <t>2 okolice anatomiczne</t>
        </is>
      </c>
      <c r="K324" t="inlineStr">
        <is>
          <t>Tomasz Bujalski</t>
        </is>
      </c>
      <c r="L324" t="inlineStr">
        <is>
          <t> </t>
        </is>
      </c>
      <c r="M324" t="inlineStr">
        <is>
          <t>SAMODZIELNY PUBLICZNY ZAKŁAD OPIEKI ZDROWOTNEJ</t>
        </is>
      </c>
      <c r="N324" t="inlineStr">
        <is>
          <t>Oddział Wieloprofilowy Zabiegowy</t>
        </is>
      </c>
      <c r="O324" t="inlineStr">
        <is>
          <t>Mykhailo Syrotenko</t>
        </is>
      </c>
      <c r="P324" t="n">
        <v>4843333</v>
      </c>
      <c r="Q324" t="inlineStr">
        <is>
          <t>R10</t>
        </is>
      </c>
      <c r="R324" t="inlineStr">
        <is>
          <t>spzozgrodzisk</t>
        </is>
      </c>
      <c r="S324" s="1" t="n">
        <v>46154.43125</v>
      </c>
      <c r="T324" t="n">
        <v>0</v>
      </c>
      <c r="U324" t="inlineStr">
        <is>
          <t>BUJALSKI TOMASZ</t>
        </is>
      </c>
    </row>
    <row r="325">
      <c r="A325" s="1" t="n">
        <v>46155</v>
      </c>
      <c r="B325" t="inlineStr">
        <is>
          <t>130730_647</t>
        </is>
      </c>
      <c r="C325" t="inlineStr">
        <is>
          <t>Lucyna Murek</t>
        </is>
      </c>
      <c r="D325" t="n">
        <v>58042013009</v>
      </c>
      <c r="E325" s="1" t="n">
        <v>46155</v>
      </c>
      <c r="F325" t="inlineStr">
        <is>
          <t>CITO-CITO</t>
        </is>
      </c>
      <c r="G325" t="inlineStr">
        <is>
          <t>TK</t>
        </is>
      </c>
      <c r="H325" t="inlineStr">
        <is>
          <t>Tomografia Komputerowa klatki piersiowej, jamy brzusznej i miednicy z kontrastem</t>
        </is>
      </c>
      <c r="I325" t="inlineStr">
        <is>
          <t>TK Zwykłe</t>
        </is>
      </c>
      <c r="J325" t="inlineStr">
        <is>
          <t>3 okolice anatomiczne</t>
        </is>
      </c>
      <c r="K325" t="inlineStr">
        <is>
          <t>Tomasz Bujalski</t>
        </is>
      </c>
      <c r="L325" t="inlineStr">
        <is>
          <t> </t>
        </is>
      </c>
      <c r="M325" t="inlineStr">
        <is>
          <t>SAMODZIELNY PUBLICZNY ZAKŁAD OPIEKI ZDROWOTNEJ</t>
        </is>
      </c>
      <c r="N325" t="inlineStr">
        <is>
          <t>Oddział Internistyczno - Kardiologiczny</t>
        </is>
      </c>
      <c r="O325" t="inlineStr">
        <is>
          <t>Andrzej Słodnik</t>
        </is>
      </c>
      <c r="P325" t="n">
        <v>7360120</v>
      </c>
      <c r="Q325" t="inlineStr">
        <is>
          <t>Z03</t>
        </is>
      </c>
      <c r="R325" t="inlineStr">
        <is>
          <t>spzozgrodzisk</t>
        </is>
      </c>
      <c r="S325" s="1" t="n">
        <v>46155.60694444444</v>
      </c>
      <c r="T325" t="n">
        <v>0</v>
      </c>
      <c r="U325" t="inlineStr">
        <is>
          <t>BUJALSKI TOMASZ</t>
        </is>
      </c>
    </row>
    <row r="326">
      <c r="A326" s="1" t="n">
        <v>46156</v>
      </c>
      <c r="B326" t="inlineStr">
        <is>
          <t>130827_615</t>
        </is>
      </c>
      <c r="C326" t="inlineStr">
        <is>
          <t>Bogumiła Kaźmierczak</t>
        </is>
      </c>
      <c r="D326" t="n">
        <v>48051212203</v>
      </c>
      <c r="E326" s="1" t="n">
        <v>46156</v>
      </c>
      <c r="F326" t="inlineStr">
        <is>
          <t>CITO-CITO</t>
        </is>
      </c>
      <c r="G326" t="inlineStr">
        <is>
          <t>TK</t>
        </is>
      </c>
      <c r="H326" t="inlineStr">
        <is>
          <t>Tomografia Komputerowa głowy</t>
        </is>
      </c>
      <c r="I326" t="inlineStr">
        <is>
          <t>TK Onkologia</t>
        </is>
      </c>
      <c r="J326" t="inlineStr">
        <is>
          <t>1 okolica anatomiczna</t>
        </is>
      </c>
      <c r="K326" t="inlineStr">
        <is>
          <t>Tomasz Bujalski</t>
        </is>
      </c>
      <c r="L326" t="inlineStr">
        <is>
          <t> </t>
        </is>
      </c>
      <c r="M326" t="inlineStr">
        <is>
          <t>SAMODZIELNY PUBLICZNY ZAKŁAD OPIEKI ZDROWOTNEJ</t>
        </is>
      </c>
      <c r="N326" t="inlineStr">
        <is>
          <t>Oddział Wieloprofilowy Zabiegowy</t>
        </is>
      </c>
      <c r="O326" t="inlineStr">
        <is>
          <t>Błażej Ciesielczyk</t>
        </is>
      </c>
      <c r="P326" t="n">
        <v>4778988</v>
      </c>
      <c r="Q326" t="inlineStr">
        <is>
          <t>S02.2</t>
        </is>
      </c>
      <c r="R326" t="inlineStr">
        <is>
          <t>spzozgrodzisk</t>
        </is>
      </c>
      <c r="S326" s="1" t="n">
        <v>46156.28611111111</v>
      </c>
      <c r="T326" t="n">
        <v>1</v>
      </c>
      <c r="U326" t="inlineStr">
        <is>
          <t>BUJALSKI TOMASZ</t>
        </is>
      </c>
    </row>
    <row r="327">
      <c r="A327" s="1" t="n">
        <v>46156</v>
      </c>
      <c r="B327" t="inlineStr">
        <is>
          <t>130833_615</t>
        </is>
      </c>
      <c r="C327" t="inlineStr">
        <is>
          <t>Lucyna Murek</t>
        </is>
      </c>
      <c r="D327" t="n">
        <v>58042013009</v>
      </c>
      <c r="E327" s="1" t="n">
        <v>46156</v>
      </c>
      <c r="F327" t="inlineStr">
        <is>
          <t>CITO-CITO</t>
        </is>
      </c>
      <c r="G327" t="inlineStr">
        <is>
          <t>TK</t>
        </is>
      </c>
      <c r="H327" t="inlineStr">
        <is>
          <t>Tomografia Komputerowa głowy</t>
        </is>
      </c>
      <c r="I327" t="inlineStr">
        <is>
          <t>TK Onkologia</t>
        </is>
      </c>
      <c r="J327" t="inlineStr">
        <is>
          <t>1 okolica anatomiczna</t>
        </is>
      </c>
      <c r="K327" t="inlineStr">
        <is>
          <t>Tomasz Bujalski</t>
        </is>
      </c>
      <c r="L327" t="inlineStr">
        <is>
          <t> </t>
        </is>
      </c>
      <c r="M327" t="inlineStr">
        <is>
          <t>SAMODZIELNY PUBLICZNY ZAKŁAD OPIEKI ZDROWOTNEJ</t>
        </is>
      </c>
      <c r="N327" t="inlineStr">
        <is>
          <t>Oddział Internistyczno - Kardiologiczny</t>
        </is>
      </c>
      <c r="O327" t="inlineStr">
        <is>
          <t>Andrzej Słodnik</t>
        </is>
      </c>
      <c r="P327" t="n">
        <v>7360120</v>
      </c>
      <c r="Q327" t="inlineStr">
        <is>
          <t>I64</t>
        </is>
      </c>
      <c r="R327" t="inlineStr">
        <is>
          <t>spzozgrodzisk</t>
        </is>
      </c>
      <c r="S327" s="1" t="n">
        <v>46156.31041666667</v>
      </c>
      <c r="T327" t="n">
        <v>1</v>
      </c>
      <c r="U327" t="inlineStr">
        <is>
          <t>BUJALSKI TOMASZ</t>
        </is>
      </c>
    </row>
    <row r="328">
      <c r="A328" s="1" t="n">
        <v>46157</v>
      </c>
      <c r="B328" t="inlineStr">
        <is>
          <t>130914_631</t>
        </is>
      </c>
      <c r="C328" t="inlineStr">
        <is>
          <t>Krystyna Gmerek</t>
        </is>
      </c>
      <c r="D328" t="n">
        <v>58070408943</v>
      </c>
      <c r="E328" s="1" t="n">
        <v>46157</v>
      </c>
      <c r="F328" t="inlineStr">
        <is>
          <t>CITO-CITO</t>
        </is>
      </c>
      <c r="G328" t="inlineStr">
        <is>
          <t>TK</t>
        </is>
      </c>
      <c r="H328" t="inlineStr">
        <is>
          <t>Tomografia Komputerowa jamy brzusznej i miednicy bez i z kontrastem</t>
        </is>
      </c>
      <c r="I328" t="inlineStr">
        <is>
          <t>TK Zwykłe</t>
        </is>
      </c>
      <c r="J328" t="inlineStr">
        <is>
          <t>2 okolice anatomiczne</t>
        </is>
      </c>
      <c r="K328" t="inlineStr">
        <is>
          <t>Tomasz Bujalski</t>
        </is>
      </c>
      <c r="L328" t="inlineStr">
        <is>
          <t> </t>
        </is>
      </c>
      <c r="M328" t="inlineStr">
        <is>
          <t>SAMODZIELNY PUBLICZNY ZAKŁAD OPIEKI ZDROWOTNEJ</t>
        </is>
      </c>
      <c r="N328" t="inlineStr">
        <is>
          <t>Oddział Internistyczno - Kardiologiczny</t>
        </is>
      </c>
      <c r="O328" t="inlineStr">
        <is>
          <t>Andrzej Słodnik</t>
        </is>
      </c>
      <c r="P328" t="n">
        <v>7360120</v>
      </c>
      <c r="Q328" t="inlineStr">
        <is>
          <t>Z03</t>
        </is>
      </c>
      <c r="R328" t="inlineStr">
        <is>
          <t>spzozgrodzisk</t>
        </is>
      </c>
      <c r="S328" s="1" t="n">
        <v>46157.34861111111</v>
      </c>
      <c r="T328" t="n">
        <v>0</v>
      </c>
      <c r="U328" t="inlineStr">
        <is>
          <t>BUJALSKI TOMASZ</t>
        </is>
      </c>
    </row>
    <row r="329">
      <c r="A329" s="1" t="n">
        <v>46161</v>
      </c>
      <c r="B329" t="inlineStr">
        <is>
          <t>131140_631</t>
        </is>
      </c>
      <c r="C329" t="inlineStr">
        <is>
          <t>Bronisław Kocki</t>
        </is>
      </c>
      <c r="D329" t="n">
        <v>49080907359</v>
      </c>
      <c r="E329" s="1" t="n">
        <v>46161</v>
      </c>
      <c r="F329" t="inlineStr">
        <is>
          <t>CITO-CITO</t>
        </is>
      </c>
      <c r="G329" t="inlineStr">
        <is>
          <t>TK</t>
        </is>
      </c>
      <c r="H329" t="inlineStr">
        <is>
          <t>Tomografia Komputerowa jamy brzusznej i miednicy bez i z kontrastem</t>
        </is>
      </c>
      <c r="I329" t="inlineStr">
        <is>
          <t>TK Onkologia</t>
        </is>
      </c>
      <c r="J329" t="inlineStr">
        <is>
          <t>2 okolice anatomiczne</t>
        </is>
      </c>
      <c r="K329" t="inlineStr">
        <is>
          <t>Tomasz Bujalski</t>
        </is>
      </c>
      <c r="L329" t="inlineStr">
        <is>
          <t> </t>
        </is>
      </c>
      <c r="M329" t="inlineStr">
        <is>
          <t>SAMODZIELNY PUBLICZNY ZAKŁAD OPIEKI ZDROWOTNEJ</t>
        </is>
      </c>
      <c r="N329" t="inlineStr">
        <is>
          <t>Oddział Wieloprofilowy Zabiegowy</t>
        </is>
      </c>
      <c r="O329" t="inlineStr">
        <is>
          <t>Marek Podgórny</t>
        </is>
      </c>
      <c r="P329" t="n">
        <v>5477914</v>
      </c>
      <c r="Q329" t="inlineStr">
        <is>
          <t>Z03</t>
        </is>
      </c>
      <c r="R329" t="inlineStr">
        <is>
          <t>spzozgrodzisk</t>
        </is>
      </c>
      <c r="S329" s="1" t="n">
        <v>46161.41527777778</v>
      </c>
      <c r="T329" t="n">
        <v>0</v>
      </c>
      <c r="U329" t="inlineStr">
        <is>
          <t>BUJALSKI TOMASZ</t>
        </is>
      </c>
    </row>
    <row r="330">
      <c r="A330" s="1" t="n">
        <v>46161</v>
      </c>
      <c r="B330" t="inlineStr">
        <is>
          <t>131141_631</t>
        </is>
      </c>
      <c r="C330" t="inlineStr">
        <is>
          <t>Ryszard Brudnicki</t>
        </is>
      </c>
      <c r="D330" t="n">
        <v>49070303192</v>
      </c>
      <c r="E330" s="1" t="n">
        <v>46161</v>
      </c>
      <c r="F330" t="inlineStr">
        <is>
          <t>CITO-CITO</t>
        </is>
      </c>
      <c r="G330" t="inlineStr">
        <is>
          <t>TK</t>
        </is>
      </c>
      <c r="H330" t="inlineStr">
        <is>
          <t>Tomografia Komputerowa jamy brzusznej i miednicy bez i z kontrastem</t>
        </is>
      </c>
      <c r="I330" t="inlineStr">
        <is>
          <t>TK Onkologia</t>
        </is>
      </c>
      <c r="J330" t="inlineStr">
        <is>
          <t>2 okolice anatomiczne</t>
        </is>
      </c>
      <c r="K330" t="inlineStr">
        <is>
          <t>Tomasz Bujalski</t>
        </is>
      </c>
      <c r="L330" t="inlineStr">
        <is>
          <t> </t>
        </is>
      </c>
      <c r="M330" t="inlineStr">
        <is>
          <t>SAMODZIELNY PUBLICZNY ZAKŁAD OPIEKI ZDROWOTNEJ</t>
        </is>
      </c>
      <c r="N330" t="inlineStr">
        <is>
          <t>Oddział Wieloprofilowy Zabiegowy</t>
        </is>
      </c>
      <c r="O330" t="inlineStr">
        <is>
          <t>Marek Podgórny</t>
        </is>
      </c>
      <c r="P330" t="n">
        <v>5477914</v>
      </c>
      <c r="Q330" t="inlineStr">
        <is>
          <t>Z03</t>
        </is>
      </c>
      <c r="R330" t="inlineStr">
        <is>
          <t>spzozgrodzisk</t>
        </is>
      </c>
      <c r="S330" s="1" t="n">
        <v>46161.42222222222</v>
      </c>
      <c r="T330" t="n">
        <v>0</v>
      </c>
      <c r="U330" t="inlineStr">
        <is>
          <t>BUJALSKI TOMASZ</t>
        </is>
      </c>
    </row>
    <row r="331">
      <c r="A331" s="1" t="n">
        <v>46163</v>
      </c>
      <c r="B331" t="inlineStr">
        <is>
          <t>130717_645</t>
        </is>
      </c>
      <c r="C331" t="inlineStr">
        <is>
          <t>Wiesława Prokocka</t>
        </is>
      </c>
      <c r="D331" t="n">
        <v>56061900760</v>
      </c>
      <c r="E331" s="1" t="n">
        <v>46155</v>
      </c>
      <c r="F331" t="inlineStr">
        <is>
          <t>Pilny</t>
        </is>
      </c>
      <c r="G331" t="inlineStr">
        <is>
          <t>TK</t>
        </is>
      </c>
      <c r="H331" t="inlineStr">
        <is>
          <t>Tomografia Komputerowa kończyny dolnej bez i z kontrastem</t>
        </is>
      </c>
      <c r="I331" t="inlineStr">
        <is>
          <t>TK Onkologia</t>
        </is>
      </c>
      <c r="J331" t="inlineStr">
        <is>
          <t>1 okolica anatomiczna</t>
        </is>
      </c>
      <c r="K331" t="inlineStr">
        <is>
          <t>Tomasz Bujalski</t>
        </is>
      </c>
      <c r="L331" t="inlineStr">
        <is>
          <t> </t>
        </is>
      </c>
      <c r="M331" t="inlineStr">
        <is>
          <t>SAMODZIELNY PUBLICZNY ZAKŁAD OPIEKI ZDROWOTNEJ</t>
        </is>
      </c>
      <c r="N331" t="inlineStr">
        <is>
          <t>Oddział Internistyczno - Kardiologiczny</t>
        </is>
      </c>
      <c r="O331" t="inlineStr">
        <is>
          <t>Andrzej Słodnik</t>
        </is>
      </c>
      <c r="P331" t="n">
        <v>7360120</v>
      </c>
      <c r="Q331" t="inlineStr">
        <is>
          <t>Z03</t>
        </is>
      </c>
      <c r="R331" t="inlineStr">
        <is>
          <t>spzozgrodzisk</t>
        </is>
      </c>
      <c r="S331" s="1" t="n">
        <v>46162.33125</v>
      </c>
      <c r="T331" t="n">
        <v>0</v>
      </c>
      <c r="U331" t="inlineStr">
        <is>
          <t>BUJALSKI TOMASZ</t>
        </is>
      </c>
    </row>
    <row r="332">
      <c r="A332" s="1" t="n">
        <v>46163</v>
      </c>
      <c r="B332" t="inlineStr">
        <is>
          <t>131310_631</t>
        </is>
      </c>
      <c r="C332" t="inlineStr">
        <is>
          <t>Tomasz Lisecki</t>
        </is>
      </c>
      <c r="D332" t="n">
        <v>77092909735</v>
      </c>
      <c r="E332" s="1" t="n">
        <v>46163</v>
      </c>
      <c r="F332" t="inlineStr">
        <is>
          <t>CITO-CITO</t>
        </is>
      </c>
      <c r="G332" t="inlineStr">
        <is>
          <t>TK</t>
        </is>
      </c>
      <c r="H332" t="inlineStr">
        <is>
          <t>Tomografia Komputerowa jamy brzusznej i miednicy bez i z kontrastem</t>
        </is>
      </c>
      <c r="I332" t="inlineStr">
        <is>
          <t>TK Zwykłe</t>
        </is>
      </c>
      <c r="J332" t="inlineStr">
        <is>
          <t>2 okolice anatomiczne</t>
        </is>
      </c>
      <c r="K332" t="inlineStr">
        <is>
          <t>Tomasz Bujalski</t>
        </is>
      </c>
      <c r="L332" t="inlineStr">
        <is>
          <t> </t>
        </is>
      </c>
      <c r="M332" t="inlineStr">
        <is>
          <t>SAMODZIELNY PUBLICZNY ZAKŁAD OPIEKI ZDROWOTNEJ</t>
        </is>
      </c>
      <c r="N332" t="inlineStr">
        <is>
          <t>Oddział Wieloprofilowy Zabiegowy</t>
        </is>
      </c>
      <c r="O332" t="inlineStr">
        <is>
          <t>Błażej Ciesielczyk</t>
        </is>
      </c>
      <c r="P332" t="n">
        <v>4778988</v>
      </c>
      <c r="Q332" t="inlineStr">
        <is>
          <t>K85</t>
        </is>
      </c>
      <c r="R332" t="inlineStr">
        <is>
          <t>spzozgrodzisk</t>
        </is>
      </c>
      <c r="S332" s="1" t="n">
        <v>46163.40625</v>
      </c>
      <c r="T332" t="n">
        <v>2</v>
      </c>
      <c r="U332" t="inlineStr">
        <is>
          <t>BUJALSKI TOMASZ</t>
        </is>
      </c>
    </row>
    <row r="333">
      <c r="A333" s="1" t="n">
        <v>46163</v>
      </c>
      <c r="B333" t="inlineStr">
        <is>
          <t>131315_631</t>
        </is>
      </c>
      <c r="C333" t="inlineStr">
        <is>
          <t>Zofia Apolinarska</t>
        </is>
      </c>
      <c r="D333" t="n">
        <v>38021900205</v>
      </c>
      <c r="E333" s="1" t="n">
        <v>46163</v>
      </c>
      <c r="F333" t="inlineStr">
        <is>
          <t>CITO-CITO</t>
        </is>
      </c>
      <c r="G333" t="inlineStr">
        <is>
          <t>TK</t>
        </is>
      </c>
      <c r="H333" t="inlineStr">
        <is>
          <t>Tomografia Komputerowa jamy brzusznej i miednicy bez i z kontrastem</t>
        </is>
      </c>
      <c r="I333" t="inlineStr">
        <is>
          <t>TK Zwykłe</t>
        </is>
      </c>
      <c r="J333" t="inlineStr">
        <is>
          <t>2 okolice anatomiczne</t>
        </is>
      </c>
      <c r="K333" t="inlineStr">
        <is>
          <t>Tomasz Bujalski</t>
        </is>
      </c>
      <c r="L333" t="inlineStr">
        <is>
          <t> </t>
        </is>
      </c>
      <c r="M333" t="inlineStr">
        <is>
          <t>SAMODZIELNY PUBLICZNY ZAKŁAD OPIEKI ZDROWOTNEJ</t>
        </is>
      </c>
      <c r="N333" t="inlineStr">
        <is>
          <t>Oddział Internistyczno - Kardiologiczny</t>
        </is>
      </c>
      <c r="O333" t="inlineStr">
        <is>
          <t>Andrzej Słodnik</t>
        </is>
      </c>
      <c r="P333" t="n">
        <v>7360120</v>
      </c>
      <c r="Q333" t="inlineStr">
        <is>
          <t>I50.9</t>
        </is>
      </c>
      <c r="R333" t="inlineStr">
        <is>
          <t>spzozgrodzisk</t>
        </is>
      </c>
      <c r="S333" s="1" t="n">
        <v>46163.35625</v>
      </c>
      <c r="T333" t="n">
        <v>2</v>
      </c>
      <c r="U333" t="inlineStr">
        <is>
          <t>BUJALSKI TOMASZ</t>
        </is>
      </c>
    </row>
    <row r="334">
      <c r="A334" s="1" t="n">
        <v>46163</v>
      </c>
      <c r="B334" t="inlineStr">
        <is>
          <t>131411_631</t>
        </is>
      </c>
      <c r="C334" t="inlineStr">
        <is>
          <t>Andrea Agamez Benavides</t>
        </is>
      </c>
      <c r="D334" t="n">
        <v>4242014768</v>
      </c>
      <c r="E334" s="1" t="n">
        <v>46163</v>
      </c>
      <c r="F334" t="inlineStr">
        <is>
          <t>CITO-CITO</t>
        </is>
      </c>
      <c r="G334" t="inlineStr">
        <is>
          <t>TK</t>
        </is>
      </c>
      <c r="H334" t="inlineStr">
        <is>
          <t>Tomografia Komputerowa jamy brzusznej i miednicy bez i z kontrastem</t>
        </is>
      </c>
      <c r="I334" t="inlineStr">
        <is>
          <t>TK Zwykłe</t>
        </is>
      </c>
      <c r="J334" t="inlineStr">
        <is>
          <t>2 okolice anatomiczne</t>
        </is>
      </c>
      <c r="K334" t="inlineStr">
        <is>
          <t>Tomasz Bujalski</t>
        </is>
      </c>
      <c r="L334" t="inlineStr">
        <is>
          <t> </t>
        </is>
      </c>
      <c r="M334" t="inlineStr">
        <is>
          <t>SAMODZIELNY PUBLICZNY ZAKŁAD OPIEKI ZDROWOTNEJ</t>
        </is>
      </c>
      <c r="N334" t="inlineStr">
        <is>
          <t>Oddział Wieloprofilowy Zabiegowy</t>
        </is>
      </c>
      <c r="O334" t="inlineStr">
        <is>
          <t>Błażej Ciesielczyk</t>
        </is>
      </c>
      <c r="P334" t="n">
        <v>4778988</v>
      </c>
      <c r="Q334" t="inlineStr">
        <is>
          <t>K85</t>
        </is>
      </c>
      <c r="R334" t="inlineStr">
        <is>
          <t>spzozgrodzisk</t>
        </is>
      </c>
      <c r="S334" s="1" t="n">
        <v>46163.42222222222</v>
      </c>
      <c r="T334" t="n">
        <v>0</v>
      </c>
      <c r="U334" t="inlineStr">
        <is>
          <t>BUJALSKI TOMASZ</t>
        </is>
      </c>
    </row>
    <row r="335">
      <c r="A335" s="1" t="n">
        <v>46164</v>
      </c>
      <c r="B335" t="inlineStr">
        <is>
          <t>131525_615</t>
        </is>
      </c>
      <c r="C335" t="inlineStr">
        <is>
          <t>Benigna Walkowiak</t>
        </is>
      </c>
      <c r="D335" t="n">
        <v>39072604346</v>
      </c>
      <c r="E335" s="1" t="n">
        <v>46164</v>
      </c>
      <c r="F335" t="inlineStr">
        <is>
          <t>CITO-CITO</t>
        </is>
      </c>
      <c r="G335" t="inlineStr">
        <is>
          <t>TK</t>
        </is>
      </c>
      <c r="H335" t="inlineStr">
        <is>
          <t>Tomografia Komputerowa głowy</t>
        </is>
      </c>
      <c r="I335" t="inlineStr">
        <is>
          <t>TK Onkologia</t>
        </is>
      </c>
      <c r="J335" t="inlineStr">
        <is>
          <t>1 okolica anatomiczna</t>
        </is>
      </c>
      <c r="K335" t="inlineStr">
        <is>
          <t>Tomasz Bujalski</t>
        </is>
      </c>
      <c r="L335" t="inlineStr">
        <is>
          <t> </t>
        </is>
      </c>
      <c r="M335" t="inlineStr">
        <is>
          <t>SAMODZIELNY PUBLICZNY ZAKŁAD OPIEKI ZDROWOTNEJ</t>
        </is>
      </c>
      <c r="N335" t="inlineStr">
        <is>
          <t>Oddział Internistyczno - Kardiologiczny</t>
        </is>
      </c>
      <c r="O335" t="inlineStr">
        <is>
          <t>Andrzej Słodnik</t>
        </is>
      </c>
      <c r="P335" t="n">
        <v>7360120</v>
      </c>
      <c r="Q335" t="inlineStr">
        <is>
          <t>I64</t>
        </is>
      </c>
      <c r="R335" t="inlineStr">
        <is>
          <t>spzozgrodzisk</t>
        </is>
      </c>
      <c r="S335" s="1" t="n">
        <v>46164.32777777778</v>
      </c>
      <c r="T335" t="n">
        <v>1</v>
      </c>
      <c r="U335" t="inlineStr">
        <is>
          <t>BUJALSKI TOMASZ</t>
        </is>
      </c>
    </row>
    <row r="336">
      <c r="A336" s="1" t="n">
        <v>46167</v>
      </c>
      <c r="B336" t="inlineStr">
        <is>
          <t>131569_630</t>
        </is>
      </c>
      <c r="C336" t="inlineStr">
        <is>
          <t>Jan Kruk</t>
        </is>
      </c>
      <c r="D336" t="n">
        <v>54082909315</v>
      </c>
      <c r="E336" s="1" t="n">
        <v>46167</v>
      </c>
      <c r="F336" t="inlineStr">
        <is>
          <t>CITO-CITO</t>
        </is>
      </c>
      <c r="G336" t="inlineStr">
        <is>
          <t>TK</t>
        </is>
      </c>
      <c r="H336" t="inlineStr">
        <is>
          <t>Tomografia Komputerowa jamy brzusznej i miednicy</t>
        </is>
      </c>
      <c r="I336" t="inlineStr">
        <is>
          <t>TK Zwykłe</t>
        </is>
      </c>
      <c r="J336" t="inlineStr">
        <is>
          <t>2 okolice anatomiczne</t>
        </is>
      </c>
      <c r="K336" t="inlineStr">
        <is>
          <t>Tomasz Bujalski</t>
        </is>
      </c>
      <c r="L336" t="inlineStr">
        <is>
          <t> </t>
        </is>
      </c>
      <c r="M336" t="inlineStr">
        <is>
          <t>SAMODZIELNY PUBLICZNY ZAKŁAD OPIEKI ZDROWOTNEJ</t>
        </is>
      </c>
      <c r="N336" t="inlineStr">
        <is>
          <t>Oddział Internistyczno - Kardiologiczny</t>
        </is>
      </c>
      <c r="O336" t="inlineStr">
        <is>
          <t>Andrzej Słodnik</t>
        </is>
      </c>
      <c r="P336" t="n">
        <v>7360120</v>
      </c>
      <c r="Q336" t="inlineStr">
        <is>
          <t>K56</t>
        </is>
      </c>
      <c r="R336" t="inlineStr">
        <is>
          <t>spzozgrodzisk</t>
        </is>
      </c>
      <c r="S336" s="1" t="n">
        <v>46167.28055555555</v>
      </c>
      <c r="T336" t="n">
        <v>2</v>
      </c>
      <c r="U336" t="inlineStr">
        <is>
          <t>BUJALSKI TOMASZ</t>
        </is>
      </c>
    </row>
    <row r="337">
      <c r="A337" s="1" t="n">
        <v>46168</v>
      </c>
      <c r="B337" t="inlineStr">
        <is>
          <t>131628_615</t>
        </is>
      </c>
      <c r="C337" t="inlineStr">
        <is>
          <t>Łukasz Adamczak</t>
        </is>
      </c>
      <c r="D337" t="n">
        <v>93010206010</v>
      </c>
      <c r="E337" s="1" t="n">
        <v>46168</v>
      </c>
      <c r="F337" t="inlineStr">
        <is>
          <t>CITO-CITO</t>
        </is>
      </c>
      <c r="G337" t="inlineStr">
        <is>
          <t>TK</t>
        </is>
      </c>
      <c r="H337" t="inlineStr">
        <is>
          <t>Tomografia Komputerowa głowy</t>
        </is>
      </c>
      <c r="I337" t="inlineStr">
        <is>
          <t>TK Onkologia</t>
        </is>
      </c>
      <c r="J337" t="inlineStr">
        <is>
          <t>2 okolice anatomiczne</t>
        </is>
      </c>
      <c r="K337" t="inlineStr">
        <is>
          <t>Tomasz Bujalski</t>
        </is>
      </c>
      <c r="L337" t="inlineStr">
        <is>
          <t> </t>
        </is>
      </c>
      <c r="M337" t="inlineStr">
        <is>
          <t>SAMODZIELNY PUBLICZNY ZAKŁAD OPIEKI ZDROWOTNEJ</t>
        </is>
      </c>
      <c r="N337" t="inlineStr">
        <is>
          <t>Oddział Wieloprofilowy Zabiegowy</t>
        </is>
      </c>
      <c r="O337" t="inlineStr">
        <is>
          <t>Mykhailo Syrotenko</t>
        </is>
      </c>
      <c r="P337" t="n">
        <v>4843333</v>
      </c>
      <c r="Q337" t="inlineStr">
        <is>
          <t>S20</t>
        </is>
      </c>
      <c r="R337" t="inlineStr">
        <is>
          <t>spzozgrodzisk</t>
        </is>
      </c>
      <c r="S337" s="1" t="n">
        <v>46168.30555555555</v>
      </c>
      <c r="T337" t="n">
        <v>0</v>
      </c>
      <c r="U337" t="inlineStr">
        <is>
          <t>BUJALSKI TOMASZ</t>
        </is>
      </c>
    </row>
    <row r="338">
      <c r="A338" s="1" t="n">
        <v>46168</v>
      </c>
      <c r="B338" t="inlineStr">
        <is>
          <t>131628_642</t>
        </is>
      </c>
      <c r="C338" t="inlineStr">
        <is>
          <t>Łukasz Adamczak</t>
        </is>
      </c>
      <c r="D338" t="n">
        <v>93010206010</v>
      </c>
      <c r="E338" s="1" t="n">
        <v>46168</v>
      </c>
      <c r="F338" t="inlineStr">
        <is>
          <t>CITO-CITO</t>
        </is>
      </c>
      <c r="G338" t="inlineStr">
        <is>
          <t>TK</t>
        </is>
      </c>
      <c r="H338" t="inlineStr">
        <is>
          <t>Tomografia Komputerowa klatki piersiowej, jamy brzusznej i miednicy</t>
        </is>
      </c>
      <c r="I338" t="inlineStr">
        <is>
          <t>TK Zwykłe</t>
        </is>
      </c>
      <c r="J338" t="inlineStr">
        <is>
          <t>3 okolice anatomiczne</t>
        </is>
      </c>
      <c r="K338" t="inlineStr">
        <is>
          <t>Tomasz Bujalski</t>
        </is>
      </c>
      <c r="L338" t="inlineStr">
        <is>
          <t> </t>
        </is>
      </c>
      <c r="M338" t="inlineStr">
        <is>
          <t>SAMODZIELNY PUBLICZNY ZAKŁAD OPIEKI ZDROWOTNEJ</t>
        </is>
      </c>
      <c r="N338" t="inlineStr">
        <is>
          <t>Oddział Wieloprofilowy Zabiegowy</t>
        </is>
      </c>
      <c r="O338" t="inlineStr">
        <is>
          <t>Mykhailo Syrotenko</t>
        </is>
      </c>
      <c r="P338" t="n">
        <v>4843333</v>
      </c>
      <c r="Q338" t="inlineStr">
        <is>
          <t>S20</t>
        </is>
      </c>
      <c r="R338" t="inlineStr">
        <is>
          <t>spzozgrodzisk</t>
        </is>
      </c>
      <c r="S338" s="1" t="n">
        <v>46168.30555555555</v>
      </c>
      <c r="T338" t="n">
        <v>0</v>
      </c>
      <c r="U338" t="inlineStr">
        <is>
          <t>BUJALSKI TOMASZ</t>
        </is>
      </c>
    </row>
    <row r="339">
      <c r="A339" s="1" t="n">
        <v>46168</v>
      </c>
      <c r="B339" t="inlineStr">
        <is>
          <t>131628_661</t>
        </is>
      </c>
      <c r="C339" t="inlineStr">
        <is>
          <t>Łukasz Adamczak</t>
        </is>
      </c>
      <c r="D339" t="n">
        <v>93010206010</v>
      </c>
      <c r="E339" s="1" t="n">
        <v>46168</v>
      </c>
      <c r="F339" t="inlineStr">
        <is>
          <t>CITO-CITO</t>
        </is>
      </c>
      <c r="G339" t="inlineStr">
        <is>
          <t>TK</t>
        </is>
      </c>
      <c r="H339" t="inlineStr">
        <is>
          <t>Tomografia Komputerowa kręgosłupa szyjnego</t>
        </is>
      </c>
      <c r="I339" t="inlineStr">
        <is>
          <t>TK Zwykłe</t>
        </is>
      </c>
      <c r="J339" t="inlineStr">
        <is>
          <t>1 okolica anatomiczna</t>
        </is>
      </c>
      <c r="K339" t="inlineStr">
        <is>
          <t>Tomasz Bujalski</t>
        </is>
      </c>
      <c r="L339" t="inlineStr">
        <is>
          <t> </t>
        </is>
      </c>
      <c r="M339" t="inlineStr">
        <is>
          <t>SAMODZIELNY PUBLICZNY ZAKŁAD OPIEKI ZDROWOTNEJ</t>
        </is>
      </c>
      <c r="N339" t="inlineStr">
        <is>
          <t>Oddział Wieloprofilowy Zabiegowy</t>
        </is>
      </c>
      <c r="O339" t="inlineStr">
        <is>
          <t>Mykhailo Syrotenko</t>
        </is>
      </c>
      <c r="P339" t="n">
        <v>4843333</v>
      </c>
      <c r="Q339" t="inlineStr">
        <is>
          <t>S20</t>
        </is>
      </c>
      <c r="R339" t="inlineStr">
        <is>
          <t>spzozgrodzisk</t>
        </is>
      </c>
      <c r="S339" s="1" t="n">
        <v>46168.30555555555</v>
      </c>
      <c r="T339" t="n">
        <v>0</v>
      </c>
      <c r="U339" t="inlineStr">
        <is>
          <t>BUJALSKI TOMASZ</t>
        </is>
      </c>
    </row>
    <row r="340">
      <c r="A340" s="1" t="n">
        <v>46168</v>
      </c>
      <c r="B340" t="inlineStr">
        <is>
          <t>131630_647</t>
        </is>
      </c>
      <c r="C340" t="inlineStr">
        <is>
          <t>Andrzej Juskowiak</t>
        </is>
      </c>
      <c r="D340" t="n">
        <v>48111610376</v>
      </c>
      <c r="E340" s="1" t="n">
        <v>46168</v>
      </c>
      <c r="F340" t="inlineStr">
        <is>
          <t>Pilny</t>
        </is>
      </c>
      <c r="G340" t="inlineStr">
        <is>
          <t>TK</t>
        </is>
      </c>
      <c r="H340" t="inlineStr">
        <is>
          <t>Tomografia Komputerowa klatki piersiowej, jamy brzusznej i miednicy z kontrastem</t>
        </is>
      </c>
      <c r="I340" t="inlineStr">
        <is>
          <t>TK Onkologia</t>
        </is>
      </c>
      <c r="J340" t="inlineStr">
        <is>
          <t>3 okolice anatomiczne</t>
        </is>
      </c>
      <c r="K340" t="inlineStr">
        <is>
          <t>Tomasz Bujalski</t>
        </is>
      </c>
      <c r="L340" t="inlineStr">
        <is>
          <t> </t>
        </is>
      </c>
      <c r="M340" t="inlineStr">
        <is>
          <t>SAMODZIELNY PUBLICZNY ZAKŁAD OPIEKI ZDROWOTNEJ</t>
        </is>
      </c>
      <c r="N340" t="inlineStr">
        <is>
          <t>Oddział Wieloprofilowy Zabiegowy</t>
        </is>
      </c>
      <c r="O340" t="inlineStr">
        <is>
          <t>Marek Podgórny</t>
        </is>
      </c>
      <c r="P340" t="n">
        <v>5477914</v>
      </c>
      <c r="Q340" t="inlineStr">
        <is>
          <t>R10</t>
        </is>
      </c>
      <c r="R340" t="inlineStr">
        <is>
          <t>spzozgrodzisk</t>
        </is>
      </c>
      <c r="S340" s="1" t="n">
        <v>46168.375</v>
      </c>
      <c r="T340" t="n">
        <v>0</v>
      </c>
      <c r="U340" t="inlineStr">
        <is>
          <t>BUJALSKI TOMASZ</t>
        </is>
      </c>
    </row>
    <row r="341">
      <c r="A341" s="1" t="n">
        <v>46168</v>
      </c>
      <c r="B341" t="inlineStr">
        <is>
          <t>131710_631</t>
        </is>
      </c>
      <c r="C341" t="inlineStr">
        <is>
          <t>Krystian Kukurenda</t>
        </is>
      </c>
      <c r="D341" t="n">
        <v>89012406015</v>
      </c>
      <c r="E341" s="1" t="n">
        <v>46168</v>
      </c>
      <c r="F341" t="inlineStr">
        <is>
          <t>CITO-CITO</t>
        </is>
      </c>
      <c r="G341" t="inlineStr">
        <is>
          <t>TK</t>
        </is>
      </c>
      <c r="H341" t="inlineStr">
        <is>
          <t>Tomografia Komputerowa jamy brzusznej i miednicy bez i z kontrastem</t>
        </is>
      </c>
      <c r="I341" t="inlineStr">
        <is>
          <t>TK Zwykłe</t>
        </is>
      </c>
      <c r="J341" t="inlineStr">
        <is>
          <t>2 okolice anatomiczne</t>
        </is>
      </c>
      <c r="K341" t="inlineStr">
        <is>
          <t>Tomasz Bujalski</t>
        </is>
      </c>
      <c r="L341" t="inlineStr">
        <is>
          <t> </t>
        </is>
      </c>
      <c r="M341" t="inlineStr">
        <is>
          <t>SAMODZIELNY PUBLICZNY ZAKŁAD OPIEKI ZDROWOTNEJ</t>
        </is>
      </c>
      <c r="N341" t="inlineStr">
        <is>
          <t>Oddział Wieloprofilowy Zabiegowy</t>
        </is>
      </c>
      <c r="O341" t="inlineStr">
        <is>
          <t>Krzysztof Lewandowski</t>
        </is>
      </c>
      <c r="P341" t="n">
        <v>5774135</v>
      </c>
      <c r="Q341" t="inlineStr">
        <is>
          <t>K85</t>
        </is>
      </c>
      <c r="R341" t="inlineStr">
        <is>
          <t>spzozgrodzisk</t>
        </is>
      </c>
      <c r="S341" s="1" t="n">
        <v>46168.40972222222</v>
      </c>
      <c r="T341" t="n">
        <v>0</v>
      </c>
      <c r="U341" t="inlineStr">
        <is>
          <t>BUJALSKI TOMASZ</t>
        </is>
      </c>
    </row>
    <row r="342">
      <c r="A342" s="1" t="n">
        <v>46171</v>
      </c>
      <c r="B342" t="inlineStr">
        <is>
          <t>132108_631</t>
        </is>
      </c>
      <c r="C342" t="inlineStr">
        <is>
          <t>Henryka Małyszka</t>
        </is>
      </c>
      <c r="D342" t="n">
        <v>45122107268</v>
      </c>
      <c r="E342" s="1" t="n">
        <v>46171</v>
      </c>
      <c r="F342" t="inlineStr">
        <is>
          <t>CITO-CITO</t>
        </is>
      </c>
      <c r="G342" t="inlineStr">
        <is>
          <t>TK</t>
        </is>
      </c>
      <c r="H342" t="inlineStr">
        <is>
          <t>Tomografia Komputerowa jamy brzusznej i miednicy bez i z kontrastem</t>
        </is>
      </c>
      <c r="I342" t="inlineStr">
        <is>
          <t>TK Zwykłe</t>
        </is>
      </c>
      <c r="J342" t="inlineStr">
        <is>
          <t>2 okolice anatomiczne</t>
        </is>
      </c>
      <c r="K342" t="inlineStr">
        <is>
          <t>Tomasz Bujalski</t>
        </is>
      </c>
      <c r="L342" t="inlineStr">
        <is>
          <t> </t>
        </is>
      </c>
      <c r="M342" t="inlineStr">
        <is>
          <t>SAMODZIELNY PUBLICZNY ZAKŁAD OPIEKI ZDROWOTNEJ</t>
        </is>
      </c>
      <c r="N342" t="inlineStr">
        <is>
          <t>Oddział Wieloprofilowy Zabiegowy</t>
        </is>
      </c>
      <c r="O342" t="inlineStr">
        <is>
          <t>Błażej Ciesielczyk</t>
        </is>
      </c>
      <c r="P342" t="n">
        <v>4778988</v>
      </c>
      <c r="Q342" t="inlineStr">
        <is>
          <t>Z03</t>
        </is>
      </c>
      <c r="R342" t="inlineStr">
        <is>
          <t>spzozgrodzisk</t>
        </is>
      </c>
      <c r="S342" s="1" t="n">
        <v>46171.35555555556</v>
      </c>
      <c r="T342" t="n">
        <v>0</v>
      </c>
      <c r="U342" t="inlineStr">
        <is>
          <t>BUJALSKI TOMASZ</t>
        </is>
      </c>
    </row>
    <row r="343">
      <c r="A343" s="1" t="n">
        <v>46151</v>
      </c>
      <c r="B343" t="inlineStr">
        <is>
          <t>2630/TK/26</t>
        </is>
      </c>
      <c r="C343" t="inlineStr">
        <is>
          <t>Jerzy Skweres</t>
        </is>
      </c>
      <c r="D343" t="n">
        <v>78052418216</v>
      </c>
      <c r="E343" s="1" t="n">
        <v>46151</v>
      </c>
      <c r="F343" t="inlineStr">
        <is>
          <t>CITO-CITO</t>
        </is>
      </c>
      <c r="G343" t="inlineStr">
        <is>
          <t>TK</t>
        </is>
      </c>
      <c r="H343" t="inlineStr">
        <is>
          <t>TK stopa - L</t>
        </is>
      </c>
      <c r="I343" t="inlineStr">
        <is>
          <t>TK Zwykłe</t>
        </is>
      </c>
      <c r="J343" t="inlineStr">
        <is>
          <t>1 okolica anatomiczna</t>
        </is>
      </c>
      <c r="K343" t="inlineStr">
        <is>
          <t>Tomasz Bujalski</t>
        </is>
      </c>
      <c r="L343" t="inlineStr">
        <is>
          <t> </t>
        </is>
      </c>
      <c r="M343" t="inlineStr">
        <is>
          <t>SAMODZIELNY PUBLICZNY ZESPÓŁ OPIEKI ZDROWOTNEJ W LEŻAJSKU</t>
        </is>
      </c>
      <c r="N343" t="inlineStr">
        <is>
          <t>Szpitalny Oddział Ratunkowy</t>
        </is>
      </c>
      <c r="O343" t="inlineStr">
        <is>
          <t>Jerzy Bar</t>
        </is>
      </c>
      <c r="P343" t="n">
        <v>8473186</v>
      </c>
      <c r="Q343" t="inlineStr">
        <is>
          <t>S90.9</t>
        </is>
      </c>
      <c r="R343" t="inlineStr">
        <is>
          <t>spzozlezajsk</t>
        </is>
      </c>
      <c r="S343" s="1" t="n">
        <v>46151.54236111111</v>
      </c>
      <c r="T343" t="n">
        <v>0</v>
      </c>
      <c r="U343" t="inlineStr">
        <is>
          <t>BUJALSKI TOMASZ</t>
        </is>
      </c>
    </row>
    <row r="344">
      <c r="A344" s="1" t="n">
        <v>46151</v>
      </c>
      <c r="B344" t="inlineStr">
        <is>
          <t>2632/TK/26</t>
        </is>
      </c>
      <c r="C344" t="inlineStr">
        <is>
          <t>Klaudia Żelazko</t>
        </is>
      </c>
      <c r="D344" t="n">
        <v>9222201660</v>
      </c>
      <c r="E344" s="1" t="n">
        <v>46151</v>
      </c>
      <c r="F344" t="inlineStr">
        <is>
          <t>CITO-CITO</t>
        </is>
      </c>
      <c r="G344" t="inlineStr">
        <is>
          <t>TK</t>
        </is>
      </c>
      <c r="H344" t="inlineStr">
        <is>
          <t>TK głowy bez kontrastu</t>
        </is>
      </c>
      <c r="I344" t="inlineStr">
        <is>
          <t>TK Zwykłe</t>
        </is>
      </c>
      <c r="J344" t="inlineStr">
        <is>
          <t>1 okolica anatomiczna</t>
        </is>
      </c>
      <c r="K344" t="inlineStr">
        <is>
          <t>Tomasz Bujalski</t>
        </is>
      </c>
      <c r="L344" t="inlineStr">
        <is>
          <t> </t>
        </is>
      </c>
      <c r="M344" t="inlineStr">
        <is>
          <t>SAMODZIELNY PUBLICZNY ZESPÓŁ OPIEKI ZDROWOTNEJ W LEŻAJSKU</t>
        </is>
      </c>
      <c r="N344" t="inlineStr">
        <is>
          <t>Szpitalny Oddział Ratunkowy</t>
        </is>
      </c>
      <c r="O344" t="inlineStr">
        <is>
          <t>Jerzy Bar</t>
        </is>
      </c>
      <c r="P344" t="n">
        <v>8473186</v>
      </c>
      <c r="Q344" t="inlineStr">
        <is>
          <t>S00</t>
        </is>
      </c>
      <c r="R344" t="inlineStr">
        <is>
          <t>spzozlezajsk</t>
        </is>
      </c>
      <c r="S344" s="1" t="n">
        <v>46151.58402777778</v>
      </c>
      <c r="T344" t="n">
        <v>0</v>
      </c>
      <c r="U344" t="inlineStr">
        <is>
          <t>BUJALSKI TOMASZ</t>
        </is>
      </c>
    </row>
    <row r="345">
      <c r="A345" s="1" t="n">
        <v>46151</v>
      </c>
      <c r="B345" t="inlineStr">
        <is>
          <t>2634/TK/26</t>
        </is>
      </c>
      <c r="C345" t="inlineStr">
        <is>
          <t>Anna Jasińska-Bojakowska</t>
        </is>
      </c>
      <c r="D345" t="n">
        <v>47070404448</v>
      </c>
      <c r="E345" s="1" t="n">
        <v>46151</v>
      </c>
      <c r="F345" t="inlineStr">
        <is>
          <t>CITO-CITO</t>
        </is>
      </c>
      <c r="G345" t="inlineStr">
        <is>
          <t>TK</t>
        </is>
      </c>
      <c r="H345" t="inlineStr">
        <is>
          <t>TK głowy bez kontrastu</t>
        </is>
      </c>
      <c r="I345" t="inlineStr">
        <is>
          <t>TK Zwykłe</t>
        </is>
      </c>
      <c r="J345" t="inlineStr">
        <is>
          <t>1 okolica anatomiczna</t>
        </is>
      </c>
      <c r="K345" t="inlineStr">
        <is>
          <t>Tomasz Bujalski</t>
        </is>
      </c>
      <c r="L345" t="inlineStr">
        <is>
          <t> </t>
        </is>
      </c>
      <c r="M345" t="inlineStr">
        <is>
          <t>SAMODZIELNY PUBLICZNY ZESPÓŁ OPIEKI ZDROWOTNEJ W LEŻAJSKU</t>
        </is>
      </c>
      <c r="N345" t="inlineStr">
        <is>
          <t>Szpitalny Oddział Ratunkowy</t>
        </is>
      </c>
      <c r="O345" t="inlineStr">
        <is>
          <t>Jerzy Bar</t>
        </is>
      </c>
      <c r="P345" t="n">
        <v>8473186</v>
      </c>
      <c r="Q345" t="inlineStr">
        <is>
          <t>R51</t>
        </is>
      </c>
      <c r="R345" t="inlineStr">
        <is>
          <t>spzozlezajsk</t>
        </is>
      </c>
      <c r="S345" s="1" t="n">
        <v>46151.63055555556</v>
      </c>
      <c r="T345" t="n">
        <v>0</v>
      </c>
      <c r="U345" t="inlineStr">
        <is>
          <t>BUJALSKI TOMASZ</t>
        </is>
      </c>
    </row>
    <row r="346">
      <c r="A346" s="1" t="n">
        <v>46151</v>
      </c>
      <c r="B346" t="inlineStr">
        <is>
          <t>2635/TK/26</t>
        </is>
      </c>
      <c r="C346" t="inlineStr">
        <is>
          <t>Stanisław Kamieniak</t>
        </is>
      </c>
      <c r="D346" t="n">
        <v>46070115116</v>
      </c>
      <c r="E346" s="1" t="n">
        <v>46151</v>
      </c>
      <c r="F346" t="inlineStr">
        <is>
          <t>CITO-CITO</t>
        </is>
      </c>
      <c r="G346" t="inlineStr">
        <is>
          <t>TK</t>
        </is>
      </c>
      <c r="H346" t="inlineStr">
        <is>
          <t>TK klatki piersiowej bez kontrastu</t>
        </is>
      </c>
      <c r="I346" t="inlineStr">
        <is>
          <t>TK Zwykłe</t>
        </is>
      </c>
      <c r="J346" t="inlineStr">
        <is>
          <t>1 okolica anatomiczna</t>
        </is>
      </c>
      <c r="K346" t="inlineStr">
        <is>
          <t>Tomasz Bujalski</t>
        </is>
      </c>
      <c r="L346" t="inlineStr">
        <is>
          <t> </t>
        </is>
      </c>
      <c r="M346" t="inlineStr">
        <is>
          <t>SAMODZIELNY PUBLICZNY ZESPÓŁ OPIEKI ZDROWOTNEJ W LEŻAJSKU</t>
        </is>
      </c>
      <c r="N346" t="inlineStr">
        <is>
          <t>Szpitalny Oddział Ratunkowy</t>
        </is>
      </c>
      <c r="O346" t="inlineStr">
        <is>
          <t>Jerzy Bar</t>
        </is>
      </c>
      <c r="P346" t="n">
        <v>8473186</v>
      </c>
      <c r="Q346" t="inlineStr">
        <is>
          <t>R53</t>
        </is>
      </c>
      <c r="R346" t="inlineStr">
        <is>
          <t>spzozlezajsk</t>
        </is>
      </c>
      <c r="S346" s="1" t="n">
        <v>46151.69236111111</v>
      </c>
      <c r="T346" t="n">
        <v>0</v>
      </c>
      <c r="U346" t="inlineStr">
        <is>
          <t>BUJALSKI TOMASZ</t>
        </is>
      </c>
    </row>
    <row r="347">
      <c r="A347" s="1" t="n">
        <v>46151</v>
      </c>
      <c r="B347" t="inlineStr">
        <is>
          <t>2636/TK/26</t>
        </is>
      </c>
      <c r="C347" t="inlineStr">
        <is>
          <t>Halina Staszak</t>
        </is>
      </c>
      <c r="D347" t="n">
        <v>52031618189</v>
      </c>
      <c r="E347" s="1" t="n">
        <v>46151</v>
      </c>
      <c r="F347" t="inlineStr">
        <is>
          <t>CITO-CITO</t>
        </is>
      </c>
      <c r="G347" t="inlineStr">
        <is>
          <t>TK</t>
        </is>
      </c>
      <c r="H347" t="inlineStr">
        <is>
          <t>TK głowy bez kontrastu</t>
        </is>
      </c>
      <c r="I347" t="inlineStr">
        <is>
          <t>TK Zwykłe</t>
        </is>
      </c>
      <c r="J347" t="inlineStr">
        <is>
          <t>1 okolica anatomiczna</t>
        </is>
      </c>
      <c r="K347" t="inlineStr">
        <is>
          <t>Tomasz Bujalski</t>
        </is>
      </c>
      <c r="L347" t="inlineStr">
        <is>
          <t> </t>
        </is>
      </c>
      <c r="M347" t="inlineStr">
        <is>
          <t>SAMODZIELNY PUBLICZNY ZESPÓŁ OPIEKI ZDROWOTNEJ W LEŻAJSKU</t>
        </is>
      </c>
      <c r="N347" t="inlineStr">
        <is>
          <t>Szpitalny Oddział Ratunkowy</t>
        </is>
      </c>
      <c r="O347" t="inlineStr">
        <is>
          <t>Jerzy Bar</t>
        </is>
      </c>
      <c r="P347" t="n">
        <v>8473186</v>
      </c>
      <c r="Q347" t="inlineStr">
        <is>
          <t>R55</t>
        </is>
      </c>
      <c r="R347" t="inlineStr">
        <is>
          <t>spzozlezajsk</t>
        </is>
      </c>
      <c r="S347" s="1" t="n">
        <v>46151.68541666667</v>
      </c>
      <c r="T347" t="n">
        <v>0</v>
      </c>
      <c r="U347" t="inlineStr">
        <is>
          <t>BUJALSKI TOMASZ</t>
        </is>
      </c>
    </row>
    <row r="348">
      <c r="A348" s="1" t="n">
        <v>46157</v>
      </c>
      <c r="B348" t="inlineStr">
        <is>
          <t>2745/TK/26</t>
        </is>
      </c>
      <c r="C348" t="inlineStr">
        <is>
          <t>RENATA CHEŁSTOWSKA</t>
        </is>
      </c>
      <c r="D348" t="n">
        <v>73092407747</v>
      </c>
      <c r="E348" s="1" t="n">
        <v>46156</v>
      </c>
      <c r="F348" t="inlineStr">
        <is>
          <t>Pilny</t>
        </is>
      </c>
      <c r="G348" t="inlineStr">
        <is>
          <t>TK</t>
        </is>
      </c>
      <c r="H348" t="inlineStr">
        <is>
          <t>TK klatki piersiowej bez kontrastu i z kontrastem</t>
        </is>
      </c>
      <c r="I348" t="inlineStr">
        <is>
          <t>TK Zwykłe</t>
        </is>
      </c>
      <c r="J348" t="inlineStr">
        <is>
          <t>1 okolica anatomiczna</t>
        </is>
      </c>
      <c r="K348" t="inlineStr">
        <is>
          <t>Tomasz Bujalski</t>
        </is>
      </c>
      <c r="L348" t="inlineStr">
        <is>
          <t> </t>
        </is>
      </c>
      <c r="M348" t="inlineStr">
        <is>
          <t>SAMODZIELNY PUBLICZNY ZESPÓŁ OPIEKI ZDROWOTNEJ W LEŻAJSKU</t>
        </is>
      </c>
      <c r="N348" t="inlineStr">
        <is>
          <t>Oddział neurologiczny</t>
        </is>
      </c>
      <c r="O348" t="inlineStr">
        <is>
          <t>Beata Lech</t>
        </is>
      </c>
      <c r="P348" t="n">
        <v>2395134</v>
      </c>
      <c r="Q348" t="inlineStr">
        <is>
          <t>G70.9</t>
        </is>
      </c>
      <c r="R348" t="inlineStr">
        <is>
          <t>spzozlezajsk</t>
        </is>
      </c>
      <c r="S348" s="1" t="n">
        <v>46157.37777777778</v>
      </c>
      <c r="T348" t="n">
        <v>0</v>
      </c>
      <c r="U348" t="inlineStr">
        <is>
          <t>BUJALSKI TOMASZ</t>
        </is>
      </c>
    </row>
    <row r="349">
      <c r="A349" s="1" t="n">
        <v>46158</v>
      </c>
      <c r="B349" t="inlineStr">
        <is>
          <t>2796/TK/26</t>
        </is>
      </c>
      <c r="C349" t="inlineStr">
        <is>
          <t>Wiesław Wojtas</t>
        </is>
      </c>
      <c r="D349" t="n">
        <v>54010504614</v>
      </c>
      <c r="E349" s="1" t="n">
        <v>46158</v>
      </c>
      <c r="F349" t="inlineStr">
        <is>
          <t>CITO-CITO</t>
        </is>
      </c>
      <c r="G349" t="inlineStr">
        <is>
          <t>TK</t>
        </is>
      </c>
      <c r="H349" t="inlineStr">
        <is>
          <t>TK - 5 procedur</t>
        </is>
      </c>
      <c r="I349" t="inlineStr">
        <is>
          <t>TK Zwykłe</t>
        </is>
      </c>
      <c r="J349" t="inlineStr">
        <is>
          <t>5 okolic anatomicznych</t>
        </is>
      </c>
      <c r="K349" t="inlineStr">
        <is>
          <t>Tomasz Bujalski</t>
        </is>
      </c>
      <c r="L349" t="inlineStr">
        <is>
          <t> </t>
        </is>
      </c>
      <c r="M349" t="inlineStr">
        <is>
          <t>SAMODZIELNY PUBLICZNY ZESPÓŁ OPIEKI ZDROWOTNEJ W LEŻAJSKU</t>
        </is>
      </c>
      <c r="N349" t="inlineStr">
        <is>
          <t>Szpitalny Oddział Ratunkowy</t>
        </is>
      </c>
      <c r="O349" t="inlineStr">
        <is>
          <t>Jerzy Bar</t>
        </is>
      </c>
      <c r="P349" t="n">
        <v>8473186</v>
      </c>
      <c r="Q349" t="inlineStr">
        <is>
          <t> </t>
        </is>
      </c>
      <c r="R349" t="inlineStr">
        <is>
          <t>spzozlezajsk</t>
        </is>
      </c>
      <c r="S349" s="1" t="n">
        <v>46158.55902777778</v>
      </c>
      <c r="T349" t="n">
        <v>0</v>
      </c>
      <c r="U349" t="inlineStr">
        <is>
          <t>BUJALSKI TOMASZ</t>
        </is>
      </c>
    </row>
    <row r="350">
      <c r="A350" s="1" t="n">
        <v>46158</v>
      </c>
      <c r="B350" t="inlineStr">
        <is>
          <t>2797/TK/26</t>
        </is>
      </c>
      <c r="C350" t="inlineStr">
        <is>
          <t>ANDRZEJ BANACH</t>
        </is>
      </c>
      <c r="D350" t="n">
        <v>62051415930</v>
      </c>
      <c r="E350" s="1" t="n">
        <v>46158</v>
      </c>
      <c r="F350" t="inlineStr">
        <is>
          <t>CITO-CITO</t>
        </is>
      </c>
      <c r="G350" t="inlineStr">
        <is>
          <t>TK</t>
        </is>
      </c>
      <c r="H350" t="inlineStr">
        <is>
          <t>TK głowy bez kontrastu</t>
        </is>
      </c>
      <c r="I350" t="inlineStr">
        <is>
          <t>TK Zwykłe</t>
        </is>
      </c>
      <c r="J350" t="inlineStr">
        <is>
          <t>1 okolica anatomiczna</t>
        </is>
      </c>
      <c r="K350" t="inlineStr">
        <is>
          <t>Tomasz Bujalski</t>
        </is>
      </c>
      <c r="L350" t="inlineStr">
        <is>
          <t> </t>
        </is>
      </c>
      <c r="M350" t="inlineStr">
        <is>
          <t>SAMODZIELNY PUBLICZNY ZESPÓŁ OPIEKI ZDROWOTNEJ W LEŻAJSKU</t>
        </is>
      </c>
      <c r="N350" t="inlineStr">
        <is>
          <t>Oddział chirurgii ogólnej</t>
        </is>
      </c>
      <c r="O350" t="inlineStr">
        <is>
          <t>Janusz Martula</t>
        </is>
      </c>
      <c r="P350" t="n">
        <v>7627934</v>
      </c>
      <c r="Q350" t="inlineStr">
        <is>
          <t>S06</t>
        </is>
      </c>
      <c r="R350" t="inlineStr">
        <is>
          <t>spzozlezajsk</t>
        </is>
      </c>
      <c r="S350" s="1" t="n">
        <v>46158.58541666667</v>
      </c>
      <c r="T350" t="n">
        <v>0</v>
      </c>
      <c r="U350" t="inlineStr">
        <is>
          <t>BUJALSKI TOMASZ</t>
        </is>
      </c>
    </row>
    <row r="351">
      <c r="A351" s="1" t="n">
        <v>46158</v>
      </c>
      <c r="B351" t="inlineStr">
        <is>
          <t>2798/TK/26</t>
        </is>
      </c>
      <c r="C351" t="inlineStr">
        <is>
          <t>Krzysztof Dec</t>
        </is>
      </c>
      <c r="D351" t="n">
        <v>71120511653</v>
      </c>
      <c r="E351" s="1" t="n">
        <v>46158</v>
      </c>
      <c r="F351" t="inlineStr">
        <is>
          <t>CITO-CITO</t>
        </is>
      </c>
      <c r="G351" t="inlineStr">
        <is>
          <t>TK</t>
        </is>
      </c>
      <c r="H351" t="inlineStr">
        <is>
          <t>TK głowy bez kontrastu</t>
        </is>
      </c>
      <c r="I351" t="inlineStr">
        <is>
          <t>TK Zwykłe</t>
        </is>
      </c>
      <c r="J351" t="inlineStr">
        <is>
          <t>1 okolica anatomiczna</t>
        </is>
      </c>
      <c r="K351" t="inlineStr">
        <is>
          <t>Tomasz Bujalski</t>
        </is>
      </c>
      <c r="L351" t="inlineStr">
        <is>
          <t> </t>
        </is>
      </c>
      <c r="M351" t="inlineStr">
        <is>
          <t>SAMODZIELNY PUBLICZNY ZESPÓŁ OPIEKI ZDROWOTNEJ W LEŻAJSKU</t>
        </is>
      </c>
      <c r="N351" t="inlineStr">
        <is>
          <t>Szpitalny Oddział Ratunkowy</t>
        </is>
      </c>
      <c r="O351" t="inlineStr">
        <is>
          <t>Jerzy Bar</t>
        </is>
      </c>
      <c r="P351" t="n">
        <v>8473186</v>
      </c>
      <c r="Q351" t="inlineStr">
        <is>
          <t>R51</t>
        </is>
      </c>
      <c r="R351" t="inlineStr">
        <is>
          <t>spzozlezajsk</t>
        </is>
      </c>
      <c r="S351" s="1" t="n">
        <v>46158.59444444445</v>
      </c>
      <c r="T351" t="n">
        <v>0</v>
      </c>
      <c r="U351" t="inlineStr">
        <is>
          <t>BUJALSKI TOMASZ</t>
        </is>
      </c>
    </row>
    <row r="352">
      <c r="A352" s="1" t="n">
        <v>46158</v>
      </c>
      <c r="B352" t="inlineStr">
        <is>
          <t>2799/TK/26</t>
        </is>
      </c>
      <c r="C352" t="inlineStr">
        <is>
          <t>Krzysztof Dec</t>
        </is>
      </c>
      <c r="D352" t="n">
        <v>71120511653</v>
      </c>
      <c r="E352" s="1" t="n">
        <v>46158</v>
      </c>
      <c r="F352" t="inlineStr">
        <is>
          <t>CITO-CITO</t>
        </is>
      </c>
      <c r="G352" t="inlineStr">
        <is>
          <t>TK</t>
        </is>
      </c>
      <c r="H352" t="inlineStr">
        <is>
          <t>Angio-TK tętnic mózgowych</t>
        </is>
      </c>
      <c r="I352" t="inlineStr">
        <is>
          <t>TK Angiografia</t>
        </is>
      </c>
      <c r="J352" t="inlineStr">
        <is>
          <t>1 okolica anatomiczna</t>
        </is>
      </c>
      <c r="K352" t="inlineStr">
        <is>
          <t>Tomasz Bujalski</t>
        </is>
      </c>
      <c r="L352" t="inlineStr">
        <is>
          <t> </t>
        </is>
      </c>
      <c r="M352" t="inlineStr">
        <is>
          <t>SAMODZIELNY PUBLICZNY ZESPÓŁ OPIEKI ZDROWOTNEJ W LEŻAJSKU</t>
        </is>
      </c>
      <c r="N352" t="inlineStr">
        <is>
          <t>Szpitalny Oddział Ratunkowy</t>
        </is>
      </c>
      <c r="O352" t="inlineStr">
        <is>
          <t>Jerzy Bar</t>
        </is>
      </c>
      <c r="P352" t="n">
        <v>8473186</v>
      </c>
      <c r="Q352" t="inlineStr">
        <is>
          <t>R51</t>
        </is>
      </c>
      <c r="R352" t="inlineStr">
        <is>
          <t>spzozlezajsk</t>
        </is>
      </c>
      <c r="S352" s="1" t="n">
        <v>46158.60694444444</v>
      </c>
      <c r="T352" t="n">
        <v>0</v>
      </c>
      <c r="U352" t="inlineStr">
        <is>
          <t>BUJALSKI TOMASZ</t>
        </is>
      </c>
    </row>
    <row r="353">
      <c r="A353" s="1" t="n">
        <v>46160</v>
      </c>
      <c r="B353" t="inlineStr">
        <is>
          <t>2835/TK/26</t>
        </is>
      </c>
      <c r="C353" t="inlineStr">
        <is>
          <t>EUGENIA OLSZÓWKA</t>
        </is>
      </c>
      <c r="D353" t="n">
        <v>47050120461</v>
      </c>
      <c r="E353" s="1" t="n">
        <v>46160</v>
      </c>
      <c r="F353" t="inlineStr">
        <is>
          <t>CITO-CITO</t>
        </is>
      </c>
      <c r="G353" t="inlineStr">
        <is>
          <t>TK</t>
        </is>
      </c>
      <c r="H353" t="inlineStr">
        <is>
          <t>TK - 5 procedur</t>
        </is>
      </c>
      <c r="I353" t="inlineStr">
        <is>
          <t>TK Zwykłe</t>
        </is>
      </c>
      <c r="J353" t="inlineStr">
        <is>
          <t>5 okolic anatomicznych</t>
        </is>
      </c>
      <c r="K353" t="inlineStr">
        <is>
          <t>Tomasz Bujalski</t>
        </is>
      </c>
      <c r="L353" t="inlineStr">
        <is>
          <t> </t>
        </is>
      </c>
      <c r="M353" t="inlineStr">
        <is>
          <t>SAMODZIELNY PUBLICZNY ZESPÓŁ OPIEKI ZDROWOTNEJ W LEŻAJSKU</t>
        </is>
      </c>
      <c r="N353" t="inlineStr">
        <is>
          <t>Szpitalny Oddział Ratunkowy</t>
        </is>
      </c>
      <c r="O353" t="inlineStr">
        <is>
          <t>Jerzy Bar</t>
        </is>
      </c>
      <c r="P353" t="n">
        <v>8473186</v>
      </c>
      <c r="Q353" t="inlineStr">
        <is>
          <t>S00.8</t>
        </is>
      </c>
      <c r="R353" t="inlineStr">
        <is>
          <t>spzozlezajsk</t>
        </is>
      </c>
      <c r="S353" s="1" t="n">
        <v>46160.53333333333</v>
      </c>
      <c r="T353" t="n">
        <v>0</v>
      </c>
      <c r="U353" t="inlineStr">
        <is>
          <t>BUJALSKI TOMASZ</t>
        </is>
      </c>
    </row>
    <row r="354">
      <c r="A354" s="1" t="n">
        <v>46160</v>
      </c>
      <c r="B354" t="inlineStr">
        <is>
          <t>2837/TK/26</t>
        </is>
      </c>
      <c r="C354" t="inlineStr">
        <is>
          <t>Jakub Maruszak</t>
        </is>
      </c>
      <c r="D354" t="n">
        <v>8312509176</v>
      </c>
      <c r="E354" s="1" t="n">
        <v>46160</v>
      </c>
      <c r="F354" t="inlineStr">
        <is>
          <t>CITO-CITO</t>
        </is>
      </c>
      <c r="G354" t="inlineStr">
        <is>
          <t>TK</t>
        </is>
      </c>
      <c r="H354" t="inlineStr">
        <is>
          <t>TK - 2 procedury</t>
        </is>
      </c>
      <c r="I354" t="inlineStr">
        <is>
          <t>TK Angiografia</t>
        </is>
      </c>
      <c r="J354" t="inlineStr">
        <is>
          <t>2 okolice anatomiczne</t>
        </is>
      </c>
      <c r="K354" t="inlineStr">
        <is>
          <t>Tomasz Bujalski</t>
        </is>
      </c>
      <c r="L354" t="inlineStr">
        <is>
          <t> </t>
        </is>
      </c>
      <c r="M354" t="inlineStr">
        <is>
          <t>SAMODZIELNY PUBLICZNY ZESPÓŁ OPIEKI ZDROWOTNEJ W LEŻAJSKU</t>
        </is>
      </c>
      <c r="N354" t="inlineStr">
        <is>
          <t>Szpitalny Oddział Ratunkowy</t>
        </is>
      </c>
      <c r="O354" t="inlineStr">
        <is>
          <t>Jerzy Bar</t>
        </is>
      </c>
      <c r="P354" t="n">
        <v>8473186</v>
      </c>
      <c r="Q354" t="inlineStr">
        <is>
          <t> </t>
        </is>
      </c>
      <c r="R354" t="inlineStr">
        <is>
          <t>spzozlezajsk</t>
        </is>
      </c>
      <c r="S354" s="1" t="n">
        <v>46160.58819444444</v>
      </c>
      <c r="T354" t="n">
        <v>2</v>
      </c>
      <c r="U354" t="inlineStr">
        <is>
          <t>BUJALSKI TOMASZ</t>
        </is>
      </c>
    </row>
    <row r="355">
      <c r="A355" s="1" t="n">
        <v>46149</v>
      </c>
      <c r="B355" t="inlineStr">
        <is>
          <t>CTPACS</t>
        </is>
      </c>
      <c r="C355" t="inlineStr">
        <is>
          <t>GRAZYNA PINKOWSKA</t>
        </is>
      </c>
      <c r="D355" t="inlineStr">
        <is>
          <t>55040113182</t>
        </is>
      </c>
      <c r="E355" s="1" t="n">
        <v>46146</v>
      </c>
      <c r="F355" t="inlineStr">
        <is>
          <t>Pilny</t>
        </is>
      </c>
      <c r="G355" t="inlineStr">
        <is>
          <t>TK</t>
        </is>
      </c>
      <c r="H355" t="inlineStr">
        <is>
          <t>TK kręgosłupa odc. L/S</t>
        </is>
      </c>
      <c r="I355" t="inlineStr">
        <is>
          <t>TK Zwykłe</t>
        </is>
      </c>
      <c r="J355" t="inlineStr">
        <is>
          <t>1 okolica anatomiczna</t>
        </is>
      </c>
      <c r="K355" t="inlineStr">
        <is>
          <t>Tomasz Bujalski</t>
        </is>
      </c>
      <c r="L355" t="inlineStr">
        <is>
          <t> </t>
        </is>
      </c>
      <c r="M355" t="inlineStr">
        <is>
          <t>Samodzielny Publiczny Zakład Opieki Zdrowotnej w Międzyrzecu Podlaskim</t>
        </is>
      </c>
      <c r="N355" t="inlineStr">
        <is>
          <t>Oddział Chorób Wewnętrznych</t>
        </is>
      </c>
      <c r="O355" t="inlineStr">
        <is>
          <t>Roman Frankowski</t>
        </is>
      </c>
      <c r="P355" t="inlineStr">
        <is>
          <t>9621025</t>
        </is>
      </c>
      <c r="Q355" t="inlineStr">
        <is>
          <t>G72.4</t>
        </is>
      </c>
      <c r="R355" t="inlineStr">
        <is>
          <t>spzozmc</t>
        </is>
      </c>
      <c r="S355" s="1" t="n">
        <v>46147.30833333333</v>
      </c>
      <c r="T355" t="n">
        <v>1</v>
      </c>
      <c r="U355" t="inlineStr">
        <is>
          <t>BUJALSKI TOMASZ</t>
        </is>
      </c>
    </row>
    <row r="356">
      <c r="A356" s="1" t="n">
        <v>46156</v>
      </c>
      <c r="B356" t="inlineStr">
        <is>
          <t>CTPACS</t>
        </is>
      </c>
      <c r="C356" t="inlineStr">
        <is>
          <t>MARZENNA SOJKA-KARUNNA</t>
        </is>
      </c>
      <c r="D356" t="inlineStr">
        <is>
          <t>65050815466</t>
        </is>
      </c>
      <c r="E356" s="1" t="n">
        <v>46156</v>
      </c>
      <c r="F356" t="inlineStr">
        <is>
          <t>CITO-CITO</t>
        </is>
      </c>
      <c r="G356" t="inlineStr">
        <is>
          <t>TK</t>
        </is>
      </c>
      <c r="H356" t="inlineStr">
        <is>
          <t>TK j.brzusznej i miednicy</t>
        </is>
      </c>
      <c r="I356" t="inlineStr">
        <is>
          <t>TK Zwykłe</t>
        </is>
      </c>
      <c r="J356" t="inlineStr">
        <is>
          <t>2 okolice anatomiczne</t>
        </is>
      </c>
      <c r="K356" t="inlineStr">
        <is>
          <t>Tomasz Bujalski</t>
        </is>
      </c>
      <c r="L356" t="inlineStr">
        <is>
          <t> </t>
        </is>
      </c>
      <c r="M356" t="inlineStr">
        <is>
          <t>Samodzielny Publiczny Zakład Opieki Zdrowotnej w Międzyrzecu Podlaskim</t>
        </is>
      </c>
      <c r="N356" t="inlineStr">
        <is>
          <t>Oddział Chirurgii Ogólnej i Urazowej</t>
        </is>
      </c>
      <c r="O356" t="inlineStr">
        <is>
          <t>Zbigniew Dudziński</t>
        </is>
      </c>
      <c r="P356" t="inlineStr">
        <is>
          <t>7048965</t>
        </is>
      </c>
      <c r="Q356" t="inlineStr">
        <is>
          <t>R10.3</t>
        </is>
      </c>
      <c r="R356" t="inlineStr">
        <is>
          <t>spzozmc</t>
        </is>
      </c>
      <c r="S356" s="1" t="n">
        <v>46156.26875</v>
      </c>
      <c r="T356" t="n">
        <v>0</v>
      </c>
      <c r="U356" t="inlineStr">
        <is>
          <t>BUJALSKI TOMASZ</t>
        </is>
      </c>
    </row>
    <row r="357">
      <c r="A357" s="1" t="n">
        <v>46167</v>
      </c>
      <c r="B357" t="inlineStr">
        <is>
          <t>CTPACS</t>
        </is>
      </c>
      <c r="C357" t="inlineStr">
        <is>
          <t>TADEUSZ KUROWSKI</t>
        </is>
      </c>
      <c r="D357" t="inlineStr">
        <is>
          <t>PACS-2726038712</t>
        </is>
      </c>
      <c r="E357" s="1" t="n">
        <v>46163</v>
      </c>
      <c r="F357" t="inlineStr">
        <is>
          <t>Pilny</t>
        </is>
      </c>
      <c r="G357" t="inlineStr">
        <is>
          <t>TK</t>
        </is>
      </c>
      <c r="H357" t="inlineStr">
        <is>
          <t>TK klatki piersiowej, j.brzusznej i miednicy</t>
        </is>
      </c>
      <c r="I357" t="inlineStr">
        <is>
          <t>TK Zwykłe</t>
        </is>
      </c>
      <c r="J357" t="inlineStr">
        <is>
          <t>3 okolice anatomiczne</t>
        </is>
      </c>
      <c r="K357" t="inlineStr">
        <is>
          <t>Tomasz Bujalski</t>
        </is>
      </c>
      <c r="L357" t="inlineStr">
        <is>
          <t> </t>
        </is>
      </c>
      <c r="M357" t="inlineStr">
        <is>
          <t>Samodzielny Publiczny Zakład Opieki Zdrowotnej w Międzyrzecu Podlaskim</t>
        </is>
      </c>
      <c r="N357" t="inlineStr">
        <is>
          <t>Oddział Chorób Wewnętrznych</t>
        </is>
      </c>
      <c r="O357" t="inlineStr">
        <is>
          <t>Arturas Fricas</t>
        </is>
      </c>
      <c r="P357" t="inlineStr">
        <is>
          <t>3595956</t>
        </is>
      </c>
      <c r="Q357" t="inlineStr">
        <is>
          <t>E11</t>
        </is>
      </c>
      <c r="R357" t="inlineStr">
        <is>
          <t>spzozmc</t>
        </is>
      </c>
      <c r="S357" s="1" t="n">
        <v>46163.36736111111</v>
      </c>
      <c r="T357" t="n">
        <v>0</v>
      </c>
      <c r="U357" t="inlineStr">
        <is>
          <t>BUJALSKI TOMASZ</t>
        </is>
      </c>
    </row>
    <row r="358">
      <c r="A358" s="1" t="n">
        <v>46158</v>
      </c>
      <c r="B358" t="n">
        <v>418396071</v>
      </c>
      <c r="C358" t="inlineStr">
        <is>
          <t>IZABELA KARA</t>
        </is>
      </c>
      <c r="D358" t="n">
        <v>91934</v>
      </c>
      <c r="E358" s="1" t="n">
        <v>46158</v>
      </c>
      <c r="F358" t="inlineStr">
        <is>
          <t>CITO-CITO</t>
        </is>
      </c>
      <c r="G358" t="inlineStr">
        <is>
          <t>TK</t>
        </is>
      </c>
      <c r="H358" t="inlineStr">
        <is>
          <t>TK głowy</t>
        </is>
      </c>
      <c r="I358" t="inlineStr">
        <is>
          <t>TK Onkologia</t>
        </is>
      </c>
      <c r="J358" t="inlineStr">
        <is>
          <t>1 okolica anatomiczna</t>
        </is>
      </c>
      <c r="K358" t="inlineStr">
        <is>
          <t>Tomasz Bujalski</t>
        </is>
      </c>
      <c r="L358" t="inlineStr">
        <is>
          <t> </t>
        </is>
      </c>
      <c r="M358" t="inlineStr">
        <is>
          <t>SAMODZIELNY PUBLICZNY ZESPÓŁ OPIEKI ZDROWOTNEJ W ŚWIDNICY</t>
        </is>
      </c>
      <c r="N358" t="inlineStr">
        <is>
          <t>Szpitalny oddział ratunkowy</t>
        </is>
      </c>
      <c r="O358" t="inlineStr">
        <is>
          <t>TOMASZ MISIEWICZ</t>
        </is>
      </c>
      <c r="P358" t="n">
        <v>1611506</v>
      </c>
      <c r="Q358" t="inlineStr">
        <is>
          <t>I10</t>
        </is>
      </c>
      <c r="R358" t="inlineStr">
        <is>
          <t>spzozswidnica</t>
        </is>
      </c>
      <c r="S358" s="1" t="n">
        <v>46158.62013888889</v>
      </c>
      <c r="T358" t="n">
        <v>0</v>
      </c>
      <c r="U358" t="inlineStr">
        <is>
          <t>BUJALSKI TOMASZ</t>
        </is>
      </c>
    </row>
    <row r="359">
      <c r="A359" s="1" t="n">
        <v>46161</v>
      </c>
      <c r="B359" t="inlineStr">
        <is>
          <t>963241</t>
        </is>
      </c>
      <c r="C359" t="inlineStr">
        <is>
          <t>ROMAN KORALEWSKI</t>
        </is>
      </c>
      <c r="D359" t="n">
        <v>76020912975</v>
      </c>
      <c r="E359" s="1" t="n">
        <v>46161</v>
      </c>
      <c r="F359" t="inlineStr">
        <is>
          <t>CITO-CITO</t>
        </is>
      </c>
      <c r="G359" t="inlineStr">
        <is>
          <t>TK</t>
        </is>
      </c>
      <c r="H359" t="inlineStr">
        <is>
          <t>Badanie TK wielu okolic anatomicznych</t>
        </is>
      </c>
      <c r="I359" t="inlineStr">
        <is>
          <t>TK Angiografia</t>
        </is>
      </c>
      <c r="J359" t="inlineStr">
        <is>
          <t>3 okolice anatomiczne</t>
        </is>
      </c>
      <c r="K359" t="inlineStr">
        <is>
          <t>Tomasz Bujalski</t>
        </is>
      </c>
      <c r="L359" t="inlineStr">
        <is>
          <t> </t>
        </is>
      </c>
      <c r="M359" t="inlineStr">
        <is>
          <t>SAMODZIELNY PUBLICZNY ZESPÓŁ OPIEKI ZDROWOTNEJ W TURKU</t>
        </is>
      </c>
      <c r="N359" t="inlineStr">
        <is>
          <t>Izba  Przyjęć</t>
        </is>
      </c>
      <c r="O359" t="inlineStr">
        <is>
          <t> </t>
        </is>
      </c>
      <c r="P359" t="inlineStr">
        <is>
          <t> </t>
        </is>
      </c>
      <c r="Q359" t="inlineStr">
        <is>
          <t> </t>
        </is>
      </c>
      <c r="R359" t="inlineStr">
        <is>
          <t>spzozturek</t>
        </is>
      </c>
      <c r="S359" s="1" t="n">
        <v>46161.36319444444</v>
      </c>
      <c r="T359" t="n">
        <v>0</v>
      </c>
      <c r="U359" t="inlineStr">
        <is>
          <t>BUJALSKI TOMASZ</t>
        </is>
      </c>
    </row>
    <row r="360">
      <c r="A360" s="1" t="n">
        <v>46165</v>
      </c>
      <c r="B360" t="inlineStr">
        <is>
          <t>966105</t>
        </is>
      </c>
      <c r="C360" t="inlineStr">
        <is>
          <t>ARINA KACHKOVSKA</t>
        </is>
      </c>
      <c r="D360" t="n">
        <v>6222712163</v>
      </c>
      <c r="E360" s="1" t="n">
        <v>46165</v>
      </c>
      <c r="F360" t="inlineStr">
        <is>
          <t>CITO-CITO</t>
        </is>
      </c>
      <c r="G360" t="inlineStr">
        <is>
          <t>TK</t>
        </is>
      </c>
      <c r="H360" t="inlineStr">
        <is>
          <t>TK ręki prawej</t>
        </is>
      </c>
      <c r="I360" t="inlineStr">
        <is>
          <t>TK Zwykłe</t>
        </is>
      </c>
      <c r="J360" t="inlineStr">
        <is>
          <t>1 okolica anatomiczna</t>
        </is>
      </c>
      <c r="K360" t="inlineStr">
        <is>
          <t>Tomasz Bujalski</t>
        </is>
      </c>
      <c r="L360" t="inlineStr">
        <is>
          <t> </t>
        </is>
      </c>
      <c r="M360" t="inlineStr">
        <is>
          <t>SAMODZIELNY PUBLICZNY ZESPÓŁ OPIEKI ZDROWOTNEJ W TURKU</t>
        </is>
      </c>
      <c r="N360" t="inlineStr">
        <is>
          <t>Izba  Przyjęć</t>
        </is>
      </c>
      <c r="O360" t="inlineStr">
        <is>
          <t> </t>
        </is>
      </c>
      <c r="P360" t="inlineStr">
        <is>
          <t> </t>
        </is>
      </c>
      <c r="Q360" t="inlineStr">
        <is>
          <t> </t>
        </is>
      </c>
      <c r="R360" t="inlineStr">
        <is>
          <t>spzozturek</t>
        </is>
      </c>
      <c r="S360" s="1" t="n">
        <v>46165.57916666667</v>
      </c>
      <c r="T360" t="n">
        <v>0</v>
      </c>
      <c r="U360" t="inlineStr">
        <is>
          <t>BUJALSKI TOMASZ</t>
        </is>
      </c>
    </row>
    <row r="361">
      <c r="A361" s="1" t="n">
        <v>46169</v>
      </c>
      <c r="B361" t="inlineStr">
        <is>
          <t>967319</t>
        </is>
      </c>
      <c r="C361" t="inlineStr">
        <is>
          <t>MALGORZATA NITECKA</t>
        </is>
      </c>
      <c r="D361" t="n">
        <v>63052902041</v>
      </c>
      <c r="E361" s="1" t="n">
        <v>46168</v>
      </c>
      <c r="F361" t="inlineStr">
        <is>
          <t>Pilny</t>
        </is>
      </c>
      <c r="G361" t="inlineStr">
        <is>
          <t>TK</t>
        </is>
      </c>
      <c r="H361" t="inlineStr">
        <is>
          <t>TK angio kończyn dolnych</t>
        </is>
      </c>
      <c r="I361" t="inlineStr">
        <is>
          <t>TK Angiografia</t>
        </is>
      </c>
      <c r="J361" t="inlineStr">
        <is>
          <t>3 okolice anatomiczne</t>
        </is>
      </c>
      <c r="K361" t="inlineStr">
        <is>
          <t>Tomasz Bujalski</t>
        </is>
      </c>
      <c r="L361" t="inlineStr">
        <is>
          <t> </t>
        </is>
      </c>
      <c r="M361" t="inlineStr">
        <is>
          <t>SAMODZIELNY PUBLICZNY ZESPÓŁ OPIEKI ZDROWOTNEJ W TURKU</t>
        </is>
      </c>
      <c r="N361" t="inlineStr">
        <is>
          <t xml:space="preserve">Oddział Chorób Wewnętrznych </t>
        </is>
      </c>
      <c r="O361" t="inlineStr">
        <is>
          <t> </t>
        </is>
      </c>
      <c r="P361" t="inlineStr">
        <is>
          <t> </t>
        </is>
      </c>
      <c r="Q361" t="inlineStr">
        <is>
          <t> </t>
        </is>
      </c>
      <c r="R361" t="inlineStr">
        <is>
          <t>spzozturek</t>
        </is>
      </c>
      <c r="S361" s="1" t="n">
        <v>46168.51041666666</v>
      </c>
      <c r="T361" t="n">
        <v>0</v>
      </c>
      <c r="U361" t="inlineStr">
        <is>
          <t>BUJALSKI TOMASZ</t>
        </is>
      </c>
    </row>
    <row r="362">
      <c r="A362" s="1" t="n">
        <v>46169</v>
      </c>
      <c r="B362" t="inlineStr">
        <is>
          <t>968596</t>
        </is>
      </c>
      <c r="C362" t="inlineStr">
        <is>
          <t>AGNIESZKA DZIEMBOWSKA</t>
        </is>
      </c>
      <c r="D362" t="n">
        <v>71021404607</v>
      </c>
      <c r="E362" s="1" t="n">
        <v>46169</v>
      </c>
      <c r="F362" t="inlineStr">
        <is>
          <t>CITO-CITO</t>
        </is>
      </c>
      <c r="G362" t="inlineStr">
        <is>
          <t>TK</t>
        </is>
      </c>
      <c r="H362" t="inlineStr">
        <is>
          <t>TK głowy</t>
        </is>
      </c>
      <c r="I362" t="inlineStr">
        <is>
          <t>TK Onkologia</t>
        </is>
      </c>
      <c r="J362" t="inlineStr">
        <is>
          <t>1 okolica anatomiczna</t>
        </is>
      </c>
      <c r="K362" t="inlineStr">
        <is>
          <t>Tomasz Bujalski</t>
        </is>
      </c>
      <c r="L362" t="inlineStr">
        <is>
          <t> </t>
        </is>
      </c>
      <c r="M362" t="inlineStr">
        <is>
          <t>SAMODZIELNY PUBLICZNY ZESPÓŁ OPIEKI ZDROWOTNEJ W TURKU</t>
        </is>
      </c>
      <c r="N362" t="inlineStr">
        <is>
          <t>Izba  Przyjęć</t>
        </is>
      </c>
      <c r="O362" t="inlineStr">
        <is>
          <t> </t>
        </is>
      </c>
      <c r="P362" t="inlineStr">
        <is>
          <t> </t>
        </is>
      </c>
      <c r="Q362" t="inlineStr">
        <is>
          <t> </t>
        </is>
      </c>
      <c r="R362" t="inlineStr">
        <is>
          <t>spzozturek</t>
        </is>
      </c>
      <c r="S362" s="1" t="n">
        <v>46169.54444444444</v>
      </c>
      <c r="T362" t="n">
        <v>0</v>
      </c>
      <c r="U362" t="inlineStr">
        <is>
          <t>BUJALSKI TOMASZ</t>
        </is>
      </c>
    </row>
    <row r="363">
      <c r="A363" s="1" t="n">
        <v>46171</v>
      </c>
      <c r="B363" t="inlineStr">
        <is>
          <t>968339</t>
        </is>
      </c>
      <c r="C363" t="inlineStr">
        <is>
          <t>EUGENIUSZ NOWAKOWSKI</t>
        </is>
      </c>
      <c r="D363" t="n">
        <v>57021503638</v>
      </c>
      <c r="E363" s="1" t="n">
        <v>46169</v>
      </c>
      <c r="F363" t="inlineStr">
        <is>
          <t>Pilny</t>
        </is>
      </c>
      <c r="G363" t="inlineStr">
        <is>
          <t>TK</t>
        </is>
      </c>
      <c r="H363" t="inlineStr">
        <is>
          <t>TK kl. piersiowej + jamy brzusznej  +miednicy (z kontrastem)</t>
        </is>
      </c>
      <c r="I363" t="inlineStr">
        <is>
          <t>TK Onkologia</t>
        </is>
      </c>
      <c r="J363" t="inlineStr">
        <is>
          <t>3 okolice anatomiczne</t>
        </is>
      </c>
      <c r="K363" t="inlineStr">
        <is>
          <t>Tomasz Bujalski</t>
        </is>
      </c>
      <c r="L363" t="inlineStr">
        <is>
          <t> </t>
        </is>
      </c>
      <c r="M363" t="inlineStr">
        <is>
          <t>SAMODZIELNY PUBLICZNY ZESPÓŁ OPIEKI ZDROWOTNEJ W TURKU</t>
        </is>
      </c>
      <c r="N363" t="inlineStr">
        <is>
          <t xml:space="preserve">Oddział Chorób Wewnętrznych </t>
        </is>
      </c>
      <c r="O363" t="inlineStr">
        <is>
          <t> </t>
        </is>
      </c>
      <c r="P363" t="inlineStr">
        <is>
          <t> </t>
        </is>
      </c>
      <c r="Q363" t="inlineStr">
        <is>
          <t> </t>
        </is>
      </c>
      <c r="R363" t="inlineStr">
        <is>
          <t>spzozturek</t>
        </is>
      </c>
      <c r="S363" s="1" t="n">
        <v>46169.36458333334</v>
      </c>
      <c r="T363" t="n">
        <v>0</v>
      </c>
      <c r="U363" t="inlineStr">
        <is>
          <t>BUJALSKI TOMASZ</t>
        </is>
      </c>
    </row>
    <row r="364">
      <c r="A364" s="1" t="n">
        <v>46160</v>
      </c>
      <c r="B364" t="inlineStr">
        <is>
          <t>CT_26_001842</t>
        </is>
      </c>
      <c r="C364" t="inlineStr">
        <is>
          <t>GRAZYNA WISNIEWSKA</t>
        </is>
      </c>
      <c r="D364" t="n">
        <v>74112110027</v>
      </c>
      <c r="E364" s="1" t="n">
        <v>46160</v>
      </c>
      <c r="F364" t="inlineStr">
        <is>
          <t>CITO-UDAR</t>
        </is>
      </c>
      <c r="G364" t="inlineStr">
        <is>
          <t>TK</t>
        </is>
      </c>
      <c r="H364" t="inlineStr">
        <is>
          <t>TK głowy</t>
        </is>
      </c>
      <c r="I364" t="inlineStr">
        <is>
          <t>TK Onkologia</t>
        </is>
      </c>
      <c r="J364" t="inlineStr">
        <is>
          <t>1 okolica anatomiczna</t>
        </is>
      </c>
      <c r="K364" t="inlineStr">
        <is>
          <t>Tomasz Bujalski</t>
        </is>
      </c>
      <c r="L364" t="inlineStr">
        <is>
          <t> </t>
        </is>
      </c>
      <c r="M364" t="inlineStr">
        <is>
          <t> </t>
        </is>
      </c>
      <c r="N364" t="inlineStr">
        <is>
          <t> </t>
        </is>
      </c>
      <c r="O364" t="inlineStr">
        <is>
          <t> </t>
        </is>
      </c>
      <c r="P364" t="inlineStr">
        <is>
          <t> </t>
        </is>
      </c>
      <c r="Q364" t="inlineStr">
        <is>
          <t> </t>
        </is>
      </c>
      <c r="R364" t="inlineStr">
        <is>
          <t>spzzozsierpc</t>
        </is>
      </c>
      <c r="S364" s="1" t="n">
        <v>46160.47430555556</v>
      </c>
      <c r="T364" t="n">
        <v>0</v>
      </c>
      <c r="U364" t="inlineStr">
        <is>
          <t>BUJALSKI TOMASZ</t>
        </is>
      </c>
    </row>
    <row r="365">
      <c r="A365" s="1" t="n">
        <v>46149</v>
      </c>
      <c r="B365" t="inlineStr">
        <is>
          <t>2110319-4154049</t>
        </is>
      </c>
      <c r="C365" t="inlineStr">
        <is>
          <t>ALEX GAJEK</t>
        </is>
      </c>
      <c r="D365" t="inlineStr">
        <is>
          <t>07282510139</t>
        </is>
      </c>
      <c r="E365" s="1" t="n">
        <v>46148</v>
      </c>
      <c r="F365" t="inlineStr">
        <is>
          <t>CITO-CITO</t>
        </is>
      </c>
      <c r="G365" t="inlineStr">
        <is>
          <t>TK</t>
        </is>
      </c>
      <c r="H365" t="inlineStr">
        <is>
          <t>TK klatki piersiowej</t>
        </is>
      </c>
      <c r="I365" t="inlineStr">
        <is>
          <t>TK Zwykłe</t>
        </is>
      </c>
      <c r="J365" t="inlineStr">
        <is>
          <t>1 okolica anatomiczna</t>
        </is>
      </c>
      <c r="K365" t="inlineStr">
        <is>
          <t>Tomasz Bujalski</t>
        </is>
      </c>
      <c r="L365" t="inlineStr">
        <is>
          <t> </t>
        </is>
      </c>
      <c r="M365" t="inlineStr">
        <is>
          <t>POWIATOWY ZAKŁAD OPIEKI ZDROWOTNEJ</t>
        </is>
      </c>
      <c r="N365" t="inlineStr">
        <is>
          <t>SZPITALNY ODDZIAŁ RATUNKOWY</t>
        </is>
      </c>
      <c r="O365" t="inlineStr">
        <is>
          <t>VADZIM PRYSTROM</t>
        </is>
      </c>
      <c r="P365" t="inlineStr">
        <is>
          <t>3891150</t>
        </is>
      </c>
      <c r="Q365" t="inlineStr">
        <is>
          <t> </t>
        </is>
      </c>
      <c r="R365" t="inlineStr">
        <is>
          <t>starachowice</t>
        </is>
      </c>
      <c r="S365" s="1" t="n">
        <v>46149.26458333333</v>
      </c>
      <c r="T365" t="n">
        <v>0</v>
      </c>
      <c r="U365" t="inlineStr">
        <is>
          <t>BUJALSKI TOMASZ</t>
        </is>
      </c>
    </row>
    <row r="366">
      <c r="A366" s="1" t="n">
        <v>46151</v>
      </c>
      <c r="B366" t="inlineStr">
        <is>
          <t>2114323-4161427</t>
        </is>
      </c>
      <c r="C366" t="inlineStr">
        <is>
          <t>Andrzej Kozieł</t>
        </is>
      </c>
      <c r="D366" t="inlineStr">
        <is>
          <t>44040211952</t>
        </is>
      </c>
      <c r="E366" s="1" t="n">
        <v>46151</v>
      </c>
      <c r="F366" t="inlineStr">
        <is>
          <t>CITO-CITO</t>
        </is>
      </c>
      <c r="G366" t="inlineStr">
        <is>
          <t>TK</t>
        </is>
      </c>
      <c r="H366" t="inlineStr">
        <is>
          <t>TK jamy brzusznej bez kontrastu</t>
        </is>
      </c>
      <c r="I366" t="inlineStr">
        <is>
          <t>TK Onkologia</t>
        </is>
      </c>
      <c r="J366" t="inlineStr">
        <is>
          <t>2 okolice anatomiczne</t>
        </is>
      </c>
      <c r="K366" t="inlineStr">
        <is>
          <t>Tomasz Bujalski</t>
        </is>
      </c>
      <c r="L366" t="inlineStr">
        <is>
          <t> </t>
        </is>
      </c>
      <c r="M366" t="inlineStr">
        <is>
          <t>POWIATOWY ZAKŁAD OPIEKI ZDROWOTNEJ</t>
        </is>
      </c>
      <c r="N366" t="inlineStr">
        <is>
          <t>SZPITALNY ODDZIAŁ RATUNKOWY</t>
        </is>
      </c>
      <c r="O366" t="inlineStr">
        <is>
          <t>JOLANTA PASTRYK</t>
        </is>
      </c>
      <c r="P366" t="inlineStr">
        <is>
          <t>2529708</t>
        </is>
      </c>
      <c r="Q366" t="inlineStr">
        <is>
          <t> </t>
        </is>
      </c>
      <c r="R366" t="inlineStr">
        <is>
          <t>starachowice</t>
        </is>
      </c>
      <c r="S366" s="1" t="n">
        <v>46151.65277777778</v>
      </c>
      <c r="T366" t="n">
        <v>0</v>
      </c>
      <c r="U366" t="inlineStr">
        <is>
          <t>BUJALSKI TOMASZ</t>
        </is>
      </c>
    </row>
    <row r="367">
      <c r="A367" s="1" t="n">
        <v>46151</v>
      </c>
      <c r="B367" t="inlineStr">
        <is>
          <t>2114514-4161762</t>
        </is>
      </c>
      <c r="C367" t="inlineStr">
        <is>
          <t>Jan Derlatka</t>
        </is>
      </c>
      <c r="D367" t="inlineStr">
        <is>
          <t>47063000534</t>
        </is>
      </c>
      <c r="E367" s="1" t="n">
        <v>46151</v>
      </c>
      <c r="F367" t="inlineStr">
        <is>
          <t>CITO-CITO</t>
        </is>
      </c>
      <c r="G367" t="inlineStr">
        <is>
          <t>TK</t>
        </is>
      </c>
      <c r="H367" t="inlineStr">
        <is>
          <t>TK głowy</t>
        </is>
      </c>
      <c r="I367" t="inlineStr">
        <is>
          <t>TK Onkologia</t>
        </is>
      </c>
      <c r="J367" t="inlineStr">
        <is>
          <t>1 okolica anatomiczna</t>
        </is>
      </c>
      <c r="K367" t="inlineStr">
        <is>
          <t>Tomasz Bujalski</t>
        </is>
      </c>
      <c r="L367" t="inlineStr">
        <is>
          <t> </t>
        </is>
      </c>
      <c r="M367" t="inlineStr">
        <is>
          <t>POWIATOWY ZAKŁAD OPIEKI ZDROWOTNEJ</t>
        </is>
      </c>
      <c r="N367" t="inlineStr">
        <is>
          <t>SZPITALNY ODDZIAŁ RATUNKOWY</t>
        </is>
      </c>
      <c r="O367" t="inlineStr">
        <is>
          <t>JOLANTA PASTRYK</t>
        </is>
      </c>
      <c r="P367" t="inlineStr">
        <is>
          <t>2529708</t>
        </is>
      </c>
      <c r="Q367" t="inlineStr">
        <is>
          <t> </t>
        </is>
      </c>
      <c r="R367" t="inlineStr">
        <is>
          <t>starachowice</t>
        </is>
      </c>
      <c r="S367" s="1" t="n">
        <v>46151.68333333333</v>
      </c>
      <c r="T367" t="n">
        <v>0</v>
      </c>
      <c r="U367" t="inlineStr">
        <is>
          <t>BUJALSKI TOMASZ</t>
        </is>
      </c>
    </row>
    <row r="368">
      <c r="A368" s="1" t="n">
        <v>46151</v>
      </c>
      <c r="B368" t="inlineStr">
        <is>
          <t>2114530-4161794</t>
        </is>
      </c>
      <c r="C368" t="inlineStr">
        <is>
          <t>Marek Gębka</t>
        </is>
      </c>
      <c r="D368" t="inlineStr">
        <is>
          <t>68071206471</t>
        </is>
      </c>
      <c r="E368" s="1" t="n">
        <v>46151</v>
      </c>
      <c r="F368" t="inlineStr">
        <is>
          <t>CITO-CITO</t>
        </is>
      </c>
      <c r="G368" t="inlineStr">
        <is>
          <t>TK</t>
        </is>
      </c>
      <c r="H368" t="inlineStr">
        <is>
          <t>TK głowy</t>
        </is>
      </c>
      <c r="I368" t="inlineStr">
        <is>
          <t>TK Onkologia</t>
        </is>
      </c>
      <c r="J368" t="inlineStr">
        <is>
          <t>1 okolica anatomiczna</t>
        </is>
      </c>
      <c r="K368" t="inlineStr">
        <is>
          <t>Tomasz Bujalski</t>
        </is>
      </c>
      <c r="L368" t="inlineStr">
        <is>
          <t> </t>
        </is>
      </c>
      <c r="M368" t="inlineStr">
        <is>
          <t>POWIATOWY ZAKŁAD OPIEKI ZDROWOTNEJ</t>
        </is>
      </c>
      <c r="N368" t="inlineStr">
        <is>
          <t>SZPITALNY ODDZIAŁ RATUNKOWY</t>
        </is>
      </c>
      <c r="O368" t="inlineStr">
        <is>
          <t>MIKHAIL RAUKACH</t>
        </is>
      </c>
      <c r="P368" t="inlineStr">
        <is>
          <t>3891161</t>
        </is>
      </c>
      <c r="Q368" t="inlineStr">
        <is>
          <t> </t>
        </is>
      </c>
      <c r="R368" t="inlineStr">
        <is>
          <t>starachowice</t>
        </is>
      </c>
      <c r="S368" s="1" t="n">
        <v>46151.69652777778</v>
      </c>
      <c r="T368" t="n">
        <v>0</v>
      </c>
      <c r="U368" t="inlineStr">
        <is>
          <t>BUJALSKI TOMASZ</t>
        </is>
      </c>
    </row>
    <row r="369">
      <c r="A369" s="1" t="n">
        <v>46158</v>
      </c>
      <c r="B369" t="inlineStr">
        <is>
          <t>2125245-4181998</t>
        </is>
      </c>
      <c r="C369" t="inlineStr">
        <is>
          <t>MARIANNA KOWAL</t>
        </is>
      </c>
      <c r="D369" t="inlineStr">
        <is>
          <t>39090809202</t>
        </is>
      </c>
      <c r="E369" s="1" t="n">
        <v>46158</v>
      </c>
      <c r="F369" t="inlineStr">
        <is>
          <t>CITO-CITO</t>
        </is>
      </c>
      <c r="G369" t="inlineStr">
        <is>
          <t>TK</t>
        </is>
      </c>
      <c r="H369" t="inlineStr">
        <is>
          <t>TK głowy</t>
        </is>
      </c>
      <c r="I369" t="inlineStr">
        <is>
          <t>TK Onkologia</t>
        </is>
      </c>
      <c r="J369" t="inlineStr">
        <is>
          <t>1 okolica anatomiczna</t>
        </is>
      </c>
      <c r="K369" t="inlineStr">
        <is>
          <t>Tomasz Bujalski</t>
        </is>
      </c>
      <c r="L369" t="inlineStr">
        <is>
          <t> </t>
        </is>
      </c>
      <c r="M369" t="inlineStr">
        <is>
          <t>POWIATOWY ZAKŁAD OPIEKI ZDROWOTNEJ</t>
        </is>
      </c>
      <c r="N369" t="inlineStr">
        <is>
          <t>SZPITALNY ODDZIAŁ RATUNKOWY</t>
        </is>
      </c>
      <c r="O369" t="inlineStr">
        <is>
          <t>TATSIANA AKSENAVA</t>
        </is>
      </c>
      <c r="P369" t="inlineStr">
        <is>
          <t>3891025</t>
        </is>
      </c>
      <c r="Q369" t="inlineStr">
        <is>
          <t> </t>
        </is>
      </c>
      <c r="R369" t="inlineStr">
        <is>
          <t>starachowice</t>
        </is>
      </c>
      <c r="S369" s="1" t="n">
        <v>46158.53333333333</v>
      </c>
      <c r="T369" t="n">
        <v>0</v>
      </c>
      <c r="U369" t="inlineStr">
        <is>
          <t>BUJALSKI TOMASZ</t>
        </is>
      </c>
    </row>
    <row r="370">
      <c r="A370" s="1" t="n">
        <v>46158</v>
      </c>
      <c r="B370" t="inlineStr">
        <is>
          <t>2125263-4182043</t>
        </is>
      </c>
      <c r="C370" t="inlineStr">
        <is>
          <t>Jerzy Skwarek</t>
        </is>
      </c>
      <c r="D370" t="inlineStr">
        <is>
          <t>50102809377</t>
        </is>
      </c>
      <c r="E370" s="1" t="n">
        <v>46158</v>
      </c>
      <c r="F370" t="inlineStr">
        <is>
          <t>CITO-CITO</t>
        </is>
      </c>
      <c r="G370" t="inlineStr">
        <is>
          <t>TK</t>
        </is>
      </c>
      <c r="H370" t="inlineStr">
        <is>
          <t>TK głowy</t>
        </is>
      </c>
      <c r="I370" t="inlineStr">
        <is>
          <t>TK Onkologia</t>
        </is>
      </c>
      <c r="J370" t="inlineStr">
        <is>
          <t>1 okolica anatomiczna</t>
        </is>
      </c>
      <c r="K370" t="inlineStr">
        <is>
          <t>Tomasz Bujalski</t>
        </is>
      </c>
      <c r="L370" t="inlineStr">
        <is>
          <t> </t>
        </is>
      </c>
      <c r="M370" t="inlineStr">
        <is>
          <t>POWIATOWY ZAKŁAD OPIEKI ZDROWOTNEJ</t>
        </is>
      </c>
      <c r="N370" t="inlineStr">
        <is>
          <t>SZPITALNY ODDZIAŁ RATUNKOWY</t>
        </is>
      </c>
      <c r="O370" t="inlineStr">
        <is>
          <t>TATSIANA AKSENAVA</t>
        </is>
      </c>
      <c r="P370" t="inlineStr">
        <is>
          <t>3891025</t>
        </is>
      </c>
      <c r="Q370" t="inlineStr">
        <is>
          <t> </t>
        </is>
      </c>
      <c r="R370" t="inlineStr">
        <is>
          <t>starachowice</t>
        </is>
      </c>
      <c r="S370" s="1" t="n">
        <v>46158.57083333333</v>
      </c>
      <c r="T370" t="n">
        <v>0</v>
      </c>
      <c r="U370" t="inlineStr">
        <is>
          <t>BUJALSKI TOMASZ</t>
        </is>
      </c>
    </row>
    <row r="371">
      <c r="A371" s="1" t="n">
        <v>46158</v>
      </c>
      <c r="B371" t="inlineStr">
        <is>
          <t>2125271-4182079</t>
        </is>
      </c>
      <c r="C371" t="inlineStr">
        <is>
          <t>Waldemar Sobański</t>
        </is>
      </c>
      <c r="D371" t="inlineStr">
        <is>
          <t>68092914090</t>
        </is>
      </c>
      <c r="E371" s="1" t="n">
        <v>46158</v>
      </c>
      <c r="F371" t="inlineStr">
        <is>
          <t>CITO-CITO</t>
        </is>
      </c>
      <c r="G371" t="inlineStr">
        <is>
          <t>TK</t>
        </is>
      </c>
      <c r="H371" t="inlineStr">
        <is>
          <t>TK klatki piersiowej</t>
        </is>
      </c>
      <c r="I371" t="inlineStr">
        <is>
          <t>TK Zwykłe</t>
        </is>
      </c>
      <c r="J371" t="inlineStr">
        <is>
          <t>1 okolica anatomiczna</t>
        </is>
      </c>
      <c r="K371" t="inlineStr">
        <is>
          <t>Tomasz Bujalski</t>
        </is>
      </c>
      <c r="L371" t="inlineStr">
        <is>
          <t> </t>
        </is>
      </c>
      <c r="M371" t="inlineStr">
        <is>
          <t>POWIATOWY ZAKŁAD OPIEKI ZDROWOTNEJ</t>
        </is>
      </c>
      <c r="N371" t="inlineStr">
        <is>
          <t>SZPITALNY ODDZIAŁ RATUNKOWY</t>
        </is>
      </c>
      <c r="O371" t="inlineStr">
        <is>
          <t>TATSIANA AKSENAVA</t>
        </is>
      </c>
      <c r="P371" t="inlineStr">
        <is>
          <t>3891025</t>
        </is>
      </c>
      <c r="Q371" t="inlineStr">
        <is>
          <t> </t>
        </is>
      </c>
      <c r="R371" t="inlineStr">
        <is>
          <t>starachowice</t>
        </is>
      </c>
      <c r="S371" s="1" t="n">
        <v>46158.61944444444</v>
      </c>
      <c r="T371" t="n">
        <v>0</v>
      </c>
      <c r="U371" t="inlineStr">
        <is>
          <t>BUJALSKI TOMASZ</t>
        </is>
      </c>
    </row>
    <row r="372">
      <c r="A372" s="1" t="n">
        <v>46158</v>
      </c>
      <c r="B372" t="inlineStr">
        <is>
          <t>2125275-4182084</t>
        </is>
      </c>
      <c r="C372" t="inlineStr">
        <is>
          <t>Irena Sławek</t>
        </is>
      </c>
      <c r="D372" t="inlineStr">
        <is>
          <t>39032307702</t>
        </is>
      </c>
      <c r="E372" s="1" t="n">
        <v>46158</v>
      </c>
      <c r="F372" t="inlineStr">
        <is>
          <t>CITO-CITO</t>
        </is>
      </c>
      <c r="G372" t="inlineStr">
        <is>
          <t>TK</t>
        </is>
      </c>
      <c r="H372" t="inlineStr">
        <is>
          <t>TK głowy</t>
        </is>
      </c>
      <c r="I372" t="inlineStr">
        <is>
          <t>TK Onkologia</t>
        </is>
      </c>
      <c r="J372" t="inlineStr">
        <is>
          <t>1 okolica anatomiczna</t>
        </is>
      </c>
      <c r="K372" t="inlineStr">
        <is>
          <t>Tomasz Bujalski</t>
        </is>
      </c>
      <c r="L372" t="inlineStr">
        <is>
          <t> </t>
        </is>
      </c>
      <c r="M372" t="inlineStr">
        <is>
          <t>POWIATOWY ZAKŁAD OPIEKI ZDROWOTNEJ</t>
        </is>
      </c>
      <c r="N372" t="inlineStr">
        <is>
          <t>SZPITALNY ODDZIAŁ RATUNKOWY</t>
        </is>
      </c>
      <c r="O372" t="inlineStr">
        <is>
          <t>TATSIANA AKSENAVA</t>
        </is>
      </c>
      <c r="P372" t="inlineStr">
        <is>
          <t>3891025</t>
        </is>
      </c>
      <c r="Q372" t="inlineStr">
        <is>
          <t> </t>
        </is>
      </c>
      <c r="R372" t="inlineStr">
        <is>
          <t>starachowice</t>
        </is>
      </c>
      <c r="S372" s="1" t="n">
        <v>46158.59861111111</v>
      </c>
      <c r="T372" t="n">
        <v>0</v>
      </c>
      <c r="U372" t="inlineStr">
        <is>
          <t>BUJALSKI TOMASZ</t>
        </is>
      </c>
    </row>
    <row r="373">
      <c r="A373" s="1" t="n">
        <v>46158</v>
      </c>
      <c r="B373" t="inlineStr">
        <is>
          <t>2125279-4182088</t>
        </is>
      </c>
      <c r="C373" t="inlineStr">
        <is>
          <t>Józefa Stępień</t>
        </is>
      </c>
      <c r="D373" t="inlineStr">
        <is>
          <t>50031613029</t>
        </is>
      </c>
      <c r="E373" s="1" t="n">
        <v>46158</v>
      </c>
      <c r="F373" t="inlineStr">
        <is>
          <t>CITO-CITO</t>
        </is>
      </c>
      <c r="G373" t="inlineStr">
        <is>
          <t>TK</t>
        </is>
      </c>
      <c r="H373" t="inlineStr">
        <is>
          <t>TK twarzoczaszki</t>
        </is>
      </c>
      <c r="I373" t="inlineStr">
        <is>
          <t>TK Onkologia</t>
        </is>
      </c>
      <c r="J373" t="inlineStr">
        <is>
          <t>1 okolica anatomiczna</t>
        </is>
      </c>
      <c r="K373" t="inlineStr">
        <is>
          <t>Tomasz Bujalski</t>
        </is>
      </c>
      <c r="L373" t="inlineStr">
        <is>
          <t> </t>
        </is>
      </c>
      <c r="M373" t="inlineStr">
        <is>
          <t>POWIATOWY ZAKŁAD OPIEKI ZDROWOTNEJ</t>
        </is>
      </c>
      <c r="N373" t="inlineStr">
        <is>
          <t>SZPITALNY ODDZIAŁ RATUNKOWY</t>
        </is>
      </c>
      <c r="O373" t="inlineStr">
        <is>
          <t>VADZIM PRYSTROM</t>
        </is>
      </c>
      <c r="P373" t="inlineStr">
        <is>
          <t>3891150</t>
        </is>
      </c>
      <c r="Q373" t="inlineStr">
        <is>
          <t> </t>
        </is>
      </c>
      <c r="R373" t="inlineStr">
        <is>
          <t>starachowice</t>
        </is>
      </c>
      <c r="S373" s="1" t="n">
        <v>46158.62222222222</v>
      </c>
      <c r="T373" t="n">
        <v>0</v>
      </c>
      <c r="U373" t="inlineStr">
        <is>
          <t>BUJALSKI TOMASZ</t>
        </is>
      </c>
    </row>
    <row r="374">
      <c r="A374" s="1" t="n">
        <v>46158</v>
      </c>
      <c r="B374" t="inlineStr">
        <is>
          <t>2125284-4182102</t>
        </is>
      </c>
      <c r="C374" t="inlineStr">
        <is>
          <t>Jan Kępa</t>
        </is>
      </c>
      <c r="D374" t="inlineStr">
        <is>
          <t>61052810492</t>
        </is>
      </c>
      <c r="E374" s="1" t="n">
        <v>46158</v>
      </c>
      <c r="F374" t="inlineStr">
        <is>
          <t>CITO-CITO</t>
        </is>
      </c>
      <c r="G374" t="inlineStr">
        <is>
          <t>TK</t>
        </is>
      </c>
      <c r="H374" t="inlineStr">
        <is>
          <t>TK głowy</t>
        </is>
      </c>
      <c r="I374" t="inlineStr">
        <is>
          <t>TK Onkologia</t>
        </is>
      </c>
      <c r="J374" t="inlineStr">
        <is>
          <t>1 okolica anatomiczna</t>
        </is>
      </c>
      <c r="K374" t="inlineStr">
        <is>
          <t>Tomasz Bujalski</t>
        </is>
      </c>
      <c r="L374" t="inlineStr">
        <is>
          <t> </t>
        </is>
      </c>
      <c r="M374" t="inlineStr">
        <is>
          <t>POWIATOWY ZAKŁAD OPIEKI ZDROWOTNEJ</t>
        </is>
      </c>
      <c r="N374" t="inlineStr">
        <is>
          <t>SZPITALNY ODDZIAŁ RATUNKOWY</t>
        </is>
      </c>
      <c r="O374" t="inlineStr">
        <is>
          <t>TATSIANA AKSENAVA</t>
        </is>
      </c>
      <c r="P374" t="inlineStr">
        <is>
          <t>3891025</t>
        </is>
      </c>
      <c r="Q374" t="inlineStr">
        <is>
          <t> </t>
        </is>
      </c>
      <c r="R374" t="inlineStr">
        <is>
          <t>starachowice</t>
        </is>
      </c>
      <c r="S374" s="1" t="n">
        <v>46158.62083333333</v>
      </c>
      <c r="T374" t="n">
        <v>0</v>
      </c>
      <c r="U374" t="inlineStr">
        <is>
          <t>BUJALSKI TOMASZ</t>
        </is>
      </c>
    </row>
    <row r="375">
      <c r="A375" s="1" t="n">
        <v>46158</v>
      </c>
      <c r="B375" t="inlineStr">
        <is>
          <t>2125318-4182163</t>
        </is>
      </c>
      <c r="C375" t="inlineStr">
        <is>
          <t>TERESA ZIOMEK</t>
        </is>
      </c>
      <c r="D375" t="inlineStr">
        <is>
          <t>50110613328</t>
        </is>
      </c>
      <c r="E375" s="1" t="n">
        <v>46158</v>
      </c>
      <c r="F375" t="inlineStr">
        <is>
          <t>CITO-CITO</t>
        </is>
      </c>
      <c r="G375" t="inlineStr">
        <is>
          <t>TK</t>
        </is>
      </c>
      <c r="H375" t="inlineStr">
        <is>
          <t>TK jamy brzusznej bez kontrastu</t>
        </is>
      </c>
      <c r="I375" t="inlineStr">
        <is>
          <t>TK Onkologia</t>
        </is>
      </c>
      <c r="J375" t="inlineStr">
        <is>
          <t>2 okolice anatomiczne</t>
        </is>
      </c>
      <c r="K375" t="inlineStr">
        <is>
          <t>Tomasz Bujalski</t>
        </is>
      </c>
      <c r="L375" t="inlineStr">
        <is>
          <t> </t>
        </is>
      </c>
      <c r="M375" t="inlineStr">
        <is>
          <t>POWIATOWY ZAKŁAD OPIEKI ZDROWOTNEJ</t>
        </is>
      </c>
      <c r="N375" t="inlineStr">
        <is>
          <t>SZPITALNY ODDZIAŁ RATUNKOWY</t>
        </is>
      </c>
      <c r="O375" t="inlineStr">
        <is>
          <t>IRYNA ARLOVA</t>
        </is>
      </c>
      <c r="P375" t="inlineStr">
        <is>
          <t>3963549</t>
        </is>
      </c>
      <c r="Q375" t="inlineStr">
        <is>
          <t> </t>
        </is>
      </c>
      <c r="R375" t="inlineStr">
        <is>
          <t>starachowice</t>
        </is>
      </c>
      <c r="S375" s="1" t="n">
        <v>46158.64236111111</v>
      </c>
      <c r="T375" t="n">
        <v>0</v>
      </c>
      <c r="U375" t="inlineStr">
        <is>
          <t>BUJALSKI TOMASZ</t>
        </is>
      </c>
    </row>
    <row r="376">
      <c r="A376" s="1" t="n">
        <v>46159</v>
      </c>
      <c r="B376" t="inlineStr">
        <is>
          <t>2124950-4181406</t>
        </is>
      </c>
      <c r="C376" t="inlineStr">
        <is>
          <t>Agnieszka Tatarek</t>
        </is>
      </c>
      <c r="D376" t="inlineStr">
        <is>
          <t>77030104402</t>
        </is>
      </c>
      <c r="E376" s="1" t="n">
        <v>46159</v>
      </c>
      <c r="F376" t="inlineStr">
        <is>
          <t>CITO-CITO</t>
        </is>
      </c>
      <c r="G376" t="inlineStr">
        <is>
          <t>TK</t>
        </is>
      </c>
      <c r="H376" t="inlineStr">
        <is>
          <t>TK stawów, kości</t>
        </is>
      </c>
      <c r="I376" t="inlineStr">
        <is>
          <t>TK Angiografia</t>
        </is>
      </c>
      <c r="J376" t="inlineStr">
        <is>
          <t>1 okolica anatomiczna</t>
        </is>
      </c>
      <c r="K376" t="inlineStr">
        <is>
          <t>Tomasz Bujalski</t>
        </is>
      </c>
      <c r="L376" t="inlineStr">
        <is>
          <t> </t>
        </is>
      </c>
      <c r="M376" t="inlineStr">
        <is>
          <t>POWIATOWY ZAKŁAD OPIEKI ZDROWOTNEJ</t>
        </is>
      </c>
      <c r="N376" t="inlineStr">
        <is>
          <t>ODDZIAŁ CHIRURGII URAZOWO-ORTOPEDYCZNEJ Z PODODDZIAŁEM ENDOPROTEZOPLASTYKI</t>
        </is>
      </c>
      <c r="O376" t="inlineStr">
        <is>
          <t>MACIEJ DYLEWSKI</t>
        </is>
      </c>
      <c r="P376" t="inlineStr">
        <is>
          <t>3120062</t>
        </is>
      </c>
      <c r="Q376" t="inlineStr">
        <is>
          <t> </t>
        </is>
      </c>
      <c r="R376" t="inlineStr">
        <is>
          <t>starachowice</t>
        </is>
      </c>
      <c r="S376" s="1" t="n">
        <v>46159.40902777778</v>
      </c>
      <c r="T376" t="n">
        <v>1</v>
      </c>
      <c r="U376" t="inlineStr">
        <is>
          <t>BUJALSKI TOMASZ</t>
        </is>
      </c>
    </row>
    <row r="377">
      <c r="A377" s="1" t="n">
        <v>46172</v>
      </c>
      <c r="B377" t="inlineStr">
        <is>
          <t>2146951-4222879</t>
        </is>
      </c>
      <c r="C377" t="inlineStr">
        <is>
          <t>Cecylia Godzisz</t>
        </is>
      </c>
      <c r="D377" t="inlineStr">
        <is>
          <t>37050406104</t>
        </is>
      </c>
      <c r="E377" s="1" t="n">
        <v>46172</v>
      </c>
      <c r="F377" t="inlineStr">
        <is>
          <t>CITO-CITO</t>
        </is>
      </c>
      <c r="G377" t="inlineStr">
        <is>
          <t>TK</t>
        </is>
      </c>
      <c r="H377" t="inlineStr">
        <is>
          <t>TK jamy brzusznej z kontrastem</t>
        </is>
      </c>
      <c r="I377" t="inlineStr">
        <is>
          <t>TK Zwykłe</t>
        </is>
      </c>
      <c r="J377" t="inlineStr">
        <is>
          <t>2 okolice anatomiczne</t>
        </is>
      </c>
      <c r="K377" t="inlineStr">
        <is>
          <t>Tomasz Bujalski</t>
        </is>
      </c>
      <c r="L377" t="inlineStr">
        <is>
          <t> </t>
        </is>
      </c>
      <c r="M377" t="inlineStr">
        <is>
          <t>POWIATOWY ZAKŁAD OPIEKI ZDROWOTNEJ</t>
        </is>
      </c>
      <c r="N377" t="inlineStr">
        <is>
          <t>SZPITALNY ODDZIAŁ RATUNKOWY</t>
        </is>
      </c>
      <c r="O377" t="inlineStr">
        <is>
          <t>TATSIANA AKSENAVA</t>
        </is>
      </c>
      <c r="P377" t="inlineStr">
        <is>
          <t>3891025</t>
        </is>
      </c>
      <c r="Q377" t="inlineStr">
        <is>
          <t> </t>
        </is>
      </c>
      <c r="R377" t="inlineStr">
        <is>
          <t>starachowice</t>
        </is>
      </c>
      <c r="S377" s="1" t="n">
        <v>46172.40763888889</v>
      </c>
      <c r="T377" t="n">
        <v>0</v>
      </c>
      <c r="U377" t="inlineStr">
        <is>
          <t>BUJALSKI TOMASZ</t>
        </is>
      </c>
    </row>
    <row r="378">
      <c r="A378" s="1" t="n">
        <v>46172</v>
      </c>
      <c r="B378" t="inlineStr">
        <is>
          <t>2147207-4223352</t>
        </is>
      </c>
      <c r="C378" t="inlineStr">
        <is>
          <t>Wiesława Sokołowska</t>
        </is>
      </c>
      <c r="D378" t="inlineStr">
        <is>
          <t>63011410808</t>
        </is>
      </c>
      <c r="E378" s="1" t="n">
        <v>46172</v>
      </c>
      <c r="F378" t="inlineStr">
        <is>
          <t>CITO-CITO</t>
        </is>
      </c>
      <c r="G378" t="inlineStr">
        <is>
          <t>TK</t>
        </is>
      </c>
      <c r="H378" t="inlineStr">
        <is>
          <t>TK głowy</t>
        </is>
      </c>
      <c r="I378" t="inlineStr">
        <is>
          <t>TK Onkologia</t>
        </is>
      </c>
      <c r="J378" t="inlineStr">
        <is>
          <t>1 okolica anatomiczna</t>
        </is>
      </c>
      <c r="K378" t="inlineStr">
        <is>
          <t>Tomasz Bujalski</t>
        </is>
      </c>
      <c r="L378" t="inlineStr">
        <is>
          <t> </t>
        </is>
      </c>
      <c r="M378" t="inlineStr">
        <is>
          <t>POWIATOWY ZAKŁAD OPIEKI ZDROWOTNEJ</t>
        </is>
      </c>
      <c r="N378" t="inlineStr">
        <is>
          <t>SZPITALNY ODDZIAŁ RATUNKOWY</t>
        </is>
      </c>
      <c r="O378" t="inlineStr">
        <is>
          <t>ALIAKSEI KARNIAICHUK</t>
        </is>
      </c>
      <c r="P378" t="inlineStr">
        <is>
          <t>3869732</t>
        </is>
      </c>
      <c r="Q378" t="inlineStr">
        <is>
          <t> </t>
        </is>
      </c>
      <c r="R378" t="inlineStr">
        <is>
          <t>starachowice</t>
        </is>
      </c>
      <c r="S378" s="1" t="n">
        <v>46172.59791666667</v>
      </c>
      <c r="T378" t="n">
        <v>0</v>
      </c>
      <c r="U378" t="inlineStr">
        <is>
          <t>BUJALSKI TOMASZ</t>
        </is>
      </c>
    </row>
    <row r="379">
      <c r="A379" s="1" t="n">
        <v>46149</v>
      </c>
      <c r="B379" t="inlineStr">
        <is>
          <t>TK/26/8379</t>
        </is>
      </c>
      <c r="C379" t="inlineStr">
        <is>
          <t>Jan Ostolski</t>
        </is>
      </c>
      <c r="D379" t="inlineStr">
        <is>
          <t>03282105937</t>
        </is>
      </c>
      <c r="E379" s="1" t="n">
        <v>46149</v>
      </c>
      <c r="F379" t="inlineStr">
        <is>
          <t>CITO-CITO</t>
        </is>
      </c>
      <c r="G379" t="inlineStr">
        <is>
          <t>TK</t>
        </is>
      </c>
      <c r="H379" t="inlineStr">
        <is>
          <t>TK głowy i klatki piersiowej przeglądowe</t>
        </is>
      </c>
      <c r="I379" t="inlineStr">
        <is>
          <t>TK Zwykłe</t>
        </is>
      </c>
      <c r="J379" t="inlineStr">
        <is>
          <t>2 okolice anatomiczne</t>
        </is>
      </c>
      <c r="K379" t="inlineStr">
        <is>
          <t>Tomasz Bujalski</t>
        </is>
      </c>
      <c r="L379" t="inlineStr">
        <is>
          <t> </t>
        </is>
      </c>
      <c r="M379" t="inlineStr">
        <is>
          <t>Szpital Wojewódzki im. Mikołaja Kopernika w Koszalinie</t>
        </is>
      </c>
      <c r="N379" t="inlineStr">
        <is>
          <t xml:space="preserve">Szpitalny Oddział Ratunkowy </t>
        </is>
      </c>
      <c r="O379" t="inlineStr">
        <is>
          <t>Piotr Kaczkowski</t>
        </is>
      </c>
      <c r="P379" t="n">
        <v>2778583</v>
      </c>
      <c r="Q379" t="inlineStr">
        <is>
          <t>S29</t>
        </is>
      </c>
      <c r="R379" t="inlineStr">
        <is>
          <t>swk</t>
        </is>
      </c>
      <c r="S379" s="1" t="n">
        <v>46149.09513888889</v>
      </c>
      <c r="T379" t="n">
        <v>0</v>
      </c>
      <c r="U379" t="inlineStr">
        <is>
          <t>BUJALSKI TOMASZ</t>
        </is>
      </c>
    </row>
    <row r="380">
      <c r="A380" s="1" t="n">
        <v>46149</v>
      </c>
      <c r="B380" t="inlineStr">
        <is>
          <t>TK/26/8382</t>
        </is>
      </c>
      <c r="C380" t="inlineStr">
        <is>
          <t>Krystian Nawrot</t>
        </is>
      </c>
      <c r="D380" t="inlineStr">
        <is>
          <t>03291201178</t>
        </is>
      </c>
      <c r="E380" s="1" t="n">
        <v>46149</v>
      </c>
      <c r="F380" t="inlineStr">
        <is>
          <t>CITO-CITO</t>
        </is>
      </c>
      <c r="G380" t="inlineStr">
        <is>
          <t>TK</t>
        </is>
      </c>
      <c r="H380" t="inlineStr">
        <is>
          <t>TK j.brzusznej i miednicy przeglądowa</t>
        </is>
      </c>
      <c r="I380" t="inlineStr">
        <is>
          <t>TK Zwykłe</t>
        </is>
      </c>
      <c r="J380" t="inlineStr">
        <is>
          <t>2 okolice anatomiczne</t>
        </is>
      </c>
      <c r="K380" t="inlineStr">
        <is>
          <t>Tomasz Bujalski</t>
        </is>
      </c>
      <c r="L380" t="inlineStr">
        <is>
          <t> </t>
        </is>
      </c>
      <c r="M380" t="inlineStr">
        <is>
          <t>Szpital Wojewódzki im. Mikołaja Kopernika w Koszalinie</t>
        </is>
      </c>
      <c r="N380" t="inlineStr">
        <is>
          <t xml:space="preserve">Szpitalny Oddział Ratunkowy </t>
        </is>
      </c>
      <c r="O380" t="inlineStr">
        <is>
          <t>Adriana Kowalke</t>
        </is>
      </c>
      <c r="P380" t="n">
        <v>4033309</v>
      </c>
      <c r="Q380" t="inlineStr">
        <is>
          <t>R10.4</t>
        </is>
      </c>
      <c r="R380" t="inlineStr">
        <is>
          <t>swk</t>
        </is>
      </c>
      <c r="S380" s="1" t="n">
        <v>46149.13194444445</v>
      </c>
      <c r="T380" t="n">
        <v>0</v>
      </c>
      <c r="U380" t="inlineStr">
        <is>
          <t>BUJALSKI TOMASZ</t>
        </is>
      </c>
    </row>
    <row r="381">
      <c r="A381" s="1" t="n">
        <v>46150</v>
      </c>
      <c r="B381" t="inlineStr">
        <is>
          <t>TK/26/8505</t>
        </is>
      </c>
      <c r="C381" t="inlineStr">
        <is>
          <t>Lech Krzynowek</t>
        </is>
      </c>
      <c r="D381" t="inlineStr">
        <is>
          <t>70063008455</t>
        </is>
      </c>
      <c r="E381" s="1" t="n">
        <v>46150</v>
      </c>
      <c r="F381" t="inlineStr">
        <is>
          <t>CITO-CITO</t>
        </is>
      </c>
      <c r="G381" t="inlineStr">
        <is>
          <t>TK</t>
        </is>
      </c>
      <c r="H381" t="inlineStr">
        <is>
          <t>TK głowy przeglądowa</t>
        </is>
      </c>
      <c r="I381" t="inlineStr">
        <is>
          <t>TK Zwykłe</t>
        </is>
      </c>
      <c r="J381" t="inlineStr">
        <is>
          <t>1 okolica anatomiczna</t>
        </is>
      </c>
      <c r="K381" t="inlineStr">
        <is>
          <t>Tomasz Bujalski</t>
        </is>
      </c>
      <c r="L381" t="inlineStr">
        <is>
          <t> </t>
        </is>
      </c>
      <c r="M381" t="inlineStr">
        <is>
          <t>Szpital Wojewódzki im. Mikołaja Kopernika w Koszalinie</t>
        </is>
      </c>
      <c r="N381" t="inlineStr">
        <is>
          <t xml:space="preserve">Szpitalny Oddział Ratunkowy </t>
        </is>
      </c>
      <c r="O381" t="inlineStr">
        <is>
          <t>Piotr Murawski</t>
        </is>
      </c>
      <c r="P381" t="n">
        <v>2550691</v>
      </c>
      <c r="Q381" t="inlineStr">
        <is>
          <t>S01</t>
        </is>
      </c>
      <c r="R381" t="inlineStr">
        <is>
          <t>swk</t>
        </is>
      </c>
      <c r="S381" s="1" t="n">
        <v>46150.41458333333</v>
      </c>
      <c r="T381" t="n">
        <v>0</v>
      </c>
      <c r="U381" t="inlineStr">
        <is>
          <t>BUJALSKI TOMASZ</t>
        </is>
      </c>
    </row>
    <row r="382">
      <c r="A382" s="1" t="n">
        <v>46150</v>
      </c>
      <c r="B382" t="inlineStr">
        <is>
          <t>TK/26/8506</t>
        </is>
      </c>
      <c r="C382" t="inlineStr">
        <is>
          <t>Lech Krzynowek</t>
        </is>
      </c>
      <c r="D382" t="inlineStr">
        <is>
          <t>70063008455</t>
        </is>
      </c>
      <c r="E382" s="1" t="n">
        <v>46150</v>
      </c>
      <c r="F382" t="inlineStr">
        <is>
          <t>CITO-CITO</t>
        </is>
      </c>
      <c r="G382" t="inlineStr">
        <is>
          <t>TK</t>
        </is>
      </c>
      <c r="H382" t="inlineStr">
        <is>
          <t>TK kręgosłupa szyjnego przeglądowa</t>
        </is>
      </c>
      <c r="I382" t="inlineStr">
        <is>
          <t>TK Zwykłe</t>
        </is>
      </c>
      <c r="J382" t="inlineStr">
        <is>
          <t>1 okolica anatomiczna</t>
        </is>
      </c>
      <c r="K382" t="inlineStr">
        <is>
          <t>Tomasz Bujalski</t>
        </is>
      </c>
      <c r="L382" t="inlineStr">
        <is>
          <t> </t>
        </is>
      </c>
      <c r="M382" t="inlineStr">
        <is>
          <t>Szpital Wojewódzki im. Mikołaja Kopernika w Koszalinie</t>
        </is>
      </c>
      <c r="N382" t="inlineStr">
        <is>
          <t xml:space="preserve">Szpitalny Oddział Ratunkowy </t>
        </is>
      </c>
      <c r="O382" t="inlineStr">
        <is>
          <t>Piotr Murawski</t>
        </is>
      </c>
      <c r="P382" t="n">
        <v>2550691</v>
      </c>
      <c r="Q382" t="inlineStr">
        <is>
          <t>S01</t>
        </is>
      </c>
      <c r="R382" t="inlineStr">
        <is>
          <t>swk</t>
        </is>
      </c>
      <c r="S382" s="1" t="n">
        <v>46150.41458333333</v>
      </c>
      <c r="T382" t="n">
        <v>0</v>
      </c>
      <c r="U382" t="inlineStr">
        <is>
          <t>BUJALSKI TOMASZ</t>
        </is>
      </c>
    </row>
    <row r="383">
      <c r="A383" s="1" t="n">
        <v>46154</v>
      </c>
      <c r="B383" t="inlineStr">
        <is>
          <t>TK/26/8471</t>
        </is>
      </c>
      <c r="C383" t="inlineStr">
        <is>
          <t>Aldona Bać</t>
        </is>
      </c>
      <c r="D383" t="inlineStr">
        <is>
          <t>71041306123</t>
        </is>
      </c>
      <c r="E383" s="1" t="n">
        <v>46150</v>
      </c>
      <c r="F383" t="inlineStr">
        <is>
          <t>Pilny</t>
        </is>
      </c>
      <c r="G383" t="inlineStr">
        <is>
          <t>TK</t>
        </is>
      </c>
      <c r="H383" t="inlineStr">
        <is>
          <t>TK głowy, klatki piersiowej, jamy brzusznej i miednicy wielofazowe</t>
        </is>
      </c>
      <c r="I383" t="inlineStr">
        <is>
          <t>TK Onkologia</t>
        </is>
      </c>
      <c r="J383" t="inlineStr">
        <is>
          <t>4 okolice anatomiczne</t>
        </is>
      </c>
      <c r="K383" t="inlineStr">
        <is>
          <t>Tomasz Bujalski</t>
        </is>
      </c>
      <c r="L383" t="inlineStr">
        <is>
          <t> </t>
        </is>
      </c>
      <c r="M383" t="inlineStr">
        <is>
          <t>Szpital Wojewódzki im. Mikołaja Kopernika w Koszalinie</t>
        </is>
      </c>
      <c r="N383" t="inlineStr">
        <is>
          <t>Oddział Onkologii i Chemioterapii</t>
        </is>
      </c>
      <c r="O383" t="inlineStr">
        <is>
          <t>Michał Porzych</t>
        </is>
      </c>
      <c r="P383" t="n">
        <v>2610569</v>
      </c>
      <c r="Q383" t="inlineStr">
        <is>
          <t>C50</t>
        </is>
      </c>
      <c r="R383" t="inlineStr">
        <is>
          <t>swk</t>
        </is>
      </c>
      <c r="S383" s="1" t="n">
        <v>46154.31805555556</v>
      </c>
      <c r="T383" t="n">
        <v>4</v>
      </c>
      <c r="U383" t="inlineStr">
        <is>
          <t>BUJALSKI TOMASZ</t>
        </is>
      </c>
    </row>
    <row r="384">
      <c r="A384" s="1" t="n">
        <v>46154</v>
      </c>
      <c r="B384" t="inlineStr">
        <is>
          <t>TK/26/8622</t>
        </is>
      </c>
      <c r="C384" t="inlineStr">
        <is>
          <t>Mariola Zubal</t>
        </is>
      </c>
      <c r="D384" t="inlineStr">
        <is>
          <t>72050610182</t>
        </is>
      </c>
      <c r="E384" s="1" t="n">
        <v>46153</v>
      </c>
      <c r="F384" t="inlineStr">
        <is>
          <t>Pilny</t>
        </is>
      </c>
      <c r="G384" t="inlineStr">
        <is>
          <t>TK</t>
        </is>
      </c>
      <c r="H384" t="inlineStr">
        <is>
          <t>TK twarzoczaszki, szyi i klatki piersiowej ze wzmocnieniem</t>
        </is>
      </c>
      <c r="I384" t="inlineStr">
        <is>
          <t>TK Onkologia</t>
        </is>
      </c>
      <c r="J384" t="inlineStr">
        <is>
          <t>3 okolice anatomiczne</t>
        </is>
      </c>
      <c r="K384" t="inlineStr">
        <is>
          <t>Tomasz Bujalski</t>
        </is>
      </c>
      <c r="L384" t="inlineStr">
        <is>
          <t> </t>
        </is>
      </c>
      <c r="M384" t="inlineStr">
        <is>
          <t>Szpital Wojewódzki im. Mikołaja Kopernika w Koszalinie</t>
        </is>
      </c>
      <c r="N384" t="inlineStr">
        <is>
          <t>Oddział Onkologii i Chemioterapii</t>
        </is>
      </c>
      <c r="O384" t="inlineStr">
        <is>
          <t>Adam Juśkiewicz</t>
        </is>
      </c>
      <c r="P384" t="n">
        <v>8171399</v>
      </c>
      <c r="Q384" t="inlineStr">
        <is>
          <t>E87.1</t>
        </is>
      </c>
      <c r="R384" t="inlineStr">
        <is>
          <t>swk</t>
        </is>
      </c>
      <c r="S384" s="1" t="n">
        <v>46153.35277777778</v>
      </c>
      <c r="T384" t="n">
        <v>3</v>
      </c>
      <c r="U384" t="inlineStr">
        <is>
          <t>BUJALSKI TOMASZ</t>
        </is>
      </c>
    </row>
    <row r="385">
      <c r="A385" s="1" t="n">
        <v>46154</v>
      </c>
      <c r="B385" t="inlineStr">
        <is>
          <t>TK/26/8655</t>
        </is>
      </c>
      <c r="C385" t="inlineStr">
        <is>
          <t>Agnieszka Staniszewska</t>
        </is>
      </c>
      <c r="D385" t="inlineStr">
        <is>
          <t>76041802587</t>
        </is>
      </c>
      <c r="E385" s="1" t="n">
        <v>46153</v>
      </c>
      <c r="F385" t="inlineStr">
        <is>
          <t>Pilny</t>
        </is>
      </c>
      <c r="G385" t="inlineStr">
        <is>
          <t>TK</t>
        </is>
      </c>
      <c r="H385" t="inlineStr">
        <is>
          <t>TK Klatki piersiowej + jamy brzusznej + miednicy wielofazowe</t>
        </is>
      </c>
      <c r="I385" t="inlineStr">
        <is>
          <t>TK Onkologia</t>
        </is>
      </c>
      <c r="J385" t="inlineStr">
        <is>
          <t>3 okolice anatomiczne</t>
        </is>
      </c>
      <c r="K385" t="inlineStr">
        <is>
          <t>Tomasz Bujalski</t>
        </is>
      </c>
      <c r="L385" t="inlineStr">
        <is>
          <t> </t>
        </is>
      </c>
      <c r="M385" t="inlineStr">
        <is>
          <t>Szpital Wojewódzki im. Mikołaja Kopernika w Koszalinie</t>
        </is>
      </c>
      <c r="N385" t="inlineStr">
        <is>
          <t>Poradnia  Onkologii Ogólnej</t>
        </is>
      </c>
      <c r="O385" t="inlineStr">
        <is>
          <t>Joanna Wojciechowska</t>
        </is>
      </c>
      <c r="P385" t="n">
        <v>1184959</v>
      </c>
      <c r="Q385" t="inlineStr">
        <is>
          <t> </t>
        </is>
      </c>
      <c r="R385" t="inlineStr">
        <is>
          <t>swk</t>
        </is>
      </c>
      <c r="S385" s="1" t="n">
        <v>46154.24166666667</v>
      </c>
      <c r="T385" t="n">
        <v>0</v>
      </c>
      <c r="U385" t="inlineStr">
        <is>
          <t>BUJALSKI TOMASZ</t>
        </is>
      </c>
    </row>
    <row r="386">
      <c r="A386" s="1" t="n">
        <v>46156</v>
      </c>
      <c r="B386" t="inlineStr">
        <is>
          <t>TK/26/8618</t>
        </is>
      </c>
      <c r="C386" t="inlineStr">
        <is>
          <t>Piotr Spirin</t>
        </is>
      </c>
      <c r="D386" t="inlineStr">
        <is>
          <t>64062403373</t>
        </is>
      </c>
      <c r="E386" s="1" t="n">
        <v>46153</v>
      </c>
      <c r="F386" t="inlineStr">
        <is>
          <t>Pilny</t>
        </is>
      </c>
      <c r="G386" t="inlineStr">
        <is>
          <t>TK</t>
        </is>
      </c>
      <c r="H386" t="inlineStr">
        <is>
          <t>TK j.brzusznej i miednicy -badanie wielofazowe</t>
        </is>
      </c>
      <c r="I386" t="inlineStr">
        <is>
          <t>TK Onkologia</t>
        </is>
      </c>
      <c r="J386" t="inlineStr">
        <is>
          <t>2 okolice anatomiczne</t>
        </is>
      </c>
      <c r="K386" t="inlineStr">
        <is>
          <t>Tomasz Bujalski</t>
        </is>
      </c>
      <c r="L386" t="inlineStr">
        <is>
          <t> </t>
        </is>
      </c>
      <c r="M386" t="inlineStr">
        <is>
          <t>Szpital Wojewódzki im. Mikołaja Kopernika w Koszalinie</t>
        </is>
      </c>
      <c r="N386" t="inlineStr">
        <is>
          <t>Przyszpitalna Poradnia  Urologii Ogólnej i Urologii Onkologicznej</t>
        </is>
      </c>
      <c r="O386" t="inlineStr">
        <is>
          <t>Bartosz Jurjewicz</t>
        </is>
      </c>
      <c r="P386" t="n">
        <v>2604001</v>
      </c>
      <c r="Q386" t="inlineStr">
        <is>
          <t>D41.0</t>
        </is>
      </c>
      <c r="R386" t="inlineStr">
        <is>
          <t>swk</t>
        </is>
      </c>
      <c r="S386" s="1" t="n">
        <v>46155.51736111111</v>
      </c>
      <c r="T386" t="n">
        <v>2</v>
      </c>
      <c r="U386" t="inlineStr">
        <is>
          <t>BUJALSKI TOMASZ</t>
        </is>
      </c>
    </row>
    <row r="387">
      <c r="A387" s="1" t="n">
        <v>46162</v>
      </c>
      <c r="B387" t="inlineStr">
        <is>
          <t>TK/26/9260</t>
        </is>
      </c>
      <c r="C387" t="inlineStr">
        <is>
          <t>Andrzej Granisz</t>
        </is>
      </c>
      <c r="D387" t="inlineStr">
        <is>
          <t>55030306413</t>
        </is>
      </c>
      <c r="E387" s="1" t="n">
        <v>46162</v>
      </c>
      <c r="F387" t="inlineStr">
        <is>
          <t>CITO-CITO</t>
        </is>
      </c>
      <c r="G387" t="inlineStr">
        <is>
          <t>TK</t>
        </is>
      </c>
      <c r="H387" t="inlineStr">
        <is>
          <t>TK j.brzusznej i miednicy przeglądowa</t>
        </is>
      </c>
      <c r="I387" t="inlineStr">
        <is>
          <t>TK Zwykłe</t>
        </is>
      </c>
      <c r="J387" t="inlineStr">
        <is>
          <t>2 okolice anatomiczne</t>
        </is>
      </c>
      <c r="K387" t="inlineStr">
        <is>
          <t>Tomasz Bujalski</t>
        </is>
      </c>
      <c r="L387" t="inlineStr">
        <is>
          <t> </t>
        </is>
      </c>
      <c r="M387" t="inlineStr">
        <is>
          <t>Szpital Wojewódzki im. Mikołaja Kopernika w Koszalinie</t>
        </is>
      </c>
      <c r="N387" t="inlineStr">
        <is>
          <t xml:space="preserve">Szpitalny Oddział Ratunkowy </t>
        </is>
      </c>
      <c r="O387" t="inlineStr">
        <is>
          <t>Adam Niesłuchowski</t>
        </is>
      </c>
      <c r="P387" t="n">
        <v>2703428</v>
      </c>
      <c r="Q387" t="inlineStr">
        <is>
          <t>Z03</t>
        </is>
      </c>
      <c r="R387" t="inlineStr">
        <is>
          <t>swk</t>
        </is>
      </c>
      <c r="S387" s="1" t="n">
        <v>46162.59027777778</v>
      </c>
      <c r="T387" t="n">
        <v>0</v>
      </c>
      <c r="U387" t="inlineStr">
        <is>
          <t>BUJALSKI TOMASZ</t>
        </is>
      </c>
    </row>
    <row r="388">
      <c r="A388" s="1" t="n">
        <v>46163</v>
      </c>
      <c r="B388" t="inlineStr">
        <is>
          <t>TK/26/9232</t>
        </is>
      </c>
      <c r="C388" t="inlineStr">
        <is>
          <t>Krzysztof Szumski</t>
        </is>
      </c>
      <c r="D388" t="inlineStr">
        <is>
          <t>54082402016</t>
        </is>
      </c>
      <c r="E388" s="1" t="n">
        <v>46162</v>
      </c>
      <c r="F388" t="inlineStr">
        <is>
          <t>Pilny</t>
        </is>
      </c>
      <c r="G388" t="inlineStr">
        <is>
          <t>TK</t>
        </is>
      </c>
      <c r="H388" t="inlineStr">
        <is>
          <t>TK Angio TK j.brzusznej</t>
        </is>
      </c>
      <c r="I388" t="inlineStr">
        <is>
          <t>TK Angiografia</t>
        </is>
      </c>
      <c r="J388" t="inlineStr">
        <is>
          <t>2 okolice anatomiczne</t>
        </is>
      </c>
      <c r="K388" t="inlineStr">
        <is>
          <t>Tomasz Bujalski</t>
        </is>
      </c>
      <c r="L388" t="inlineStr">
        <is>
          <t> </t>
        </is>
      </c>
      <c r="M388" t="inlineStr">
        <is>
          <t>Szpital Wojewódzki im. Mikołaja Kopernika w Koszalinie</t>
        </is>
      </c>
      <c r="N388" t="inlineStr">
        <is>
          <t>Przyszpitalna Poradnia  Chirurgii  Naczyniowej</t>
        </is>
      </c>
      <c r="O388" t="inlineStr">
        <is>
          <t>Maciej Marszałek</t>
        </is>
      </c>
      <c r="P388" t="n">
        <v>1176388</v>
      </c>
      <c r="Q388" t="inlineStr">
        <is>
          <t>I71.4</t>
        </is>
      </c>
      <c r="R388" t="inlineStr">
        <is>
          <t>swk</t>
        </is>
      </c>
      <c r="S388" s="1" t="n">
        <v>46162.34444444445</v>
      </c>
      <c r="T388" t="n">
        <v>2</v>
      </c>
      <c r="U388" t="inlineStr">
        <is>
          <t>BUJALSKI TOMASZ</t>
        </is>
      </c>
    </row>
    <row r="389">
      <c r="A389" s="1" t="n">
        <v>46170</v>
      </c>
      <c r="B389" t="inlineStr">
        <is>
          <t>TK/26/9681</t>
        </is>
      </c>
      <c r="C389" t="inlineStr">
        <is>
          <t>Aneta Domarańczyk</t>
        </is>
      </c>
      <c r="D389" t="inlineStr">
        <is>
          <t>66110801021</t>
        </is>
      </c>
      <c r="E389" s="1" t="n">
        <v>46169</v>
      </c>
      <c r="F389" t="inlineStr">
        <is>
          <t>Pilny</t>
        </is>
      </c>
      <c r="G389" t="inlineStr">
        <is>
          <t>TK</t>
        </is>
      </c>
      <c r="H389" t="inlineStr">
        <is>
          <t>TK j.brzusznej i miednicy -badanie wielofazowe</t>
        </is>
      </c>
      <c r="I389" t="inlineStr">
        <is>
          <t>TK Zwykłe</t>
        </is>
      </c>
      <c r="J389" t="inlineStr">
        <is>
          <t>2 okolice anatomiczne</t>
        </is>
      </c>
      <c r="K389" t="inlineStr">
        <is>
          <t>Tomasz Bujalski</t>
        </is>
      </c>
      <c r="L389" t="inlineStr">
        <is>
          <t> </t>
        </is>
      </c>
      <c r="M389" t="inlineStr">
        <is>
          <t>Szpital Wojewódzki im. Mikołaja Kopernika w Koszalinie</t>
        </is>
      </c>
      <c r="N389" t="inlineStr">
        <is>
          <t>Oddział Chirurgii Ogólnej</t>
        </is>
      </c>
      <c r="O389" t="inlineStr">
        <is>
          <t>Ivan Yurchanka</t>
        </is>
      </c>
      <c r="P389" t="n">
        <v>4031435</v>
      </c>
      <c r="Q389" t="inlineStr">
        <is>
          <t>K57</t>
        </is>
      </c>
      <c r="R389" t="inlineStr">
        <is>
          <t>swk</t>
        </is>
      </c>
      <c r="S389" s="1" t="n">
        <v>46170.26666666667</v>
      </c>
      <c r="T389" t="n">
        <v>2</v>
      </c>
      <c r="U389" t="inlineStr">
        <is>
          <t>BUJALSKI TOMASZ</t>
        </is>
      </c>
    </row>
    <row r="390">
      <c r="A390" s="1" t="n">
        <v>46171</v>
      </c>
      <c r="B390" t="inlineStr">
        <is>
          <t>TK/26/9753</t>
        </is>
      </c>
      <c r="C390" t="inlineStr">
        <is>
          <t>Marian Kozłowski</t>
        </is>
      </c>
      <c r="D390" t="inlineStr">
        <is>
          <t>50103008072</t>
        </is>
      </c>
      <c r="E390" s="1" t="n">
        <v>46170</v>
      </c>
      <c r="F390" t="inlineStr">
        <is>
          <t>Pilny</t>
        </is>
      </c>
      <c r="G390" t="inlineStr">
        <is>
          <t>TK</t>
        </is>
      </c>
      <c r="H390" t="inlineStr">
        <is>
          <t>TK Klatki piersiowej + jamy brzusznej + miednicy wielofazowe</t>
        </is>
      </c>
      <c r="I390" t="inlineStr">
        <is>
          <t>TK Onkologia</t>
        </is>
      </c>
      <c r="J390" t="inlineStr">
        <is>
          <t>3 okolice anatomiczne</t>
        </is>
      </c>
      <c r="K390" t="inlineStr">
        <is>
          <t>Tomasz Bujalski</t>
        </is>
      </c>
      <c r="L390" t="inlineStr">
        <is>
          <t> </t>
        </is>
      </c>
      <c r="M390" t="inlineStr">
        <is>
          <t>Samodzielny Publiczny Zakład Opieki Zdrowotnej Ministerstwa Spraw Wewnętrznych i Administracji w Koszalinie</t>
        </is>
      </c>
      <c r="N390" t="inlineStr">
        <is>
          <t>Poradnia Neurologiczna</t>
        </is>
      </c>
      <c r="O390" t="inlineStr">
        <is>
          <t>Sebastian Wiśniewski</t>
        </is>
      </c>
      <c r="P390" t="n">
        <v>2343030</v>
      </c>
      <c r="Q390" t="inlineStr">
        <is>
          <t>G63.6</t>
        </is>
      </c>
      <c r="R390" t="inlineStr">
        <is>
          <t>swk</t>
        </is>
      </c>
      <c r="S390" s="1" t="n">
        <v>46170.27847222222</v>
      </c>
      <c r="T390" t="n">
        <v>0</v>
      </c>
      <c r="U390" t="inlineStr">
        <is>
          <t>BUJALSKI TOMASZ</t>
        </is>
      </c>
    </row>
    <row r="391">
      <c r="A391" s="1" t="n">
        <v>46171</v>
      </c>
      <c r="B391" t="inlineStr">
        <is>
          <t>TK/26/9793</t>
        </is>
      </c>
      <c r="C391" t="inlineStr">
        <is>
          <t>Mirosława Horajska</t>
        </is>
      </c>
      <c r="D391" t="inlineStr">
        <is>
          <t>62092211720</t>
        </is>
      </c>
      <c r="E391" s="1" t="n">
        <v>46170</v>
      </c>
      <c r="F391" t="inlineStr">
        <is>
          <t>Planowy</t>
        </is>
      </c>
      <c r="G391" t="inlineStr">
        <is>
          <t>TK</t>
        </is>
      </c>
      <c r="H391" t="inlineStr">
        <is>
          <t>TK kręgosłupa lędźwiowego przeglądowa</t>
        </is>
      </c>
      <c r="I391" t="inlineStr">
        <is>
          <t>TK Zwykłe</t>
        </is>
      </c>
      <c r="J391" t="inlineStr">
        <is>
          <t>1 okolica anatomiczna</t>
        </is>
      </c>
      <c r="K391" t="inlineStr">
        <is>
          <t>Tomasz Bujalski</t>
        </is>
      </c>
      <c r="L391" t="inlineStr">
        <is>
          <t> </t>
        </is>
      </c>
      <c r="M391" t="inlineStr">
        <is>
          <t>Szpital Wojewódzki im. Mikołaja Kopernika w Koszalinie</t>
        </is>
      </c>
      <c r="N391" t="inlineStr">
        <is>
          <t>Przyszpitalna Poradnia Neurochirurgiczna</t>
        </is>
      </c>
      <c r="O391" t="inlineStr">
        <is>
          <t>Marcin Rut</t>
        </is>
      </c>
      <c r="P391" t="n">
        <v>4563401</v>
      </c>
      <c r="Q391" t="inlineStr">
        <is>
          <t>M47.2</t>
        </is>
      </c>
      <c r="R391" t="inlineStr">
        <is>
          <t>swk</t>
        </is>
      </c>
      <c r="S391" s="1" t="n">
        <v>46170.50416666667</v>
      </c>
      <c r="T391" t="n">
        <v>1</v>
      </c>
      <c r="U391" t="inlineStr">
        <is>
          <t>BUJALSKI TOMASZ</t>
        </is>
      </c>
    </row>
    <row r="392">
      <c r="A392" s="1" t="n">
        <v>46172</v>
      </c>
      <c r="B392" t="inlineStr">
        <is>
          <t>TK/26/9926</t>
        </is>
      </c>
      <c r="C392" t="inlineStr">
        <is>
          <t>Piotr Tyburski</t>
        </is>
      </c>
      <c r="D392" t="inlineStr">
        <is>
          <t>79041002391</t>
        </is>
      </c>
      <c r="E392" s="1" t="n">
        <v>46172</v>
      </c>
      <c r="F392" t="inlineStr">
        <is>
          <t>CITO-CITO</t>
        </is>
      </c>
      <c r="G392" t="inlineStr">
        <is>
          <t>TK</t>
        </is>
      </c>
      <c r="H392" t="inlineStr">
        <is>
          <t>TK kości i/lub stawów k.górnej bez kontrastu</t>
        </is>
      </c>
      <c r="I392" t="inlineStr">
        <is>
          <t>TK Zwykłe</t>
        </is>
      </c>
      <c r="J392" t="inlineStr">
        <is>
          <t>1 okolica anatomiczna</t>
        </is>
      </c>
      <c r="K392" t="inlineStr">
        <is>
          <t>Tomasz Bujalski</t>
        </is>
      </c>
      <c r="L392" t="inlineStr">
        <is>
          <t> </t>
        </is>
      </c>
      <c r="M392" t="inlineStr">
        <is>
          <t>Szpital Wojewódzki im. Mikołaja Kopernika w Koszalinie</t>
        </is>
      </c>
      <c r="N392" t="inlineStr">
        <is>
          <t xml:space="preserve">Szpitalny Oddział Ratunkowy </t>
        </is>
      </c>
      <c r="O392" t="inlineStr">
        <is>
          <t>Vitaliy Hetmanyuk</t>
        </is>
      </c>
      <c r="P392" t="n">
        <v>2743294</v>
      </c>
      <c r="Q392" t="inlineStr">
        <is>
          <t>S50.0</t>
        </is>
      </c>
      <c r="R392" t="inlineStr">
        <is>
          <t>swk</t>
        </is>
      </c>
      <c r="S392" s="1" t="n">
        <v>46172.63541666666</v>
      </c>
      <c r="T392" t="n">
        <v>0</v>
      </c>
      <c r="U392" t="inlineStr">
        <is>
          <t>BUJALSKI TOMASZ</t>
        </is>
      </c>
    </row>
    <row r="393">
      <c r="A393" s="1" t="n">
        <v>46150</v>
      </c>
      <c r="B393" t="inlineStr">
        <is>
          <t>TK/26/3403</t>
        </is>
      </c>
      <c r="C393" t="inlineStr">
        <is>
          <t>Roman Połczyński</t>
        </is>
      </c>
      <c r="D393" t="n">
        <v>65021709459</v>
      </c>
      <c r="E393" s="1" t="n">
        <v>46150</v>
      </c>
      <c r="F393" t="inlineStr">
        <is>
          <t>CITO-CITO</t>
        </is>
      </c>
      <c r="G393" t="inlineStr">
        <is>
          <t>TK</t>
        </is>
      </c>
      <c r="H393" t="inlineStr">
        <is>
          <t>Bad. TK - Głowa bez kontrastu</t>
        </is>
      </c>
      <c r="I393" t="inlineStr">
        <is>
          <t>TK Zwykłe</t>
        </is>
      </c>
      <c r="J393" t="inlineStr">
        <is>
          <t>1 okolica anatomiczna</t>
        </is>
      </c>
      <c r="K393" t="inlineStr">
        <is>
          <t>Tomasz Bujalski</t>
        </is>
      </c>
      <c r="L393" t="inlineStr">
        <is>
          <t> </t>
        </is>
      </c>
      <c r="M393" t="inlineStr">
        <is>
          <t>SZPITAL W PUSZCZYKOWIE IM. PROF. S.T. DĄBROWSKIEGO SPÓŁKA AKCYJNA</t>
        </is>
      </c>
      <c r="N393" t="inlineStr">
        <is>
          <t>Szpitalny  oddział ratunkowy</t>
        </is>
      </c>
      <c r="O393" t="inlineStr">
        <is>
          <t>Maciej Świt</t>
        </is>
      </c>
      <c r="P393" t="inlineStr">
        <is>
          <t>1524747</t>
        </is>
      </c>
      <c r="Q393" t="inlineStr">
        <is>
          <t> </t>
        </is>
      </c>
      <c r="R393" t="inlineStr">
        <is>
          <t>swp</t>
        </is>
      </c>
      <c r="S393" s="1" t="n">
        <v>46150.23263888889</v>
      </c>
      <c r="T393" t="n">
        <v>0</v>
      </c>
      <c r="U393" t="inlineStr">
        <is>
          <t>BUJALSKI TOMASZ</t>
        </is>
      </c>
    </row>
    <row r="394">
      <c r="A394" s="1" t="n">
        <v>46159</v>
      </c>
      <c r="B394" t="inlineStr">
        <is>
          <t>TK/26/3758</t>
        </is>
      </c>
      <c r="C394" t="inlineStr">
        <is>
          <t>Natalia Trzeszcz</t>
        </is>
      </c>
      <c r="D394" t="n">
        <v>86070502046</v>
      </c>
      <c r="E394" s="1" t="n">
        <v>46159</v>
      </c>
      <c r="F394" t="inlineStr">
        <is>
          <t>CITO-CITO</t>
        </is>
      </c>
      <c r="G394" t="inlineStr">
        <is>
          <t>TK</t>
        </is>
      </c>
      <c r="H394" t="inlineStr">
        <is>
          <t>Bad. TK - Głowa bez kontrastu</t>
        </is>
      </c>
      <c r="I394" t="inlineStr">
        <is>
          <t>TK Zwykłe</t>
        </is>
      </c>
      <c r="J394" t="inlineStr">
        <is>
          <t>1 okolica anatomiczna</t>
        </is>
      </c>
      <c r="K394" t="inlineStr">
        <is>
          <t>Tomasz Bujalski</t>
        </is>
      </c>
      <c r="L394" t="inlineStr">
        <is>
          <t> </t>
        </is>
      </c>
      <c r="M394" t="inlineStr">
        <is>
          <t>SZPITAL W PUSZCZYKOWIE IM. PROF. S.T. DĄBROWSKIEGO SPÓŁKA AKCYJNA</t>
        </is>
      </c>
      <c r="N394" t="inlineStr">
        <is>
          <t>Szpitalny  oddział ratunkowy</t>
        </is>
      </c>
      <c r="O394" t="inlineStr">
        <is>
          <t>Kateryna Bondarchuk</t>
        </is>
      </c>
      <c r="P394" t="inlineStr">
        <is>
          <t>4037097</t>
        </is>
      </c>
      <c r="Q394" t="inlineStr">
        <is>
          <t> </t>
        </is>
      </c>
      <c r="R394" t="inlineStr">
        <is>
          <t>swp</t>
        </is>
      </c>
      <c r="S394" s="1" t="n">
        <v>46159.38819444444</v>
      </c>
      <c r="T394" t="n">
        <v>0</v>
      </c>
      <c r="U394" t="inlineStr">
        <is>
          <t>BUJALSKI TOMASZ</t>
        </is>
      </c>
    </row>
    <row r="395">
      <c r="A395" s="1" t="n">
        <v>46159</v>
      </c>
      <c r="B395" t="inlineStr">
        <is>
          <t>TK/26/3759</t>
        </is>
      </c>
      <c r="C395" t="inlineStr">
        <is>
          <t>Natalia Trzeszcz</t>
        </is>
      </c>
      <c r="D395" t="n">
        <v>86070502046</v>
      </c>
      <c r="E395" s="1" t="n">
        <v>46159</v>
      </c>
      <c r="F395" t="inlineStr">
        <is>
          <t>CITO-CITO</t>
        </is>
      </c>
      <c r="G395" t="inlineStr">
        <is>
          <t>TK</t>
        </is>
      </c>
      <c r="H395" t="inlineStr">
        <is>
          <t>Bad. TK - Twarzoczaszka bez kontrastu</t>
        </is>
      </c>
      <c r="I395" t="inlineStr">
        <is>
          <t>TK Zwykłe</t>
        </is>
      </c>
      <c r="J395" t="inlineStr">
        <is>
          <t>1 okolica anatomiczna</t>
        </is>
      </c>
      <c r="K395" t="inlineStr">
        <is>
          <t>Tomasz Bujalski</t>
        </is>
      </c>
      <c r="L395" t="inlineStr">
        <is>
          <t> </t>
        </is>
      </c>
      <c r="M395" t="inlineStr">
        <is>
          <t>SZPITAL W PUSZCZYKOWIE IM. PROF. S.T. DĄBROWSKIEGO SPÓŁKA AKCYJNA</t>
        </is>
      </c>
      <c r="N395" t="inlineStr">
        <is>
          <t>Szpitalny  oddział ratunkowy</t>
        </is>
      </c>
      <c r="O395" t="inlineStr">
        <is>
          <t>Kateryna Bondarchuk</t>
        </is>
      </c>
      <c r="P395" t="inlineStr">
        <is>
          <t>4037097</t>
        </is>
      </c>
      <c r="Q395" t="inlineStr">
        <is>
          <t> </t>
        </is>
      </c>
      <c r="R395" t="inlineStr">
        <is>
          <t>swp</t>
        </is>
      </c>
      <c r="S395" s="1" t="n">
        <v>46159.38888888889</v>
      </c>
      <c r="T395" t="n">
        <v>0</v>
      </c>
      <c r="U395" t="inlineStr">
        <is>
          <t>BUJALSKI TOMASZ</t>
        </is>
      </c>
    </row>
    <row r="396">
      <c r="A396" s="1" t="n">
        <v>46159</v>
      </c>
      <c r="B396" t="inlineStr">
        <is>
          <t>TK/26/3760</t>
        </is>
      </c>
      <c r="C396" t="inlineStr">
        <is>
          <t>Władysław Smok</t>
        </is>
      </c>
      <c r="D396" t="n">
        <v>54062307012</v>
      </c>
      <c r="E396" s="1" t="n">
        <v>46159</v>
      </c>
      <c r="F396" t="inlineStr">
        <is>
          <t>CITO-CITO</t>
        </is>
      </c>
      <c r="G396" t="inlineStr">
        <is>
          <t>TK</t>
        </is>
      </c>
      <c r="H396" t="inlineStr">
        <is>
          <t>Bad. TK - Odcinek lędźwiowy kręgosłupa bez kontrastu</t>
        </is>
      </c>
      <c r="I396" t="inlineStr">
        <is>
          <t>TK Zwykłe</t>
        </is>
      </c>
      <c r="J396" t="inlineStr">
        <is>
          <t>1 okolica anatomiczna</t>
        </is>
      </c>
      <c r="K396" t="inlineStr">
        <is>
          <t>Tomasz Bujalski</t>
        </is>
      </c>
      <c r="L396" t="inlineStr">
        <is>
          <t> </t>
        </is>
      </c>
      <c r="M396" t="inlineStr">
        <is>
          <t>SZPITAL W PUSZCZYKOWIE IM. PROF. S.T. DĄBROWSKIEGO SPÓŁKA AKCYJNA</t>
        </is>
      </c>
      <c r="N396" t="inlineStr">
        <is>
          <t>Szpitalny  oddział ratunkowy</t>
        </is>
      </c>
      <c r="O396" t="inlineStr">
        <is>
          <t>Maciej Gwoździewicz</t>
        </is>
      </c>
      <c r="P396" t="inlineStr">
        <is>
          <t>2349862</t>
        </is>
      </c>
      <c r="Q396" t="inlineStr">
        <is>
          <t> </t>
        </is>
      </c>
      <c r="R396" t="inlineStr">
        <is>
          <t>swp</t>
        </is>
      </c>
      <c r="S396" s="1" t="n">
        <v>46159.42777777778</v>
      </c>
      <c r="T396" t="n">
        <v>0</v>
      </c>
      <c r="U396" t="inlineStr">
        <is>
          <t>BUJALSKI TOMASZ</t>
        </is>
      </c>
    </row>
    <row r="397">
      <c r="A397" s="1" t="n">
        <v>46159</v>
      </c>
      <c r="B397" t="inlineStr">
        <is>
          <t>TK/26/3761</t>
        </is>
      </c>
      <c r="C397" t="inlineStr">
        <is>
          <t>Władysław Smok</t>
        </is>
      </c>
      <c r="D397" t="n">
        <v>54062307012</v>
      </c>
      <c r="E397" s="1" t="n">
        <v>46159</v>
      </c>
      <c r="F397" t="inlineStr">
        <is>
          <t>CITO-CITO</t>
        </is>
      </c>
      <c r="G397" t="inlineStr">
        <is>
          <t>TK</t>
        </is>
      </c>
      <c r="H397" t="inlineStr">
        <is>
          <t>Bad. TK - Miednica bez kontrastu</t>
        </is>
      </c>
      <c r="I397" t="inlineStr">
        <is>
          <t>TK Zwykłe</t>
        </is>
      </c>
      <c r="J397" t="inlineStr">
        <is>
          <t>1 okolica anatomiczna</t>
        </is>
      </c>
      <c r="K397" t="inlineStr">
        <is>
          <t>Tomasz Bujalski</t>
        </is>
      </c>
      <c r="L397" t="inlineStr">
        <is>
          <t> </t>
        </is>
      </c>
      <c r="M397" t="inlineStr">
        <is>
          <t>SZPITAL W PUSZCZYKOWIE IM. PROF. S.T. DĄBROWSKIEGO SPÓŁKA AKCYJNA</t>
        </is>
      </c>
      <c r="N397" t="inlineStr">
        <is>
          <t>Szpitalny  oddział ratunkowy</t>
        </is>
      </c>
      <c r="O397" t="inlineStr">
        <is>
          <t>Maciej Gwoździewicz</t>
        </is>
      </c>
      <c r="P397" t="inlineStr">
        <is>
          <t>2349862</t>
        </is>
      </c>
      <c r="Q397" t="inlineStr">
        <is>
          <t> </t>
        </is>
      </c>
      <c r="R397" t="inlineStr">
        <is>
          <t>swp</t>
        </is>
      </c>
      <c r="S397" s="1" t="n">
        <v>46159.42916666667</v>
      </c>
      <c r="T397" t="n">
        <v>0</v>
      </c>
      <c r="U397" t="inlineStr">
        <is>
          <t>BUJALSKI TOMASZ</t>
        </is>
      </c>
    </row>
    <row r="398">
      <c r="A398" s="1" t="n">
        <v>46159</v>
      </c>
      <c r="B398" t="inlineStr">
        <is>
          <t>TK/26/3762</t>
        </is>
      </c>
      <c r="C398" t="inlineStr">
        <is>
          <t>Danuta Świder</t>
        </is>
      </c>
      <c r="D398" t="n">
        <v>57030214985</v>
      </c>
      <c r="E398" s="1" t="n">
        <v>46159</v>
      </c>
      <c r="F398" t="inlineStr">
        <is>
          <t>CITO-CITO</t>
        </is>
      </c>
      <c r="G398" t="inlineStr">
        <is>
          <t>TK</t>
        </is>
      </c>
      <c r="H398" t="inlineStr">
        <is>
          <t>Bad. TK - Głowa bez kontrastu</t>
        </is>
      </c>
      <c r="I398" t="inlineStr">
        <is>
          <t>TK Zwykłe</t>
        </is>
      </c>
      <c r="J398" t="inlineStr">
        <is>
          <t>1 okolica anatomiczna</t>
        </is>
      </c>
      <c r="K398" t="inlineStr">
        <is>
          <t>Tomasz Bujalski</t>
        </is>
      </c>
      <c r="L398" t="inlineStr">
        <is>
          <t> </t>
        </is>
      </c>
      <c r="M398" t="inlineStr">
        <is>
          <t>SZPITAL W PUSZCZYKOWIE IM. PROF. S.T. DĄBROWSKIEGO SPÓŁKA AKCYJNA</t>
        </is>
      </c>
      <c r="N398" t="inlineStr">
        <is>
          <t>Szpitalny  oddział ratunkowy</t>
        </is>
      </c>
      <c r="O398" t="inlineStr">
        <is>
          <t>Kateryna Bondarchuk</t>
        </is>
      </c>
      <c r="P398" t="inlineStr">
        <is>
          <t>4037097</t>
        </is>
      </c>
      <c r="Q398" t="inlineStr">
        <is>
          <t> </t>
        </is>
      </c>
      <c r="R398" t="inlineStr">
        <is>
          <t>swp</t>
        </is>
      </c>
      <c r="S398" s="1" t="n">
        <v>46159.47152777778</v>
      </c>
      <c r="T398" t="n">
        <v>0</v>
      </c>
      <c r="U398" t="inlineStr">
        <is>
          <t>BUJALSKI TOMASZ</t>
        </is>
      </c>
    </row>
    <row r="399">
      <c r="A399" s="1" t="n">
        <v>46159</v>
      </c>
      <c r="B399" t="inlineStr">
        <is>
          <t>TK/26/3763</t>
        </is>
      </c>
      <c r="C399" t="inlineStr">
        <is>
          <t>Tomasz Wośkowiak</t>
        </is>
      </c>
      <c r="D399" t="n">
        <v>83042803677</v>
      </c>
      <c r="E399" s="1" t="n">
        <v>46159</v>
      </c>
      <c r="F399" t="inlineStr">
        <is>
          <t>CITO-CITO</t>
        </is>
      </c>
      <c r="G399" t="inlineStr">
        <is>
          <t>TK</t>
        </is>
      </c>
      <c r="H399" t="inlineStr">
        <is>
          <t>Bad. TK - Głowa bez kontrastu</t>
        </is>
      </c>
      <c r="I399" t="inlineStr">
        <is>
          <t>TK Zwykłe</t>
        </is>
      </c>
      <c r="J399" t="inlineStr">
        <is>
          <t>1 okolica anatomiczna</t>
        </is>
      </c>
      <c r="K399" t="inlineStr">
        <is>
          <t>Tomasz Bujalski</t>
        </is>
      </c>
      <c r="L399" t="inlineStr">
        <is>
          <t> </t>
        </is>
      </c>
      <c r="M399" t="inlineStr">
        <is>
          <t>SZPITAL W PUSZCZYKOWIE IM. PROF. S.T. DĄBROWSKIEGO SPÓŁKA AKCYJNA</t>
        </is>
      </c>
      <c r="N399" t="inlineStr">
        <is>
          <t>Szpitalny  oddział ratunkowy</t>
        </is>
      </c>
      <c r="O399" t="inlineStr">
        <is>
          <t>Kateryna Bondarchuk</t>
        </is>
      </c>
      <c r="P399" t="inlineStr">
        <is>
          <t>4037097</t>
        </is>
      </c>
      <c r="Q399" t="inlineStr">
        <is>
          <t> </t>
        </is>
      </c>
      <c r="R399" t="inlineStr">
        <is>
          <t>swp</t>
        </is>
      </c>
      <c r="S399" s="1" t="n">
        <v>46159.47847222222</v>
      </c>
      <c r="T399" t="n">
        <v>0</v>
      </c>
      <c r="U399" t="inlineStr">
        <is>
          <t>BUJALSKI TOMASZ</t>
        </is>
      </c>
    </row>
    <row r="400">
      <c r="A400" s="1" t="n">
        <v>46165</v>
      </c>
      <c r="B400" t="inlineStr">
        <is>
          <t>TK/26/4019</t>
        </is>
      </c>
      <c r="C400" t="inlineStr">
        <is>
          <t>Aleksandra Gieburowska-Łojek</t>
        </is>
      </c>
      <c r="D400" t="n">
        <v>47090211149</v>
      </c>
      <c r="E400" s="1" t="n">
        <v>46165</v>
      </c>
      <c r="F400" t="inlineStr">
        <is>
          <t>CITO-CITO</t>
        </is>
      </c>
      <c r="G400" t="inlineStr">
        <is>
          <t>TK</t>
        </is>
      </c>
      <c r="H400" t="inlineStr">
        <is>
          <t>Bad. TK - Klatka piersiowa bez kontrastu</t>
        </is>
      </c>
      <c r="I400" t="inlineStr">
        <is>
          <t>TK Zwykłe</t>
        </is>
      </c>
      <c r="J400" t="inlineStr">
        <is>
          <t>1 okolica anatomiczna</t>
        </is>
      </c>
      <c r="K400" t="inlineStr">
        <is>
          <t>Tomasz Bujalski</t>
        </is>
      </c>
      <c r="L400" t="inlineStr">
        <is>
          <t> </t>
        </is>
      </c>
      <c r="M400" t="inlineStr">
        <is>
          <t>SZPITAL W PUSZCZYKOWIE IM. PROF. S.T. DĄBROWSKIEGO SPÓŁKA AKCYJNA</t>
        </is>
      </c>
      <c r="N400" t="inlineStr">
        <is>
          <t>Szpitalny  oddział ratunkowy</t>
        </is>
      </c>
      <c r="O400" t="inlineStr">
        <is>
          <t>Piotr Kudełka</t>
        </is>
      </c>
      <c r="P400" t="inlineStr">
        <is>
          <t>1628158</t>
        </is>
      </c>
      <c r="Q400" t="inlineStr">
        <is>
          <t> </t>
        </is>
      </c>
      <c r="R400" t="inlineStr">
        <is>
          <t>swp</t>
        </is>
      </c>
      <c r="S400" s="1" t="n">
        <v>46165.45833333334</v>
      </c>
      <c r="T400" t="n">
        <v>0</v>
      </c>
      <c r="U400" t="inlineStr">
        <is>
          <t>BUJALSKI TOMASZ</t>
        </is>
      </c>
    </row>
    <row r="401">
      <c r="A401" s="1" t="n">
        <v>46165</v>
      </c>
      <c r="B401" t="inlineStr">
        <is>
          <t>TK/26/4020</t>
        </is>
      </c>
      <c r="C401" t="inlineStr">
        <is>
          <t>Aleksandra Gieburowska-Łojek</t>
        </is>
      </c>
      <c r="D401" t="n">
        <v>47090211149</v>
      </c>
      <c r="E401" s="1" t="n">
        <v>46165</v>
      </c>
      <c r="F401" t="inlineStr">
        <is>
          <t>CITO-CITO</t>
        </is>
      </c>
      <c r="G401" t="inlineStr">
        <is>
          <t>TK</t>
        </is>
      </c>
      <c r="H401" t="inlineStr">
        <is>
          <t>Bad. TK - Szyja bez kontrastu</t>
        </is>
      </c>
      <c r="I401" t="inlineStr">
        <is>
          <t>TK Zwykłe</t>
        </is>
      </c>
      <c r="J401" t="inlineStr"/>
      <c r="K401" t="inlineStr">
        <is>
          <t>Tomasz Bujalski</t>
        </is>
      </c>
      <c r="L401" t="inlineStr">
        <is>
          <t> </t>
        </is>
      </c>
      <c r="M401" t="inlineStr">
        <is>
          <t>SZPITAL W PUSZCZYKOWIE IM. PROF. S.T. DĄBROWSKIEGO SPÓŁKA AKCYJNA</t>
        </is>
      </c>
      <c r="N401" t="inlineStr">
        <is>
          <t>Szpitalny  oddział ratunkowy</t>
        </is>
      </c>
      <c r="O401" t="inlineStr">
        <is>
          <t>Piotr Kudełka</t>
        </is>
      </c>
      <c r="P401" t="inlineStr">
        <is>
          <t>1628158</t>
        </is>
      </c>
      <c r="Q401" t="inlineStr">
        <is>
          <t> </t>
        </is>
      </c>
      <c r="R401" t="inlineStr">
        <is>
          <t>swp</t>
        </is>
      </c>
      <c r="S401" s="1" t="n">
        <v>46165.45763888889</v>
      </c>
      <c r="T401" t="n">
        <v>0</v>
      </c>
      <c r="U401" t="inlineStr">
        <is>
          <t>BUJALSKI TOMASZ</t>
        </is>
      </c>
    </row>
    <row r="402">
      <c r="A402" s="1" t="n">
        <v>46165</v>
      </c>
      <c r="B402" t="inlineStr">
        <is>
          <t>TK/26/4021</t>
        </is>
      </c>
      <c r="C402" t="inlineStr">
        <is>
          <t>Aleksandra Gieburowska-Łojek</t>
        </is>
      </c>
      <c r="D402" t="n">
        <v>47090211149</v>
      </c>
      <c r="E402" s="1" t="n">
        <v>46165</v>
      </c>
      <c r="F402" t="inlineStr">
        <is>
          <t>CITO-CITO</t>
        </is>
      </c>
      <c r="G402" t="inlineStr">
        <is>
          <t>TK</t>
        </is>
      </c>
      <c r="H402" t="inlineStr">
        <is>
          <t>Bad. TK - Twarzoczaszka bez kontrastu</t>
        </is>
      </c>
      <c r="I402" t="inlineStr">
        <is>
          <t>TK Zwykłe</t>
        </is>
      </c>
      <c r="J402" t="inlineStr">
        <is>
          <t>1 okolica anatomiczna</t>
        </is>
      </c>
      <c r="K402" t="inlineStr">
        <is>
          <t>Tomasz Bujalski</t>
        </is>
      </c>
      <c r="L402" t="inlineStr">
        <is>
          <t> </t>
        </is>
      </c>
      <c r="M402" t="inlineStr">
        <is>
          <t>SZPITAL W PUSZCZYKOWIE IM. PROF. S.T. DĄBROWSKIEGO SPÓŁKA AKCYJNA</t>
        </is>
      </c>
      <c r="N402" t="inlineStr">
        <is>
          <t>Szpitalny  oddział ratunkowy</t>
        </is>
      </c>
      <c r="O402" t="inlineStr">
        <is>
          <t>Piotr Kudełka</t>
        </is>
      </c>
      <c r="P402" t="inlineStr">
        <is>
          <t>1628158</t>
        </is>
      </c>
      <c r="Q402" t="inlineStr">
        <is>
          <t> </t>
        </is>
      </c>
      <c r="R402" t="inlineStr">
        <is>
          <t>swp</t>
        </is>
      </c>
      <c r="S402" s="1" t="n">
        <v>46165.45763888889</v>
      </c>
      <c r="T402" t="n">
        <v>0</v>
      </c>
      <c r="U402" t="inlineStr">
        <is>
          <t>BUJALSKI TOMASZ</t>
        </is>
      </c>
    </row>
    <row r="403">
      <c r="A403" s="1" t="n">
        <v>46165</v>
      </c>
      <c r="B403" t="inlineStr">
        <is>
          <t>TK/26/4026</t>
        </is>
      </c>
      <c r="C403" t="inlineStr">
        <is>
          <t>Henryk Dyzmański</t>
        </is>
      </c>
      <c r="D403" t="n">
        <v>38011300394</v>
      </c>
      <c r="E403" s="1" t="n">
        <v>46165</v>
      </c>
      <c r="F403" t="inlineStr">
        <is>
          <t>CITO-CITO</t>
        </is>
      </c>
      <c r="G403" t="inlineStr">
        <is>
          <t>TK</t>
        </is>
      </c>
      <c r="H403" t="inlineStr">
        <is>
          <t>Bad. TK - Głowa bez kontrastu</t>
        </is>
      </c>
      <c r="I403" t="inlineStr">
        <is>
          <t>TK Zwykłe</t>
        </is>
      </c>
      <c r="J403" t="inlineStr">
        <is>
          <t>1 okolica anatomiczna</t>
        </is>
      </c>
      <c r="K403" t="inlineStr">
        <is>
          <t>Tomasz Bujalski</t>
        </is>
      </c>
      <c r="L403" t="inlineStr">
        <is>
          <t> </t>
        </is>
      </c>
      <c r="M403" t="inlineStr">
        <is>
          <t>SZPITAL W PUSZCZYKOWIE IM. PROF. S.T. DĄBROWSKIEGO SPÓŁKA AKCYJNA</t>
        </is>
      </c>
      <c r="N403" t="inlineStr">
        <is>
          <t>Szpitalny  oddział ratunkowy</t>
        </is>
      </c>
      <c r="O403" t="inlineStr">
        <is>
          <t>Krystian Przybylski</t>
        </is>
      </c>
      <c r="P403" t="inlineStr">
        <is>
          <t>2638969</t>
        </is>
      </c>
      <c r="Q403" t="inlineStr">
        <is>
          <t> </t>
        </is>
      </c>
      <c r="R403" t="inlineStr">
        <is>
          <t>swp</t>
        </is>
      </c>
      <c r="S403" s="1" t="n">
        <v>46165.57222222222</v>
      </c>
      <c r="T403" t="n">
        <v>0</v>
      </c>
      <c r="U403" t="inlineStr">
        <is>
          <t>BUJALSKI TOMASZ</t>
        </is>
      </c>
    </row>
    <row r="404">
      <c r="A404" s="1" t="n">
        <v>46165</v>
      </c>
      <c r="B404" t="inlineStr">
        <is>
          <t>TK/26/4027</t>
        </is>
      </c>
      <c r="C404" t="inlineStr">
        <is>
          <t>Henryk Dyzmański</t>
        </is>
      </c>
      <c r="D404" t="n">
        <v>38011300394</v>
      </c>
      <c r="E404" s="1" t="n">
        <v>46165</v>
      </c>
      <c r="F404" t="inlineStr">
        <is>
          <t>CITO-CITO</t>
        </is>
      </c>
      <c r="G404" t="inlineStr">
        <is>
          <t>TK</t>
        </is>
      </c>
      <c r="H404" t="inlineStr">
        <is>
          <t>Bad. TK - Twarzoczaszka bez kontrastu</t>
        </is>
      </c>
      <c r="I404" t="inlineStr">
        <is>
          <t>TK Zwykłe</t>
        </is>
      </c>
      <c r="J404" t="inlineStr">
        <is>
          <t>1 okolica anatomiczna</t>
        </is>
      </c>
      <c r="K404" t="inlineStr">
        <is>
          <t>Tomasz Bujalski</t>
        </is>
      </c>
      <c r="L404" t="inlineStr">
        <is>
          <t> </t>
        </is>
      </c>
      <c r="M404" t="inlineStr">
        <is>
          <t>SZPITAL W PUSZCZYKOWIE IM. PROF. S.T. DĄBROWSKIEGO SPÓŁKA AKCYJNA</t>
        </is>
      </c>
      <c r="N404" t="inlineStr">
        <is>
          <t>Szpitalny  oddział ratunkowy</t>
        </is>
      </c>
      <c r="O404" t="inlineStr">
        <is>
          <t>Krystian Przybylski</t>
        </is>
      </c>
      <c r="P404" t="inlineStr">
        <is>
          <t>2638969</t>
        </is>
      </c>
      <c r="Q404" t="inlineStr">
        <is>
          <t> </t>
        </is>
      </c>
      <c r="R404" t="inlineStr">
        <is>
          <t>swp</t>
        </is>
      </c>
      <c r="S404" s="1" t="n">
        <v>46165.57222222222</v>
      </c>
      <c r="T404" t="n">
        <v>0</v>
      </c>
      <c r="U404" t="inlineStr">
        <is>
          <t>BUJALSKI TOMASZ</t>
        </is>
      </c>
    </row>
    <row r="405">
      <c r="A405" s="1" t="n">
        <v>46172</v>
      </c>
      <c r="B405" t="inlineStr">
        <is>
          <t>TK/26/4264</t>
        </is>
      </c>
      <c r="C405" t="inlineStr">
        <is>
          <t>Natalia Lutowska</t>
        </is>
      </c>
      <c r="D405" t="n">
        <v>89040700640</v>
      </c>
      <c r="E405" s="1" t="n">
        <v>46172</v>
      </c>
      <c r="F405" t="inlineStr">
        <is>
          <t>CITO-CITO</t>
        </is>
      </c>
      <c r="G405" t="inlineStr">
        <is>
          <t>TK</t>
        </is>
      </c>
      <c r="H405" t="inlineStr">
        <is>
          <t>Bad. TK - Głowa bez kontrastu</t>
        </is>
      </c>
      <c r="I405" t="inlineStr">
        <is>
          <t>TK Zwykłe</t>
        </is>
      </c>
      <c r="J405" t="inlineStr">
        <is>
          <t>1 okolica anatomiczna</t>
        </is>
      </c>
      <c r="K405" t="inlineStr">
        <is>
          <t>Tomasz Bujalski</t>
        </is>
      </c>
      <c r="L405" t="inlineStr">
        <is>
          <t> </t>
        </is>
      </c>
      <c r="M405" t="inlineStr">
        <is>
          <t>SZPITAL W PUSZCZYKOWIE IM. PROF. S.T. DĄBROWSKIEGO SPÓŁKA AKCYJNA</t>
        </is>
      </c>
      <c r="N405" t="inlineStr">
        <is>
          <t>Oddział  neurochirurgii</t>
        </is>
      </c>
      <c r="O405" t="inlineStr">
        <is>
          <t>Piotr Borowski</t>
        </is>
      </c>
      <c r="P405" t="inlineStr">
        <is>
          <t>1739742</t>
        </is>
      </c>
      <c r="Q405" t="inlineStr">
        <is>
          <t>G91.1</t>
        </is>
      </c>
      <c r="R405" t="inlineStr">
        <is>
          <t>swp</t>
        </is>
      </c>
      <c r="S405" s="1" t="n">
        <v>46172.40277777778</v>
      </c>
      <c r="T405" t="n">
        <v>1</v>
      </c>
      <c r="U405" t="inlineStr">
        <is>
          <t>BUJALSKI TOMASZ</t>
        </is>
      </c>
    </row>
    <row r="406">
      <c r="A406" s="1" t="n">
        <v>46172</v>
      </c>
      <c r="B406" t="inlineStr">
        <is>
          <t>TK/26/4266</t>
        </is>
      </c>
      <c r="C406" t="inlineStr">
        <is>
          <t>Grażyna Matuszczak</t>
        </is>
      </c>
      <c r="D406" t="n">
        <v>61011810567</v>
      </c>
      <c r="E406" s="1" t="n">
        <v>46172</v>
      </c>
      <c r="F406" t="inlineStr">
        <is>
          <t>CITO-CITO</t>
        </is>
      </c>
      <c r="G406" t="inlineStr">
        <is>
          <t>TK</t>
        </is>
      </c>
      <c r="H406" t="inlineStr">
        <is>
          <t>Bad. TK - Głowa bez kontrastu</t>
        </is>
      </c>
      <c r="I406" t="inlineStr">
        <is>
          <t>TK Zwykłe</t>
        </is>
      </c>
      <c r="J406" t="inlineStr">
        <is>
          <t>1 okolica anatomiczna</t>
        </is>
      </c>
      <c r="K406" t="inlineStr">
        <is>
          <t>Tomasz Bujalski</t>
        </is>
      </c>
      <c r="L406" t="inlineStr">
        <is>
          <t> </t>
        </is>
      </c>
      <c r="M406" t="inlineStr">
        <is>
          <t>SZPITAL W PUSZCZYKOWIE IM. PROF. S.T. DĄBROWSKIEGO SPÓŁKA AKCYJNA</t>
        </is>
      </c>
      <c r="N406" t="inlineStr">
        <is>
          <t>Szpitalny  oddział ratunkowy</t>
        </is>
      </c>
      <c r="O406" t="inlineStr">
        <is>
          <t>Grzegorz Konieczny</t>
        </is>
      </c>
      <c r="P406" t="inlineStr">
        <is>
          <t>2956452</t>
        </is>
      </c>
      <c r="Q406" t="inlineStr">
        <is>
          <t> </t>
        </is>
      </c>
      <c r="R406" t="inlineStr">
        <is>
          <t>swp</t>
        </is>
      </c>
      <c r="S406" s="1" t="n">
        <v>46172.54166666666</v>
      </c>
      <c r="T406" t="n">
        <v>0</v>
      </c>
      <c r="U406" t="inlineStr">
        <is>
          <t>BUJALSKI TOMASZ</t>
        </is>
      </c>
    </row>
    <row r="407">
      <c r="A407" s="1" t="n">
        <v>46172</v>
      </c>
      <c r="B407" t="inlineStr">
        <is>
          <t>TK/26/4268</t>
        </is>
      </c>
      <c r="C407" t="inlineStr">
        <is>
          <t>Lucyna Koczur</t>
        </is>
      </c>
      <c r="D407" t="n">
        <v>65041604008</v>
      </c>
      <c r="E407" s="1" t="n">
        <v>46172</v>
      </c>
      <c r="F407" t="inlineStr">
        <is>
          <t>CITO-CITO</t>
        </is>
      </c>
      <c r="G407" t="inlineStr">
        <is>
          <t>TK</t>
        </is>
      </c>
      <c r="H407" t="inlineStr">
        <is>
          <t>Bad. TK - Jama brzuszna bez kontrastu i z kontrastem</t>
        </is>
      </c>
      <c r="I407" t="inlineStr">
        <is>
          <t>TK Zwykłe</t>
        </is>
      </c>
      <c r="J407" t="inlineStr">
        <is>
          <t>1 okolica anatomiczna</t>
        </is>
      </c>
      <c r="K407" t="inlineStr">
        <is>
          <t>Tomasz Bujalski</t>
        </is>
      </c>
      <c r="L407" t="inlineStr">
        <is>
          <t> </t>
        </is>
      </c>
      <c r="M407" t="inlineStr">
        <is>
          <t>SZPITAL W PUSZCZYKOWIE IM. PROF. S.T. DĄBROWSKIEGO SPÓŁKA AKCYJNA</t>
        </is>
      </c>
      <c r="N407" t="inlineStr">
        <is>
          <t>Oddział Chirurgii Ogólnej i Onkologicznej</t>
        </is>
      </c>
      <c r="O407" t="inlineStr">
        <is>
          <t>Mariia Savenkova</t>
        </is>
      </c>
      <c r="P407" t="inlineStr">
        <is>
          <t>4037936</t>
        </is>
      </c>
      <c r="Q407" t="inlineStr">
        <is>
          <t> </t>
        </is>
      </c>
      <c r="R407" t="inlineStr">
        <is>
          <t>swp</t>
        </is>
      </c>
      <c r="S407" s="1" t="n">
        <v>46172.57708333333</v>
      </c>
      <c r="T407" t="n">
        <v>0</v>
      </c>
      <c r="U407" t="inlineStr">
        <is>
          <t>BUJALSKI TOMASZ</t>
        </is>
      </c>
    </row>
    <row r="408">
      <c r="A408" s="1" t="n">
        <v>46172</v>
      </c>
      <c r="B408" t="inlineStr">
        <is>
          <t>TK/26/4269</t>
        </is>
      </c>
      <c r="C408" t="inlineStr">
        <is>
          <t>Lucyna Koczur</t>
        </is>
      </c>
      <c r="D408" t="n">
        <v>65041604008</v>
      </c>
      <c r="E408" s="1" t="n">
        <v>46172</v>
      </c>
      <c r="F408" t="inlineStr">
        <is>
          <t>CITO-CITO</t>
        </is>
      </c>
      <c r="G408" t="inlineStr">
        <is>
          <t>TK</t>
        </is>
      </c>
      <c r="H408" t="inlineStr">
        <is>
          <t>Bad. TK - Miednica bez kontrastu i z kontrastem</t>
        </is>
      </c>
      <c r="I408" t="inlineStr">
        <is>
          <t>TK Zwykłe</t>
        </is>
      </c>
      <c r="J408" t="inlineStr">
        <is>
          <t>1 okolica anatomiczna</t>
        </is>
      </c>
      <c r="K408" t="inlineStr">
        <is>
          <t>Tomasz Bujalski</t>
        </is>
      </c>
      <c r="L408" t="inlineStr">
        <is>
          <t> </t>
        </is>
      </c>
      <c r="M408" t="inlineStr">
        <is>
          <t>SZPITAL W PUSZCZYKOWIE IM. PROF. S.T. DĄBROWSKIEGO SPÓŁKA AKCYJNA</t>
        </is>
      </c>
      <c r="N408" t="inlineStr">
        <is>
          <t>Oddział Chirurgii Ogólnej i Onkologicznej</t>
        </is>
      </c>
      <c r="O408" t="inlineStr">
        <is>
          <t>Mariia Savenkova</t>
        </is>
      </c>
      <c r="P408" t="inlineStr">
        <is>
          <t>4037936</t>
        </is>
      </c>
      <c r="Q408" t="inlineStr">
        <is>
          <t> </t>
        </is>
      </c>
      <c r="R408" t="inlineStr">
        <is>
          <t>swp</t>
        </is>
      </c>
      <c r="S408" s="1" t="n">
        <v>46172.57638888889</v>
      </c>
      <c r="T408" t="n">
        <v>0</v>
      </c>
      <c r="U408" t="inlineStr">
        <is>
          <t>BUJALSKI TOMASZ</t>
        </is>
      </c>
    </row>
    <row r="409">
      <c r="A409" s="1" t="n">
        <v>46172</v>
      </c>
      <c r="B409" t="inlineStr">
        <is>
          <t>TK/26/4270</t>
        </is>
      </c>
      <c r="C409" t="inlineStr">
        <is>
          <t>Tadeusz Nowak</t>
        </is>
      </c>
      <c r="D409" t="n">
        <v>52082202896</v>
      </c>
      <c r="E409" s="1" t="n">
        <v>46172</v>
      </c>
      <c r="F409" t="inlineStr">
        <is>
          <t>CITO-CITO</t>
        </is>
      </c>
      <c r="G409" t="inlineStr">
        <is>
          <t>TK</t>
        </is>
      </c>
      <c r="H409" t="inlineStr">
        <is>
          <t>Bad. TK - Głowa bez kontrastu</t>
        </is>
      </c>
      <c r="I409" t="inlineStr">
        <is>
          <t>TK Zwykłe</t>
        </is>
      </c>
      <c r="J409" t="inlineStr">
        <is>
          <t>1 okolica anatomiczna</t>
        </is>
      </c>
      <c r="K409" t="inlineStr">
        <is>
          <t>Tomasz Bujalski</t>
        </is>
      </c>
      <c r="L409" t="inlineStr">
        <is>
          <t> </t>
        </is>
      </c>
      <c r="M409" t="inlineStr">
        <is>
          <t>SZPITAL W PUSZCZYKOWIE IM. PROF. S.T. DĄBROWSKIEGO SPÓŁKA AKCYJNA</t>
        </is>
      </c>
      <c r="N409" t="inlineStr">
        <is>
          <t>Szpitalny  oddział ratunkowy</t>
        </is>
      </c>
      <c r="O409" t="inlineStr">
        <is>
          <t>Grzegorz Konieczny</t>
        </is>
      </c>
      <c r="P409" t="inlineStr">
        <is>
          <t>2956452</t>
        </is>
      </c>
      <c r="Q409" t="inlineStr">
        <is>
          <t> </t>
        </is>
      </c>
      <c r="R409" t="inlineStr">
        <is>
          <t>swp</t>
        </is>
      </c>
      <c r="S409" s="1" t="n">
        <v>46172.57569444444</v>
      </c>
      <c r="T409" t="n">
        <v>0</v>
      </c>
      <c r="U409" t="inlineStr">
        <is>
          <t>BUJALSKI TOMASZ</t>
        </is>
      </c>
    </row>
    <row r="410">
      <c r="A410" s="1" t="n">
        <v>46172</v>
      </c>
      <c r="B410" t="inlineStr">
        <is>
          <t>TK/26/4271</t>
        </is>
      </c>
      <c r="C410" t="inlineStr">
        <is>
          <t>Piotr Sowiński</t>
        </is>
      </c>
      <c r="D410" t="n">
        <v>63030205298</v>
      </c>
      <c r="E410" s="1" t="n">
        <v>46172</v>
      </c>
      <c r="F410" t="inlineStr">
        <is>
          <t>CITO-CITO</t>
        </is>
      </c>
      <c r="G410" t="inlineStr">
        <is>
          <t>TK</t>
        </is>
      </c>
      <c r="H410" t="inlineStr">
        <is>
          <t>Bad. TK - Głowa bez kontrastu</t>
        </is>
      </c>
      <c r="I410" t="inlineStr">
        <is>
          <t>TK Zwykłe</t>
        </is>
      </c>
      <c r="J410" t="inlineStr">
        <is>
          <t>1 okolica anatomiczna</t>
        </is>
      </c>
      <c r="K410" t="inlineStr">
        <is>
          <t>Tomasz Bujalski</t>
        </is>
      </c>
      <c r="L410" t="inlineStr">
        <is>
          <t> </t>
        </is>
      </c>
      <c r="M410" t="inlineStr">
        <is>
          <t>SZPITAL W PUSZCZYKOWIE IM. PROF. S.T. DĄBROWSKIEGO SPÓŁKA AKCYJNA</t>
        </is>
      </c>
      <c r="N410" t="inlineStr">
        <is>
          <t>Szpitalny  oddział ratunkowy</t>
        </is>
      </c>
      <c r="O410" t="inlineStr">
        <is>
          <t>Kacper Żuchowicz</t>
        </is>
      </c>
      <c r="P410" t="inlineStr">
        <is>
          <t>3869570</t>
        </is>
      </c>
      <c r="Q410" t="inlineStr">
        <is>
          <t> </t>
        </is>
      </c>
      <c r="R410" t="inlineStr">
        <is>
          <t>swp</t>
        </is>
      </c>
      <c r="S410" s="1" t="n">
        <v>46172.65763888889</v>
      </c>
      <c r="T410" t="n">
        <v>0</v>
      </c>
      <c r="U410" t="inlineStr">
        <is>
          <t>BUJALSKI TOMASZ</t>
        </is>
      </c>
    </row>
    <row r="411">
      <c r="A411" s="1" t="n">
        <v>46172</v>
      </c>
      <c r="B411" t="inlineStr">
        <is>
          <t>TK/26/4272</t>
        </is>
      </c>
      <c r="C411" t="inlineStr">
        <is>
          <t>Piotr Sowiński</t>
        </is>
      </c>
      <c r="D411" t="n">
        <v>63030205298</v>
      </c>
      <c r="E411" s="1" t="n">
        <v>46172</v>
      </c>
      <c r="F411" t="inlineStr">
        <is>
          <t>CITO-CITO</t>
        </is>
      </c>
      <c r="G411" t="inlineStr">
        <is>
          <t>TK</t>
        </is>
      </c>
      <c r="H411" t="inlineStr">
        <is>
          <t>Bad. TK - Klatka piersiowa bez kontrastu</t>
        </is>
      </c>
      <c r="I411" t="inlineStr">
        <is>
          <t>TK Zwykłe</t>
        </is>
      </c>
      <c r="J411" t="inlineStr">
        <is>
          <t>1 okolica anatomiczna</t>
        </is>
      </c>
      <c r="K411" t="inlineStr">
        <is>
          <t>Tomasz Bujalski</t>
        </is>
      </c>
      <c r="L411" t="inlineStr">
        <is>
          <t> </t>
        </is>
      </c>
      <c r="M411" t="inlineStr">
        <is>
          <t>SZPITAL W PUSZCZYKOWIE IM. PROF. S.T. DĄBROWSKIEGO SPÓŁKA AKCYJNA</t>
        </is>
      </c>
      <c r="N411" t="inlineStr">
        <is>
          <t>Szpitalny  oddział ratunkowy</t>
        </is>
      </c>
      <c r="O411" t="inlineStr">
        <is>
          <t>Kacper Żuchowicz</t>
        </is>
      </c>
      <c r="P411" t="inlineStr">
        <is>
          <t>3869570</t>
        </is>
      </c>
      <c r="Q411" t="inlineStr">
        <is>
          <t> </t>
        </is>
      </c>
      <c r="R411" t="inlineStr">
        <is>
          <t>swp</t>
        </is>
      </c>
      <c r="S411" s="1" t="n">
        <v>46172.65833333333</v>
      </c>
      <c r="T411" t="n">
        <v>0</v>
      </c>
      <c r="U411" t="inlineStr">
        <is>
          <t>BUJALSKI TOMASZ</t>
        </is>
      </c>
    </row>
    <row r="412">
      <c r="A412" s="1" t="n">
        <v>46172</v>
      </c>
      <c r="B412" t="inlineStr">
        <is>
          <t>TK/26/4273</t>
        </is>
      </c>
      <c r="C412" t="inlineStr">
        <is>
          <t>Piotr Sowiński</t>
        </is>
      </c>
      <c r="D412" t="n">
        <v>63030205298</v>
      </c>
      <c r="E412" s="1" t="n">
        <v>46172</v>
      </c>
      <c r="F412" t="inlineStr">
        <is>
          <t>CITO-CITO</t>
        </is>
      </c>
      <c r="G412" t="inlineStr">
        <is>
          <t>TK</t>
        </is>
      </c>
      <c r="H412" t="inlineStr">
        <is>
          <t>Bad. TK - Szyja - angio</t>
        </is>
      </c>
      <c r="I412" t="inlineStr">
        <is>
          <t>TK Angiografia</t>
        </is>
      </c>
      <c r="J412" t="inlineStr">
        <is>
          <t>1 okolica anatomiczna</t>
        </is>
      </c>
      <c r="K412" t="inlineStr">
        <is>
          <t>Tomasz Bujalski</t>
        </is>
      </c>
      <c r="L412" t="inlineStr">
        <is>
          <t> </t>
        </is>
      </c>
      <c r="M412" t="inlineStr">
        <is>
          <t>SZPITAL W PUSZCZYKOWIE IM. PROF. S.T. DĄBROWSKIEGO SPÓŁKA AKCYJNA</t>
        </is>
      </c>
      <c r="N412" t="inlineStr">
        <is>
          <t>Szpitalny  oddział ratunkowy</t>
        </is>
      </c>
      <c r="O412" t="inlineStr">
        <is>
          <t>Kacper Żuchowicz</t>
        </is>
      </c>
      <c r="P412" t="inlineStr">
        <is>
          <t>3869570</t>
        </is>
      </c>
      <c r="Q412" t="inlineStr">
        <is>
          <t> </t>
        </is>
      </c>
      <c r="R412" t="inlineStr">
        <is>
          <t>swp</t>
        </is>
      </c>
      <c r="S412" s="1" t="n">
        <v>46172.65902777778</v>
      </c>
      <c r="T412" t="n">
        <v>0</v>
      </c>
      <c r="U412" t="inlineStr">
        <is>
          <t>BUJALSKI TOMASZ</t>
        </is>
      </c>
    </row>
    <row r="413">
      <c r="A413" s="1" t="n">
        <v>46172</v>
      </c>
      <c r="B413" t="inlineStr">
        <is>
          <t>TK/26/4274</t>
        </is>
      </c>
      <c r="C413" t="inlineStr">
        <is>
          <t>Dominik Siekierka</t>
        </is>
      </c>
      <c r="D413" t="n">
        <v>6282804653</v>
      </c>
      <c r="E413" s="1" t="n">
        <v>46172</v>
      </c>
      <c r="F413" t="inlineStr">
        <is>
          <t>CITO-CITO</t>
        </is>
      </c>
      <c r="G413" t="inlineStr">
        <is>
          <t>TK</t>
        </is>
      </c>
      <c r="H413" t="inlineStr">
        <is>
          <t>Bad. TK - Głowa bez kontrastu</t>
        </is>
      </c>
      <c r="I413" t="inlineStr">
        <is>
          <t>TK Zwykłe</t>
        </is>
      </c>
      <c r="J413" t="inlineStr">
        <is>
          <t>2 okolice anatomiczne</t>
        </is>
      </c>
      <c r="K413" t="inlineStr">
        <is>
          <t>Tomasz Bujalski</t>
        </is>
      </c>
      <c r="L413" t="inlineStr">
        <is>
          <t> </t>
        </is>
      </c>
      <c r="M413" t="inlineStr">
        <is>
          <t>SZPITAL W PUSZCZYKOWIE IM. PROF. S.T. DĄBROWSKIEGO SPÓŁKA AKCYJNA</t>
        </is>
      </c>
      <c r="N413" t="inlineStr">
        <is>
          <t>Szpitalny  oddział ratunkowy</t>
        </is>
      </c>
      <c r="O413" t="inlineStr">
        <is>
          <t>Kacper Żuchowicz</t>
        </is>
      </c>
      <c r="P413" t="inlineStr">
        <is>
          <t>3869570</t>
        </is>
      </c>
      <c r="Q413" t="inlineStr">
        <is>
          <t> </t>
        </is>
      </c>
      <c r="R413" t="inlineStr">
        <is>
          <t>swp</t>
        </is>
      </c>
      <c r="S413" s="1" t="n">
        <v>46172.70347222222</v>
      </c>
      <c r="T413" t="n">
        <v>0</v>
      </c>
      <c r="U413" t="inlineStr">
        <is>
          <t>BUJALSKI TOMASZ</t>
        </is>
      </c>
    </row>
    <row r="414">
      <c r="A414" s="1" t="n">
        <v>46172</v>
      </c>
      <c r="B414" t="inlineStr">
        <is>
          <t>TK/26/4276</t>
        </is>
      </c>
      <c r="C414" t="inlineStr">
        <is>
          <t>Dominik Siekierka</t>
        </is>
      </c>
      <c r="D414" t="n">
        <v>6282804653</v>
      </c>
      <c r="E414" s="1" t="n">
        <v>46172</v>
      </c>
      <c r="F414" t="inlineStr">
        <is>
          <t>CITO-CITO</t>
        </is>
      </c>
      <c r="G414" t="inlineStr">
        <is>
          <t>TK</t>
        </is>
      </c>
      <c r="H414" t="inlineStr">
        <is>
          <t>Bad. TK - Odcinek szyjny kręgosłupa bez kontrastu</t>
        </is>
      </c>
      <c r="I414" t="inlineStr">
        <is>
          <t>TK Zwykłe</t>
        </is>
      </c>
      <c r="J414" t="inlineStr">
        <is>
          <t>1 okolica anatomiczna</t>
        </is>
      </c>
      <c r="K414" t="inlineStr">
        <is>
          <t>Tomasz Bujalski</t>
        </is>
      </c>
      <c r="L414" t="inlineStr">
        <is>
          <t> </t>
        </is>
      </c>
      <c r="M414" t="inlineStr">
        <is>
          <t>SZPITAL W PUSZCZYKOWIE IM. PROF. S.T. DĄBROWSKIEGO SPÓŁKA AKCYJNA</t>
        </is>
      </c>
      <c r="N414" t="inlineStr">
        <is>
          <t>Szpitalny  oddział ratunkowy</t>
        </is>
      </c>
      <c r="O414" t="inlineStr">
        <is>
          <t>Kacper Żuchowicz</t>
        </is>
      </c>
      <c r="P414" t="inlineStr">
        <is>
          <t>3869570</t>
        </is>
      </c>
      <c r="Q414" t="inlineStr">
        <is>
          <t> </t>
        </is>
      </c>
      <c r="R414" t="inlineStr">
        <is>
          <t>swp</t>
        </is>
      </c>
      <c r="S414" s="1" t="n">
        <v>46172.70416666667</v>
      </c>
      <c r="T414" t="n">
        <v>0</v>
      </c>
      <c r="U414" t="inlineStr">
        <is>
          <t>BUJALSKI TOMASZ</t>
        </is>
      </c>
    </row>
    <row r="415">
      <c r="A415" s="1" t="n">
        <v>46149</v>
      </c>
      <c r="B415" t="inlineStr">
        <is>
          <t>3422/TK/2026</t>
        </is>
      </c>
      <c r="C415" t="inlineStr">
        <is>
          <t>LIDIA PATRUS</t>
        </is>
      </c>
      <c r="D415" t="inlineStr">
        <is>
          <t>73083015649</t>
        </is>
      </c>
      <c r="E415" s="1" t="n">
        <v>46148</v>
      </c>
      <c r="F415" t="inlineStr">
        <is>
          <t>Pilny</t>
        </is>
      </c>
      <c r="G415" t="inlineStr">
        <is>
          <t>TK</t>
        </is>
      </c>
      <c r="H415" t="inlineStr">
        <is>
          <t>TK głowy</t>
        </is>
      </c>
      <c r="I415" t="inlineStr">
        <is>
          <t>TK Onkologia</t>
        </is>
      </c>
      <c r="J415" t="inlineStr">
        <is>
          <t>1 okolica anatomiczna</t>
        </is>
      </c>
      <c r="K415" t="inlineStr">
        <is>
          <t>Tomasz Bujalski</t>
        </is>
      </c>
      <c r="L415" t="inlineStr">
        <is>
          <t> </t>
        </is>
      </c>
      <c r="M415" t="inlineStr">
        <is>
          <t>Szpital Specjalistyczny w Jaśle</t>
        </is>
      </c>
      <c r="N415" t="inlineStr">
        <is>
          <t>Oddział Neurologii z Pododdziałem Udarowym</t>
        </is>
      </c>
      <c r="O415" t="inlineStr">
        <is>
          <t> </t>
        </is>
      </c>
      <c r="P415" t="inlineStr">
        <is>
          <t> </t>
        </is>
      </c>
      <c r="Q415" t="inlineStr">
        <is>
          <t> </t>
        </is>
      </c>
      <c r="R415" t="inlineStr">
        <is>
          <t>szpitaljaslo</t>
        </is>
      </c>
      <c r="S415" s="1" t="n">
        <v>46148.49236111111</v>
      </c>
      <c r="T415" t="n">
        <v>1</v>
      </c>
      <c r="U415" t="inlineStr">
        <is>
          <t>BUJALSKI TOMASZ</t>
        </is>
      </c>
    </row>
    <row r="416">
      <c r="A416" s="1" t="n">
        <v>46149</v>
      </c>
      <c r="B416" t="inlineStr">
        <is>
          <t>3432/TK/2026</t>
        </is>
      </c>
      <c r="C416" t="inlineStr">
        <is>
          <t>ZOFIA LETKOWSKA</t>
        </is>
      </c>
      <c r="D416" t="inlineStr">
        <is>
          <t>45110203866</t>
        </is>
      </c>
      <c r="E416" s="1" t="n">
        <v>46149</v>
      </c>
      <c r="F416" t="inlineStr">
        <is>
          <t>CITO-CITO</t>
        </is>
      </c>
      <c r="G416" t="inlineStr">
        <is>
          <t>TK</t>
        </is>
      </c>
      <c r="H416" t="inlineStr">
        <is>
          <t>TK głowy</t>
        </is>
      </c>
      <c r="I416" t="inlineStr">
        <is>
          <t>TK Onkologia</t>
        </is>
      </c>
      <c r="J416" t="inlineStr">
        <is>
          <t>1 okolica anatomiczna</t>
        </is>
      </c>
      <c r="K416" t="inlineStr">
        <is>
          <t>Tomasz Bujalski</t>
        </is>
      </c>
      <c r="L416" t="inlineStr">
        <is>
          <t> </t>
        </is>
      </c>
      <c r="M416" t="inlineStr">
        <is>
          <t>Szpital Specjalistyczny w Jaśle</t>
        </is>
      </c>
      <c r="N416" t="inlineStr">
        <is>
          <t>Szpitalny Oddział Ratunkowy wraz z Izbą Przyjęć</t>
        </is>
      </c>
      <c r="O416" t="inlineStr">
        <is>
          <t> </t>
        </is>
      </c>
      <c r="P416" t="inlineStr">
        <is>
          <t> </t>
        </is>
      </c>
      <c r="Q416" t="inlineStr">
        <is>
          <t> </t>
        </is>
      </c>
      <c r="R416" t="inlineStr">
        <is>
          <t>szpitaljaslo</t>
        </is>
      </c>
      <c r="S416" s="1" t="n">
        <v>46149.18888888889</v>
      </c>
      <c r="T416" t="n">
        <v>0</v>
      </c>
      <c r="U416" t="inlineStr">
        <is>
          <t>BUJALSKI TOMASZ</t>
        </is>
      </c>
    </row>
    <row r="417">
      <c r="A417" s="1" t="n">
        <v>46150</v>
      </c>
      <c r="B417" t="inlineStr">
        <is>
          <t>3472/TK/2026</t>
        </is>
      </c>
      <c r="C417" t="inlineStr">
        <is>
          <t>ZANETA WIERZGACZ</t>
        </is>
      </c>
      <c r="D417" t="inlineStr">
        <is>
          <t>98080307508</t>
        </is>
      </c>
      <c r="E417" s="1" t="n">
        <v>46150</v>
      </c>
      <c r="F417" t="inlineStr">
        <is>
          <t>CITO-CITO</t>
        </is>
      </c>
      <c r="G417" t="inlineStr">
        <is>
          <t>TK</t>
        </is>
      </c>
      <c r="H417" t="inlineStr">
        <is>
          <t>TK głowy</t>
        </is>
      </c>
      <c r="I417" t="inlineStr">
        <is>
          <t>TK Onkologia</t>
        </is>
      </c>
      <c r="J417" t="inlineStr">
        <is>
          <t>1 okolica anatomiczna</t>
        </is>
      </c>
      <c r="K417" t="inlineStr">
        <is>
          <t>Tomasz Bujalski</t>
        </is>
      </c>
      <c r="L417" t="inlineStr">
        <is>
          <t> </t>
        </is>
      </c>
      <c r="M417" t="inlineStr">
        <is>
          <t>Szpital Specjalistyczny w Jaśle</t>
        </is>
      </c>
      <c r="N417" t="inlineStr">
        <is>
          <t>Szpitalny Oddział Ratunkowy wraz z Izbą Przyjęć</t>
        </is>
      </c>
      <c r="O417" t="inlineStr">
        <is>
          <t> </t>
        </is>
      </c>
      <c r="P417" t="inlineStr">
        <is>
          <t> </t>
        </is>
      </c>
      <c r="Q417" t="inlineStr">
        <is>
          <t> </t>
        </is>
      </c>
      <c r="R417" t="inlineStr">
        <is>
          <t>szpitaljaslo</t>
        </is>
      </c>
      <c r="S417" s="1" t="n">
        <v>46150.39583333334</v>
      </c>
      <c r="T417" t="n">
        <v>0</v>
      </c>
      <c r="U417" t="inlineStr">
        <is>
          <t>BUJALSKI TOMASZ</t>
        </is>
      </c>
    </row>
    <row r="418">
      <c r="A418" s="1" t="n">
        <v>46156</v>
      </c>
      <c r="B418" t="inlineStr">
        <is>
          <t>3613/TK/2026</t>
        </is>
      </c>
      <c r="C418" t="inlineStr">
        <is>
          <t>BARBARA SMYKA</t>
        </is>
      </c>
      <c r="D418" t="inlineStr">
        <is>
          <t>58041020161</t>
        </is>
      </c>
      <c r="E418" s="1" t="n">
        <v>46155</v>
      </c>
      <c r="F418" t="inlineStr">
        <is>
          <t>Pilny</t>
        </is>
      </c>
      <c r="G418" t="inlineStr">
        <is>
          <t>TK</t>
        </is>
      </c>
      <c r="H418" t="inlineStr">
        <is>
          <t>TK klatki piersiowej i j.brzusznej z kontrastem</t>
        </is>
      </c>
      <c r="I418" t="inlineStr">
        <is>
          <t>TK Zwykłe</t>
        </is>
      </c>
      <c r="J418" t="inlineStr">
        <is>
          <t>3 okolice anatomiczne</t>
        </is>
      </c>
      <c r="K418" t="inlineStr">
        <is>
          <t>Tomasz Bujalski</t>
        </is>
      </c>
      <c r="L418" t="inlineStr">
        <is>
          <t> </t>
        </is>
      </c>
      <c r="M418" t="inlineStr">
        <is>
          <t>Szpital Specjalistyczny w Jaśle</t>
        </is>
      </c>
      <c r="N418" t="inlineStr">
        <is>
          <t>Oddział Chorób Wewnętrznych i Kardiologii</t>
        </is>
      </c>
      <c r="O418" t="inlineStr">
        <is>
          <t> </t>
        </is>
      </c>
      <c r="P418" t="inlineStr">
        <is>
          <t> </t>
        </is>
      </c>
      <c r="Q418" t="inlineStr">
        <is>
          <t> </t>
        </is>
      </c>
      <c r="R418" t="inlineStr">
        <is>
          <t>szpitaljaslo</t>
        </is>
      </c>
      <c r="S418" s="1" t="n">
        <v>46156.43888888889</v>
      </c>
      <c r="T418" t="n">
        <v>3</v>
      </c>
      <c r="U418" t="inlineStr">
        <is>
          <t>BUJALSKI TOMASZ</t>
        </is>
      </c>
    </row>
    <row r="419">
      <c r="A419" s="1" t="n">
        <v>46156</v>
      </c>
      <c r="B419" t="inlineStr">
        <is>
          <t>3616/TK/2026</t>
        </is>
      </c>
      <c r="C419" t="inlineStr">
        <is>
          <t>KONSTANTY NOCEK</t>
        </is>
      </c>
      <c r="D419" t="inlineStr">
        <is>
          <t>49071802393</t>
        </is>
      </c>
      <c r="E419" s="1" t="n">
        <v>46155</v>
      </c>
      <c r="F419" t="inlineStr">
        <is>
          <t>Pilny</t>
        </is>
      </c>
      <c r="G419" t="inlineStr">
        <is>
          <t>TK</t>
        </is>
      </c>
      <c r="H419" t="inlineStr">
        <is>
          <t>TK klatki piersiowej z kontrastem</t>
        </is>
      </c>
      <c r="I419" t="inlineStr">
        <is>
          <t>TK Onkologia</t>
        </is>
      </c>
      <c r="J419" t="inlineStr">
        <is>
          <t>1 okolica anatomiczna</t>
        </is>
      </c>
      <c r="K419" t="inlineStr">
        <is>
          <t>Tomasz Bujalski</t>
        </is>
      </c>
      <c r="L419" t="inlineStr">
        <is>
          <t> </t>
        </is>
      </c>
      <c r="M419" t="inlineStr">
        <is>
          <t>Szpital Specjalistyczny w Jaśle</t>
        </is>
      </c>
      <c r="N419" t="inlineStr">
        <is>
          <t>Oddział Chorób Wewnętrznych i Kardiologii</t>
        </is>
      </c>
      <c r="O419" t="inlineStr">
        <is>
          <t> </t>
        </is>
      </c>
      <c r="P419" t="inlineStr">
        <is>
          <t> </t>
        </is>
      </c>
      <c r="Q419" t="inlineStr">
        <is>
          <t> </t>
        </is>
      </c>
      <c r="R419" t="inlineStr">
        <is>
          <t>szpitaljaslo</t>
        </is>
      </c>
      <c r="S419" s="1" t="n">
        <v>46156.43888888889</v>
      </c>
      <c r="T419" t="n">
        <v>0</v>
      </c>
      <c r="U419" t="inlineStr">
        <is>
          <t>BUJALSKI TOMASZ</t>
        </is>
      </c>
    </row>
    <row r="420">
      <c r="A420" s="1" t="n">
        <v>46164</v>
      </c>
      <c r="B420" t="inlineStr">
        <is>
          <t>3881/TK/2026</t>
        </is>
      </c>
      <c r="C420" t="inlineStr">
        <is>
          <t>GRAZYNA SIWIEC</t>
        </is>
      </c>
      <c r="D420" t="inlineStr">
        <is>
          <t>52032308061</t>
        </is>
      </c>
      <c r="E420" s="1" t="n">
        <v>46164</v>
      </c>
      <c r="F420" t="inlineStr">
        <is>
          <t>CITO-CITO</t>
        </is>
      </c>
      <c r="G420" t="inlineStr">
        <is>
          <t>TK</t>
        </is>
      </c>
      <c r="H420" t="inlineStr">
        <is>
          <t>TK klatki piersiowej, j.brzusznej i miednicy z kontrastem</t>
        </is>
      </c>
      <c r="I420" t="inlineStr">
        <is>
          <t>TK Onkologia</t>
        </is>
      </c>
      <c r="J420" t="inlineStr">
        <is>
          <t>3 okolice anatomiczne</t>
        </is>
      </c>
      <c r="K420" t="inlineStr">
        <is>
          <t>Tomasz Bujalski</t>
        </is>
      </c>
      <c r="L420" t="inlineStr">
        <is>
          <t> </t>
        </is>
      </c>
      <c r="M420" t="inlineStr">
        <is>
          <t>Szpital Specjalistyczny w Jaśle</t>
        </is>
      </c>
      <c r="N420" t="inlineStr">
        <is>
          <t>Oddział Chorób Wewnętrznych i Kardiologii</t>
        </is>
      </c>
      <c r="O420" t="inlineStr">
        <is>
          <t> </t>
        </is>
      </c>
      <c r="P420" t="inlineStr">
        <is>
          <t> </t>
        </is>
      </c>
      <c r="Q420" t="inlineStr">
        <is>
          <t> </t>
        </is>
      </c>
      <c r="R420" t="inlineStr">
        <is>
          <t>szpitaljaslo</t>
        </is>
      </c>
      <c r="S420" s="1" t="n">
        <v>46164.37083333333</v>
      </c>
      <c r="T420" t="n">
        <v>3</v>
      </c>
      <c r="U420" t="inlineStr">
        <is>
          <t>BUJALSKI TOMASZ</t>
        </is>
      </c>
    </row>
    <row r="421">
      <c r="A421" s="1" t="n">
        <v>46165</v>
      </c>
      <c r="B421" t="inlineStr">
        <is>
          <t>3918/TK/2026</t>
        </is>
      </c>
      <c r="C421" t="inlineStr">
        <is>
          <t>WIESLAW BYCZEK</t>
        </is>
      </c>
      <c r="D421" t="inlineStr">
        <is>
          <t>56010807117</t>
        </is>
      </c>
      <c r="E421" s="1" t="n">
        <v>46165</v>
      </c>
      <c r="F421" t="inlineStr">
        <is>
          <t>CITO-CITO</t>
        </is>
      </c>
      <c r="G421" t="inlineStr">
        <is>
          <t>TK</t>
        </is>
      </c>
      <c r="H421" t="inlineStr">
        <is>
          <t>TK angio klatki piersiowej</t>
        </is>
      </c>
      <c r="I421" t="inlineStr">
        <is>
          <t>TK Angiografia</t>
        </is>
      </c>
      <c r="J421" t="inlineStr">
        <is>
          <t>1 okolica anatomiczna</t>
        </is>
      </c>
      <c r="K421" t="inlineStr">
        <is>
          <t>Tomasz Bujalski</t>
        </is>
      </c>
      <c r="L421" t="inlineStr">
        <is>
          <t> </t>
        </is>
      </c>
      <c r="M421" t="inlineStr">
        <is>
          <t>Szpital Specjalistyczny w Jaśle</t>
        </is>
      </c>
      <c r="N421" t="inlineStr">
        <is>
          <t>Szpitalny Oddział Ratunkowy wraz z Izbą Przyjęć</t>
        </is>
      </c>
      <c r="O421" t="inlineStr">
        <is>
          <t> </t>
        </is>
      </c>
      <c r="P421" t="inlineStr">
        <is>
          <t> </t>
        </is>
      </c>
      <c r="Q421" t="inlineStr">
        <is>
          <t> </t>
        </is>
      </c>
      <c r="R421" t="inlineStr">
        <is>
          <t>szpitaljaslo</t>
        </is>
      </c>
      <c r="S421" s="1" t="n">
        <v>46165.50416666667</v>
      </c>
      <c r="T421" t="n">
        <v>0</v>
      </c>
      <c r="U421" t="inlineStr">
        <is>
          <t>BUJALSKI TOMASZ</t>
        </is>
      </c>
    </row>
    <row r="422">
      <c r="A422" s="1" t="n">
        <v>46165</v>
      </c>
      <c r="B422" t="inlineStr">
        <is>
          <t>3919/TK/2026</t>
        </is>
      </c>
      <c r="C422" t="inlineStr">
        <is>
          <t>JADWIGA KARAS</t>
        </is>
      </c>
      <c r="D422" t="inlineStr">
        <is>
          <t>66100408920</t>
        </is>
      </c>
      <c r="E422" s="1" t="n">
        <v>46165</v>
      </c>
      <c r="F422" t="inlineStr">
        <is>
          <t>CITO-CITO</t>
        </is>
      </c>
      <c r="G422" t="inlineStr">
        <is>
          <t>TK</t>
        </is>
      </c>
      <c r="H422" t="inlineStr">
        <is>
          <t>TK j.brzusznej i miednicy</t>
        </is>
      </c>
      <c r="I422" t="inlineStr">
        <is>
          <t>TK Zwykłe</t>
        </is>
      </c>
      <c r="J422" t="inlineStr">
        <is>
          <t>2 okolice anatomiczne</t>
        </is>
      </c>
      <c r="K422" t="inlineStr">
        <is>
          <t>Tomasz Bujalski</t>
        </is>
      </c>
      <c r="L422" t="inlineStr">
        <is>
          <t> </t>
        </is>
      </c>
      <c r="M422" t="inlineStr">
        <is>
          <t>Szpital Specjalistyczny w Jaśle</t>
        </is>
      </c>
      <c r="N422" t="inlineStr">
        <is>
          <t>Szpitalny Oddział Ratunkowy wraz z Izbą Przyjęć</t>
        </is>
      </c>
      <c r="O422" t="inlineStr">
        <is>
          <t> </t>
        </is>
      </c>
      <c r="P422" t="inlineStr">
        <is>
          <t> </t>
        </is>
      </c>
      <c r="Q422" t="inlineStr">
        <is>
          <t> </t>
        </is>
      </c>
      <c r="R422" t="inlineStr">
        <is>
          <t>szpitaljaslo</t>
        </is>
      </c>
      <c r="S422" s="1" t="n">
        <v>46165.50902777778</v>
      </c>
      <c r="T422" t="n">
        <v>0</v>
      </c>
      <c r="U422" t="inlineStr">
        <is>
          <t>BUJALSKI TOMASZ</t>
        </is>
      </c>
    </row>
    <row r="423">
      <c r="A423" s="1" t="n">
        <v>46165</v>
      </c>
      <c r="B423" t="inlineStr">
        <is>
          <t>3921/TK/2026</t>
        </is>
      </c>
      <c r="C423" t="inlineStr">
        <is>
          <t>KRYSTIAN LIBUSZEWSKI</t>
        </is>
      </c>
      <c r="D423" t="inlineStr">
        <is>
          <t>98060304374</t>
        </is>
      </c>
      <c r="E423" s="1" t="n">
        <v>46165</v>
      </c>
      <c r="F423" t="inlineStr">
        <is>
          <t>CITO-CITO</t>
        </is>
      </c>
      <c r="G423" t="inlineStr">
        <is>
          <t>TK</t>
        </is>
      </c>
      <c r="H423" t="inlineStr">
        <is>
          <t>TK miednicy</t>
        </is>
      </c>
      <c r="I423" t="inlineStr">
        <is>
          <t>TK Zwykłe</t>
        </is>
      </c>
      <c r="J423" t="inlineStr">
        <is>
          <t>1 okolica anatomiczna</t>
        </is>
      </c>
      <c r="K423" t="inlineStr">
        <is>
          <t>Tomasz Bujalski</t>
        </is>
      </c>
      <c r="L423" t="inlineStr">
        <is>
          <t> </t>
        </is>
      </c>
      <c r="M423" t="inlineStr">
        <is>
          <t>Szpital Specjalistyczny w Jaśle</t>
        </is>
      </c>
      <c r="N423" t="inlineStr">
        <is>
          <t>Oddział Ortopedii, Traumatologii, Mikrochirurgii i Chirurgii Ręki</t>
        </is>
      </c>
      <c r="O423" t="inlineStr">
        <is>
          <t> </t>
        </is>
      </c>
      <c r="P423" t="inlineStr">
        <is>
          <t> </t>
        </is>
      </c>
      <c r="Q423" t="inlineStr">
        <is>
          <t> </t>
        </is>
      </c>
      <c r="R423" t="inlineStr">
        <is>
          <t>szpitaljaslo</t>
        </is>
      </c>
      <c r="S423" s="1" t="n">
        <v>46165.60347222222</v>
      </c>
      <c r="T423" t="n">
        <v>0</v>
      </c>
      <c r="U423" t="inlineStr">
        <is>
          <t>BUJALSKI TOMASZ</t>
        </is>
      </c>
    </row>
    <row r="424">
      <c r="A424" s="1" t="n">
        <v>46165</v>
      </c>
      <c r="B424" t="inlineStr">
        <is>
          <t>3922/TK/2026</t>
        </is>
      </c>
      <c r="C424" t="inlineStr">
        <is>
          <t>MARIA WASIK</t>
        </is>
      </c>
      <c r="D424" t="inlineStr">
        <is>
          <t>72042505467</t>
        </is>
      </c>
      <c r="E424" s="1" t="n">
        <v>46165</v>
      </c>
      <c r="F424" t="inlineStr">
        <is>
          <t>CITO-CITO</t>
        </is>
      </c>
      <c r="G424" t="inlineStr">
        <is>
          <t>TK</t>
        </is>
      </c>
      <c r="H424" t="inlineStr">
        <is>
          <t>TK głowy</t>
        </is>
      </c>
      <c r="I424" t="inlineStr">
        <is>
          <t>TK Onkologia</t>
        </is>
      </c>
      <c r="J424" t="inlineStr">
        <is>
          <t>1 okolica anatomiczna</t>
        </is>
      </c>
      <c r="K424" t="inlineStr">
        <is>
          <t>Tomasz Bujalski</t>
        </is>
      </c>
      <c r="L424" t="inlineStr">
        <is>
          <t> </t>
        </is>
      </c>
      <c r="M424" t="inlineStr">
        <is>
          <t>Szpital Specjalistyczny w Jaśle</t>
        </is>
      </c>
      <c r="N424" t="inlineStr">
        <is>
          <t>Szpitalny Oddział Ratunkowy wraz z Izbą Przyjęć</t>
        </is>
      </c>
      <c r="O424" t="inlineStr">
        <is>
          <t> </t>
        </is>
      </c>
      <c r="P424" t="inlineStr">
        <is>
          <t> </t>
        </is>
      </c>
      <c r="Q424" t="inlineStr">
        <is>
          <t> </t>
        </is>
      </c>
      <c r="R424" t="inlineStr">
        <is>
          <t>szpitaljaslo</t>
        </is>
      </c>
      <c r="S424" s="1" t="n">
        <v>46165.62013888889</v>
      </c>
      <c r="T424" t="n">
        <v>0</v>
      </c>
      <c r="U424" t="inlineStr">
        <is>
          <t>BUJALSKI TOMASZ</t>
        </is>
      </c>
    </row>
    <row r="425">
      <c r="A425" s="1" t="n">
        <v>46170</v>
      </c>
      <c r="B425" t="inlineStr">
        <is>
          <t>4003/TK/2026</t>
        </is>
      </c>
      <c r="C425" t="inlineStr">
        <is>
          <t>STANISLAWA KRAMARZ</t>
        </is>
      </c>
      <c r="D425" t="inlineStr">
        <is>
          <t>40012210927</t>
        </is>
      </c>
      <c r="E425" s="1" t="n">
        <v>46168</v>
      </c>
      <c r="F425" t="inlineStr">
        <is>
          <t>Pilny</t>
        </is>
      </c>
      <c r="G425" t="inlineStr">
        <is>
          <t>TK</t>
        </is>
      </c>
      <c r="H425" t="inlineStr">
        <is>
          <t>TK j.brzusznej i miednicy z kontrastem</t>
        </is>
      </c>
      <c r="I425" t="inlineStr">
        <is>
          <t>TK Onkologia</t>
        </is>
      </c>
      <c r="J425" t="inlineStr">
        <is>
          <t>2 okolice anatomiczne</t>
        </is>
      </c>
      <c r="K425" t="inlineStr">
        <is>
          <t>Tomasz Bujalski</t>
        </is>
      </c>
      <c r="L425" t="inlineStr">
        <is>
          <t> </t>
        </is>
      </c>
      <c r="M425" t="inlineStr">
        <is>
          <t>Szpital Specjalistyczny w Jaśle</t>
        </is>
      </c>
      <c r="N425" t="inlineStr">
        <is>
          <t>Oddział Geriatryczny</t>
        </is>
      </c>
      <c r="O425" t="inlineStr">
        <is>
          <t> </t>
        </is>
      </c>
      <c r="P425" t="inlineStr">
        <is>
          <t> </t>
        </is>
      </c>
      <c r="Q425" t="inlineStr">
        <is>
          <t> </t>
        </is>
      </c>
      <c r="R425" t="inlineStr">
        <is>
          <t>szpitaljaslo</t>
        </is>
      </c>
      <c r="S425" s="1" t="n">
        <v>46169.50763888889</v>
      </c>
      <c r="T425" t="n">
        <v>2</v>
      </c>
      <c r="U425" t="inlineStr">
        <is>
          <t>BUJALSKI TOMASZ</t>
        </is>
      </c>
    </row>
    <row r="426">
      <c r="A426" s="1" t="n">
        <v>46171</v>
      </c>
      <c r="B426" t="inlineStr">
        <is>
          <t>4097/TK/2026</t>
        </is>
      </c>
      <c r="C426" t="inlineStr">
        <is>
          <t>ALEKSANDRA BRZOSTOWSKA</t>
        </is>
      </c>
      <c r="D426" t="inlineStr">
        <is>
          <t>61030308164</t>
        </is>
      </c>
      <c r="E426" s="1" t="n">
        <v>46171</v>
      </c>
      <c r="F426" t="inlineStr">
        <is>
          <t>Pilny</t>
        </is>
      </c>
      <c r="G426" t="inlineStr">
        <is>
          <t>TK</t>
        </is>
      </c>
      <c r="H426" t="inlineStr">
        <is>
          <t>TK głowy</t>
        </is>
      </c>
      <c r="I426" t="inlineStr">
        <is>
          <t>TK Onkologia</t>
        </is>
      </c>
      <c r="J426" t="inlineStr">
        <is>
          <t>1 okolica anatomiczna</t>
        </is>
      </c>
      <c r="K426" t="inlineStr">
        <is>
          <t>Tomasz Bujalski</t>
        </is>
      </c>
      <c r="L426" t="inlineStr">
        <is>
          <t> </t>
        </is>
      </c>
      <c r="M426" t="inlineStr">
        <is>
          <t>Szpital Specjalistyczny w Jaśle</t>
        </is>
      </c>
      <c r="N426" t="inlineStr">
        <is>
          <t>Oddział Otolaryngologiczny i Otolaryngologii Dziecięcej</t>
        </is>
      </c>
      <c r="O426" t="inlineStr">
        <is>
          <t> </t>
        </is>
      </c>
      <c r="P426" t="inlineStr">
        <is>
          <t> </t>
        </is>
      </c>
      <c r="Q426" t="inlineStr">
        <is>
          <t> </t>
        </is>
      </c>
      <c r="R426" t="inlineStr">
        <is>
          <t>szpitaljaslo</t>
        </is>
      </c>
      <c r="S426" s="1" t="n">
        <v>46171.38333333333</v>
      </c>
      <c r="T426" t="n">
        <v>0</v>
      </c>
      <c r="U426" t="inlineStr">
        <is>
          <t>BUJALSKI TOMASZ</t>
        </is>
      </c>
    </row>
    <row r="427">
      <c r="A427" s="1" t="n">
        <v>46171</v>
      </c>
      <c r="B427" t="inlineStr">
        <is>
          <t>4098/TK/2026</t>
        </is>
      </c>
      <c r="C427" t="inlineStr">
        <is>
          <t>ALEKSANDRA BRZOSTOWSKA</t>
        </is>
      </c>
      <c r="D427" t="inlineStr">
        <is>
          <t>61030308164</t>
        </is>
      </c>
      <c r="E427" s="1" t="n">
        <v>46171</v>
      </c>
      <c r="F427" t="inlineStr">
        <is>
          <t>Pilny</t>
        </is>
      </c>
      <c r="G427" t="inlineStr">
        <is>
          <t>TK</t>
        </is>
      </c>
      <c r="H427" t="inlineStr">
        <is>
          <t>TK uszu</t>
        </is>
      </c>
      <c r="I427" t="inlineStr">
        <is>
          <t>TK Zwykłe</t>
        </is>
      </c>
      <c r="J427" t="inlineStr">
        <is>
          <t>1 okolica anatomiczna</t>
        </is>
      </c>
      <c r="K427" t="inlineStr">
        <is>
          <t>Tomasz Bujalski</t>
        </is>
      </c>
      <c r="L427" t="inlineStr">
        <is>
          <t> </t>
        </is>
      </c>
      <c r="M427" t="inlineStr">
        <is>
          <t>Szpital Specjalistyczny w Jaśle</t>
        </is>
      </c>
      <c r="N427" t="inlineStr">
        <is>
          <t>Oddział Otolaryngologiczny i Otolaryngologii Dziecięcej</t>
        </is>
      </c>
      <c r="O427" t="inlineStr">
        <is>
          <t> </t>
        </is>
      </c>
      <c r="P427" t="inlineStr">
        <is>
          <t> </t>
        </is>
      </c>
      <c r="Q427" t="inlineStr">
        <is>
          <t> </t>
        </is>
      </c>
      <c r="R427" t="inlineStr">
        <is>
          <t>szpitaljaslo</t>
        </is>
      </c>
      <c r="S427" s="1" t="n">
        <v>46171.37569444445</v>
      </c>
      <c r="T427" t="n">
        <v>0</v>
      </c>
      <c r="U427" t="inlineStr">
        <is>
          <t>BUJALSKI TOMASZ</t>
        </is>
      </c>
    </row>
    <row r="428">
      <c r="A428" s="1" t="n">
        <v>46151</v>
      </c>
      <c r="B428" t="n">
        <v>594993.1</v>
      </c>
      <c r="C428" t="inlineStr">
        <is>
          <t>JERZY WAWER</t>
        </is>
      </c>
      <c r="D428" t="inlineStr">
        <is>
          <t>69031507056</t>
        </is>
      </c>
      <c r="E428" s="1" t="n">
        <v>46151</v>
      </c>
      <c r="F428" t="inlineStr">
        <is>
          <t>CITO-CITO</t>
        </is>
      </c>
      <c r="G428" t="inlineStr">
        <is>
          <t>TK</t>
        </is>
      </c>
      <c r="H428" t="inlineStr">
        <is>
          <t>TK głowy bez kontrastu [87.03 ]</t>
        </is>
      </c>
      <c r="I428" t="inlineStr">
        <is>
          <t>TK Zwykłe</t>
        </is>
      </c>
      <c r="J428" t="inlineStr">
        <is>
          <t>1 okolica anatomiczna</t>
        </is>
      </c>
      <c r="K428" t="inlineStr">
        <is>
          <t>Tomasz Bujalski</t>
        </is>
      </c>
      <c r="L428" t="inlineStr">
        <is>
          <t> </t>
        </is>
      </c>
      <c r="M428" t="inlineStr">
        <is>
          <t>SAMODZIELNY PUBLICZNY ZAKŁAD OPIEKI ZDROWOTNEJ W LUBARTOWIE</t>
        </is>
      </c>
      <c r="N428" t="inlineStr">
        <is>
          <t>Szpitalny Oddział Ratunkowy</t>
        </is>
      </c>
      <c r="O428" t="inlineStr">
        <is>
          <t>OLEKSANDR HAINUTDINOV</t>
        </is>
      </c>
      <c r="P428" t="inlineStr">
        <is>
          <t>3632426</t>
        </is>
      </c>
      <c r="Q428" t="inlineStr">
        <is>
          <t>S00.0</t>
        </is>
      </c>
      <c r="R428" t="inlineStr">
        <is>
          <t>szpitallubartow</t>
        </is>
      </c>
      <c r="S428" s="1" t="n">
        <v>46151.55347222222</v>
      </c>
      <c r="T428" t="n">
        <v>0</v>
      </c>
      <c r="U428" t="inlineStr">
        <is>
          <t>BUJALSKI TOMASZ</t>
        </is>
      </c>
    </row>
    <row r="429">
      <c r="A429" s="1" t="n">
        <v>46151</v>
      </c>
      <c r="B429" t="n">
        <v>595096.1</v>
      </c>
      <c r="C429" t="inlineStr">
        <is>
          <t>KRZYSZTOF LATOCH</t>
        </is>
      </c>
      <c r="D429" t="inlineStr">
        <is>
          <t>71061409538</t>
        </is>
      </c>
      <c r="E429" s="1" t="n">
        <v>46151</v>
      </c>
      <c r="F429" t="inlineStr">
        <is>
          <t>CITO-CITO</t>
        </is>
      </c>
      <c r="G429" t="inlineStr">
        <is>
          <t>TK</t>
        </is>
      </c>
      <c r="H429" t="inlineStr">
        <is>
          <t>TK klatki piersiowej (bez kontrastu) [87.410 ]</t>
        </is>
      </c>
      <c r="I429" t="inlineStr">
        <is>
          <t>TK Zwykłe</t>
        </is>
      </c>
      <c r="J429" t="inlineStr">
        <is>
          <t>1 okolica anatomiczna</t>
        </is>
      </c>
      <c r="K429" t="inlineStr">
        <is>
          <t>Tomasz Bujalski</t>
        </is>
      </c>
      <c r="L429" t="inlineStr">
        <is>
          <t> </t>
        </is>
      </c>
      <c r="M429" t="inlineStr">
        <is>
          <t>SAMODZIELNY PUBLICZNY ZAKŁAD OPIEKI ZDROWOTNEJ W LUBARTOWIE</t>
        </is>
      </c>
      <c r="N429" t="inlineStr">
        <is>
          <t>Szpitalny Oddział Ratunkowy</t>
        </is>
      </c>
      <c r="O429" t="inlineStr">
        <is>
          <t>OLEKSANDR HAINUTDINOV</t>
        </is>
      </c>
      <c r="P429" t="inlineStr">
        <is>
          <t>3632426</t>
        </is>
      </c>
      <c r="Q429" t="inlineStr">
        <is>
          <t>S20.1</t>
        </is>
      </c>
      <c r="R429" t="inlineStr">
        <is>
          <t>szpitallubartow</t>
        </is>
      </c>
      <c r="S429" s="1" t="n">
        <v>46151.63333333333</v>
      </c>
      <c r="T429" t="n">
        <v>0</v>
      </c>
      <c r="U429" t="inlineStr">
        <is>
          <t>BUJALSKI TOMASZ</t>
        </is>
      </c>
    </row>
    <row r="430">
      <c r="A430" s="1" t="n">
        <v>46151</v>
      </c>
      <c r="B430" t="n">
        <v>595097.1</v>
      </c>
      <c r="C430" t="inlineStr">
        <is>
          <t>MATEUSZ KOWALSKI</t>
        </is>
      </c>
      <c r="D430" t="inlineStr">
        <is>
          <t>07251407332</t>
        </is>
      </c>
      <c r="E430" s="1" t="n">
        <v>46151</v>
      </c>
      <c r="F430" t="inlineStr">
        <is>
          <t>CITO-CITO</t>
        </is>
      </c>
      <c r="G430" t="inlineStr">
        <is>
          <t>TK</t>
        </is>
      </c>
      <c r="H430" t="inlineStr">
        <is>
          <t>TK głowy bez kontrastu [87.03 ]</t>
        </is>
      </c>
      <c r="I430" t="inlineStr">
        <is>
          <t>TK Zwykłe</t>
        </is>
      </c>
      <c r="J430" t="inlineStr">
        <is>
          <t>1 okolica anatomiczna</t>
        </is>
      </c>
      <c r="K430" t="inlineStr">
        <is>
          <t>Tomasz Bujalski</t>
        </is>
      </c>
      <c r="L430" t="inlineStr">
        <is>
          <t> </t>
        </is>
      </c>
      <c r="M430" t="inlineStr">
        <is>
          <t>SAMODZIELNY PUBLICZNY ZAKŁAD OPIEKI ZDROWOTNEJ W LUBARTOWIE</t>
        </is>
      </c>
      <c r="N430" t="inlineStr">
        <is>
          <t>Szpitalny Oddział Ratunkowy</t>
        </is>
      </c>
      <c r="O430" t="inlineStr">
        <is>
          <t>OLEKSANDR HAINUTDINOV</t>
        </is>
      </c>
      <c r="P430" t="inlineStr">
        <is>
          <t>3632426</t>
        </is>
      </c>
      <c r="Q430" t="inlineStr">
        <is>
          <t>R51</t>
        </is>
      </c>
      <c r="R430" t="inlineStr">
        <is>
          <t>szpitallubartow</t>
        </is>
      </c>
      <c r="S430" s="1" t="n">
        <v>46151.64305555556</v>
      </c>
      <c r="T430" t="n">
        <v>0</v>
      </c>
      <c r="U430" t="inlineStr">
        <is>
          <t>BUJALSKI TOMASZ</t>
        </is>
      </c>
    </row>
    <row r="431">
      <c r="A431" s="1" t="n">
        <v>46156</v>
      </c>
      <c r="B431" t="n">
        <v>596592.1</v>
      </c>
      <c r="C431" t="inlineStr">
        <is>
          <t>ZYGMUNT WIŚNIEWSKI</t>
        </is>
      </c>
      <c r="D431" t="inlineStr">
        <is>
          <t>37030108639</t>
        </is>
      </c>
      <c r="E431" s="1" t="n">
        <v>46156</v>
      </c>
      <c r="F431" t="inlineStr">
        <is>
          <t>CITO-CITO</t>
        </is>
      </c>
      <c r="G431" t="inlineStr">
        <is>
          <t>TK</t>
        </is>
      </c>
      <c r="H431" t="inlineStr">
        <is>
          <t>TK angiografia tt. Mózgowych [87.03 ]</t>
        </is>
      </c>
      <c r="I431" t="inlineStr">
        <is>
          <t>TK Angiografia</t>
        </is>
      </c>
      <c r="J431" t="inlineStr">
        <is>
          <t>2 okolice anatomiczne</t>
        </is>
      </c>
      <c r="K431" t="inlineStr">
        <is>
          <t>Tomasz Bujalski</t>
        </is>
      </c>
      <c r="L431" t="inlineStr">
        <is>
          <t> </t>
        </is>
      </c>
      <c r="M431" t="inlineStr">
        <is>
          <t>SAMODZIELNY PUBLICZNY ZAKŁAD OPIEKI ZDROWOTNEJ W LUBARTOWIE</t>
        </is>
      </c>
      <c r="N431" t="inlineStr">
        <is>
          <t>ODDZIAŁ NEUROLOGICZNY SPZOZ LUBARTÓW</t>
        </is>
      </c>
      <c r="O431" t="inlineStr">
        <is>
          <t>KATARZYNA MRÓZ</t>
        </is>
      </c>
      <c r="P431" t="inlineStr">
        <is>
          <t>1891308</t>
        </is>
      </c>
      <c r="Q431" t="inlineStr">
        <is>
          <t> </t>
        </is>
      </c>
      <c r="R431" t="inlineStr">
        <is>
          <t>szpitallubartow</t>
        </is>
      </c>
      <c r="S431" s="1" t="n">
        <v>46156.39652777778</v>
      </c>
      <c r="T431" t="n">
        <v>0</v>
      </c>
      <c r="U431" t="inlineStr">
        <is>
          <t>BUJALSKI TOMASZ</t>
        </is>
      </c>
    </row>
    <row r="432">
      <c r="A432" s="1" t="n">
        <v>46156</v>
      </c>
      <c r="B432" t="n">
        <v>596614.1</v>
      </c>
      <c r="C432" t="inlineStr">
        <is>
          <t>JÓZEF POŻAROWSZCZYK</t>
        </is>
      </c>
      <c r="D432" t="inlineStr">
        <is>
          <t>44092006571</t>
        </is>
      </c>
      <c r="E432" s="1" t="n">
        <v>46156</v>
      </c>
      <c r="F432" t="inlineStr">
        <is>
          <t>CITO-CITO</t>
        </is>
      </c>
      <c r="G432" t="inlineStr">
        <is>
          <t>TK</t>
        </is>
      </c>
      <c r="H432" t="inlineStr">
        <is>
          <t>TK klatki piersiowej (bez kontrastu) [87.410 ]</t>
        </is>
      </c>
      <c r="I432" t="inlineStr">
        <is>
          <t>TK Zwykłe</t>
        </is>
      </c>
      <c r="J432" t="inlineStr">
        <is>
          <t>1 okolica anatomiczna</t>
        </is>
      </c>
      <c r="K432" t="inlineStr">
        <is>
          <t>Tomasz Bujalski</t>
        </is>
      </c>
      <c r="L432" t="inlineStr">
        <is>
          <t> </t>
        </is>
      </c>
      <c r="M432" t="inlineStr">
        <is>
          <t>SAMODZIELNY PUBLICZNY ZAKŁAD OPIEKI ZDROWOTNEJ W LUBARTOWIE</t>
        </is>
      </c>
      <c r="N432" t="inlineStr">
        <is>
          <t>Szpitalny Oddział Ratunkowy</t>
        </is>
      </c>
      <c r="O432" t="inlineStr">
        <is>
          <t>DOMINIKA SATORA</t>
        </is>
      </c>
      <c r="P432" t="inlineStr">
        <is>
          <t>2301106</t>
        </is>
      </c>
      <c r="Q432" t="inlineStr">
        <is>
          <t>S20</t>
        </is>
      </c>
      <c r="R432" t="inlineStr">
        <is>
          <t>szpitallubartow</t>
        </is>
      </c>
      <c r="S432" s="1" t="n">
        <v>46156.30763888889</v>
      </c>
      <c r="T432" t="n">
        <v>0</v>
      </c>
      <c r="U432" t="inlineStr">
        <is>
          <t>BUJALSKI TOMASZ</t>
        </is>
      </c>
    </row>
    <row r="433">
      <c r="A433" s="1" t="n">
        <v>46158</v>
      </c>
      <c r="B433" t="n">
        <v>597467.1</v>
      </c>
      <c r="C433" t="inlineStr">
        <is>
          <t>ZBIGNIEW ŻELAZOWSKI</t>
        </is>
      </c>
      <c r="D433" t="inlineStr">
        <is>
          <t>54062109515</t>
        </is>
      </c>
      <c r="E433" s="1" t="n">
        <v>46158</v>
      </c>
      <c r="F433" t="inlineStr">
        <is>
          <t>CITO-CITO</t>
        </is>
      </c>
      <c r="G433" t="inlineStr">
        <is>
          <t>TK</t>
        </is>
      </c>
      <c r="H433" t="inlineStr">
        <is>
          <t>CT jamy brzusznej i miednicy (bez kontrastu) [88.010 ]</t>
        </is>
      </c>
      <c r="I433" t="inlineStr">
        <is>
          <t>TK Zwykłe</t>
        </is>
      </c>
      <c r="J433" t="inlineStr">
        <is>
          <t>2 okolice anatomiczne</t>
        </is>
      </c>
      <c r="K433" t="inlineStr">
        <is>
          <t>Tomasz Bujalski</t>
        </is>
      </c>
      <c r="L433" t="inlineStr">
        <is>
          <t> </t>
        </is>
      </c>
      <c r="M433" t="inlineStr">
        <is>
          <t>SAMODZIELNY PUBLICZNY ZAKŁAD OPIEKI ZDROWOTNEJ W LUBARTOWIE</t>
        </is>
      </c>
      <c r="N433" t="inlineStr">
        <is>
          <t>Szpitalny Oddział Ratunkowy</t>
        </is>
      </c>
      <c r="O433" t="inlineStr">
        <is>
          <t>OLEKSANDR HAINUTDINOV</t>
        </is>
      </c>
      <c r="P433" t="inlineStr">
        <is>
          <t>3632426</t>
        </is>
      </c>
      <c r="Q433" t="inlineStr">
        <is>
          <t>R31</t>
        </is>
      </c>
      <c r="R433" t="inlineStr">
        <is>
          <t>szpitallubartow</t>
        </is>
      </c>
      <c r="S433" s="1" t="n">
        <v>46158.60555555556</v>
      </c>
      <c r="T433" t="n">
        <v>0</v>
      </c>
      <c r="U433" t="inlineStr">
        <is>
          <t>BUJALSKI TOMASZ</t>
        </is>
      </c>
    </row>
    <row r="434">
      <c r="A434" s="1" t="n">
        <v>46160</v>
      </c>
      <c r="B434" t="n">
        <v>597773.1</v>
      </c>
      <c r="C434" t="inlineStr">
        <is>
          <t>ADAM KONSTANTY</t>
        </is>
      </c>
      <c r="D434" t="inlineStr">
        <is>
          <t>57041311118</t>
        </is>
      </c>
      <c r="E434" s="1" t="n">
        <v>46160</v>
      </c>
      <c r="F434" t="inlineStr">
        <is>
          <t>CITO-CITO</t>
        </is>
      </c>
      <c r="G434" t="inlineStr">
        <is>
          <t>TK</t>
        </is>
      </c>
      <c r="H434" t="inlineStr">
        <is>
          <t>TK angiografia tt. Mózgowych [87.03 ]</t>
        </is>
      </c>
      <c r="I434" t="inlineStr">
        <is>
          <t>TK Angiografia</t>
        </is>
      </c>
      <c r="J434" t="inlineStr">
        <is>
          <t>2 okolice anatomiczne</t>
        </is>
      </c>
      <c r="K434" t="inlineStr">
        <is>
          <t>Tomasz Bujalski</t>
        </is>
      </c>
      <c r="L434" t="inlineStr">
        <is>
          <t> </t>
        </is>
      </c>
      <c r="M434" t="inlineStr">
        <is>
          <t>SAMODZIELNY PUBLICZNY ZAKŁAD OPIEKI ZDROWOTNEJ W LUBARTOWIE</t>
        </is>
      </c>
      <c r="N434" t="inlineStr">
        <is>
          <t>ODDZIAŁ NEUROLOGICZNY SPZOZ LUBARTÓW</t>
        </is>
      </c>
      <c r="O434" t="inlineStr">
        <is>
          <t>EWA WOŹNICKA</t>
        </is>
      </c>
      <c r="P434" t="inlineStr">
        <is>
          <t>5360105</t>
        </is>
      </c>
      <c r="Q434" t="inlineStr">
        <is>
          <t>I60</t>
        </is>
      </c>
      <c r="R434" t="inlineStr">
        <is>
          <t>szpitallubartow</t>
        </is>
      </c>
      <c r="S434" s="1" t="n">
        <v>46160.51180555556</v>
      </c>
      <c r="T434" t="n">
        <v>2</v>
      </c>
      <c r="U434" t="inlineStr">
        <is>
          <t>BUJALSKI TOMASZ</t>
        </is>
      </c>
    </row>
    <row r="435">
      <c r="A435" s="1" t="n">
        <v>46160</v>
      </c>
      <c r="B435" t="n">
        <v>598035.1</v>
      </c>
      <c r="C435" t="inlineStr">
        <is>
          <t>KAZIMIERA MAZUREK</t>
        </is>
      </c>
      <c r="D435" t="inlineStr">
        <is>
          <t>44031907365</t>
        </is>
      </c>
      <c r="E435" s="1" t="n">
        <v>46160</v>
      </c>
      <c r="F435" t="inlineStr">
        <is>
          <t>CITO-CITO</t>
        </is>
      </c>
      <c r="G435" t="inlineStr">
        <is>
          <t>TK</t>
        </is>
      </c>
      <c r="H435" t="inlineStr">
        <is>
          <t>TK głowy (z kontrastem) [87.03 ]</t>
        </is>
      </c>
      <c r="I435" t="inlineStr">
        <is>
          <t>TK Zwykłe</t>
        </is>
      </c>
      <c r="J435" t="inlineStr">
        <is>
          <t>1 okolica anatomiczna</t>
        </is>
      </c>
      <c r="K435" t="inlineStr">
        <is>
          <t>Tomasz Bujalski</t>
        </is>
      </c>
      <c r="L435" t="inlineStr">
        <is>
          <t> </t>
        </is>
      </c>
      <c r="M435" t="inlineStr">
        <is>
          <t>SAMODZIELNY PUBLICZNY ZAKŁAD OPIEKI ZDROWOTNEJ W LUBARTOWIE</t>
        </is>
      </c>
      <c r="N435" t="inlineStr">
        <is>
          <t>Szpitalny Oddział Ratunkowy</t>
        </is>
      </c>
      <c r="O435" t="inlineStr">
        <is>
          <t>LESZEK JAHOŁKOWSKI</t>
        </is>
      </c>
      <c r="P435" t="inlineStr">
        <is>
          <t>2527124</t>
        </is>
      </c>
      <c r="Q435" t="inlineStr">
        <is>
          <t>R11</t>
        </is>
      </c>
      <c r="R435" t="inlineStr">
        <is>
          <t>szpitallubartow</t>
        </is>
      </c>
      <c r="S435" s="1" t="n">
        <v>46160.57847222222</v>
      </c>
      <c r="T435" t="n">
        <v>0</v>
      </c>
      <c r="U435" t="inlineStr">
        <is>
          <t>BUJALSKI TOMASZ</t>
        </is>
      </c>
    </row>
    <row r="436">
      <c r="A436" s="1" t="n">
        <v>46160</v>
      </c>
      <c r="B436" t="n">
        <v>598075.1</v>
      </c>
      <c r="C436" t="inlineStr">
        <is>
          <t>HERONIM PIESTA</t>
        </is>
      </c>
      <c r="D436" t="inlineStr">
        <is>
          <t>50011709553</t>
        </is>
      </c>
      <c r="E436" s="1" t="n">
        <v>46160</v>
      </c>
      <c r="F436" t="inlineStr">
        <is>
          <t>CITO-CITO</t>
        </is>
      </c>
      <c r="G436" t="inlineStr">
        <is>
          <t>TK</t>
        </is>
      </c>
      <c r="H436" t="inlineStr">
        <is>
          <t>CT jamy brzusznej i miednicy (bez kontrastu) [88.010 ]</t>
        </is>
      </c>
      <c r="I436" t="inlineStr">
        <is>
          <t>TK Zwykłe</t>
        </is>
      </c>
      <c r="J436" t="inlineStr">
        <is>
          <t>2 okolice anatomiczne</t>
        </is>
      </c>
      <c r="K436" t="inlineStr">
        <is>
          <t>Tomasz Bujalski</t>
        </is>
      </c>
      <c r="L436" t="inlineStr">
        <is>
          <t> </t>
        </is>
      </c>
      <c r="M436" t="inlineStr">
        <is>
          <t>SAMODZIELNY PUBLICZNY ZAKŁAD OPIEKI ZDROWOTNEJ W LUBARTOWIE</t>
        </is>
      </c>
      <c r="N436" t="inlineStr">
        <is>
          <t>Szpitalny Oddział Ratunkowy</t>
        </is>
      </c>
      <c r="O436" t="inlineStr">
        <is>
          <t>LESZEK JAHOŁKOWSKI</t>
        </is>
      </c>
      <c r="P436" t="inlineStr">
        <is>
          <t>2527124</t>
        </is>
      </c>
      <c r="Q436" t="inlineStr">
        <is>
          <t> </t>
        </is>
      </c>
      <c r="R436" t="inlineStr">
        <is>
          <t>szpitallubartow</t>
        </is>
      </c>
      <c r="S436" s="1" t="n">
        <v>46160.60277777778</v>
      </c>
      <c r="T436" t="n">
        <v>0</v>
      </c>
      <c r="U436" t="inlineStr">
        <is>
          <t>BUJALSKI TOMASZ</t>
        </is>
      </c>
    </row>
    <row r="437">
      <c r="A437" s="1" t="n">
        <v>46163</v>
      </c>
      <c r="B437" t="n">
        <v>599213.1</v>
      </c>
      <c r="C437" t="inlineStr">
        <is>
          <t>JERZY FERENC</t>
        </is>
      </c>
      <c r="D437" t="inlineStr">
        <is>
          <t>47102301190</t>
        </is>
      </c>
      <c r="E437" s="1" t="n">
        <v>46163</v>
      </c>
      <c r="F437" t="inlineStr">
        <is>
          <t>CITO-CITO</t>
        </is>
      </c>
      <c r="G437" t="inlineStr">
        <is>
          <t>TK</t>
        </is>
      </c>
      <c r="H437" t="inlineStr">
        <is>
          <t>TK klatki piersiowej (bez kontrastu) [87.410 ]</t>
        </is>
      </c>
      <c r="I437" t="inlineStr">
        <is>
          <t>TK Zwykłe</t>
        </is>
      </c>
      <c r="J437" t="inlineStr">
        <is>
          <t>1 okolica anatomiczna</t>
        </is>
      </c>
      <c r="K437" t="inlineStr">
        <is>
          <t>Tomasz Bujalski</t>
        </is>
      </c>
      <c r="L437" t="inlineStr">
        <is>
          <t> </t>
        </is>
      </c>
      <c r="M437" t="inlineStr">
        <is>
          <t>SAMODZIELNY PUBLICZNY ZAKŁAD OPIEKI ZDROWOTNEJ W LUBARTOWIE</t>
        </is>
      </c>
      <c r="N437" t="inlineStr">
        <is>
          <t>Szpitalny Oddział Ratunkowy</t>
        </is>
      </c>
      <c r="O437" t="inlineStr">
        <is>
          <t>DOMINIKA SATORA</t>
        </is>
      </c>
      <c r="P437" t="inlineStr">
        <is>
          <t>2301106</t>
        </is>
      </c>
      <c r="Q437" t="inlineStr">
        <is>
          <t> </t>
        </is>
      </c>
      <c r="R437" t="inlineStr">
        <is>
          <t>szpitallubartow</t>
        </is>
      </c>
      <c r="S437" s="1" t="n">
        <v>46163.43194444444</v>
      </c>
      <c r="T437" t="n">
        <v>0</v>
      </c>
      <c r="U437" t="inlineStr">
        <is>
          <t>BUJALSKI TOMASZ</t>
        </is>
      </c>
    </row>
    <row r="438">
      <c r="A438" s="1" t="n">
        <v>46167</v>
      </c>
      <c r="B438" t="n">
        <v>600109.1</v>
      </c>
      <c r="C438" t="inlineStr">
        <is>
          <t>KRYSTYNA JEŻOWSKA</t>
        </is>
      </c>
      <c r="D438" t="inlineStr">
        <is>
          <t>59071509008</t>
        </is>
      </c>
      <c r="E438" s="1" t="n">
        <v>46167</v>
      </c>
      <c r="F438" t="inlineStr">
        <is>
          <t>CITO-UDAR</t>
        </is>
      </c>
      <c r="G438" t="inlineStr">
        <is>
          <t>TK</t>
        </is>
      </c>
      <c r="H438" t="inlineStr">
        <is>
          <t>TK angiografia tt. Mózgowych [87.03 ]</t>
        </is>
      </c>
      <c r="I438" t="inlineStr">
        <is>
          <t>TK Angiografia</t>
        </is>
      </c>
      <c r="J438" t="inlineStr">
        <is>
          <t>3 okolice anatomiczne</t>
        </is>
      </c>
      <c r="K438" t="inlineStr">
        <is>
          <t>Tomasz Bujalski</t>
        </is>
      </c>
      <c r="L438" t="inlineStr">
        <is>
          <t> </t>
        </is>
      </c>
      <c r="M438" t="inlineStr">
        <is>
          <t>SAMODZIELNY PUBLICZNY ZAKŁAD OPIEKI ZDROWOTNEJ W LUBARTOWIE</t>
        </is>
      </c>
      <c r="N438" t="inlineStr">
        <is>
          <t>ODDZIAŁ CHIRURGII URAZOWO - ORTOPEDYCZNEJ SPZOZ LUBARTÓW</t>
        </is>
      </c>
      <c r="O438" t="inlineStr">
        <is>
          <t>BARTŁOMIEJ SKOWRONEK</t>
        </is>
      </c>
      <c r="P438" t="inlineStr">
        <is>
          <t>4002750</t>
        </is>
      </c>
      <c r="Q438" t="inlineStr">
        <is>
          <t>T02.8</t>
        </is>
      </c>
      <c r="R438" t="inlineStr">
        <is>
          <t>szpitallubartow</t>
        </is>
      </c>
      <c r="S438" s="1" t="n">
        <v>46167.20555555556</v>
      </c>
      <c r="T438" t="n">
        <v>0</v>
      </c>
      <c r="U438" t="inlineStr">
        <is>
          <t>BUJALSKI TOMASZ</t>
        </is>
      </c>
    </row>
    <row r="439">
      <c r="A439" s="1" t="n">
        <v>46167</v>
      </c>
      <c r="B439" t="n">
        <v>600169.1</v>
      </c>
      <c r="C439" t="inlineStr">
        <is>
          <t>TOMASZ IPOHORSKI-LENKIEWICZ</t>
        </is>
      </c>
      <c r="D439" t="inlineStr">
        <is>
          <t>68031913933</t>
        </is>
      </c>
      <c r="E439" s="1" t="n">
        <v>46167</v>
      </c>
      <c r="F439" t="inlineStr">
        <is>
          <t>CITO-CITO</t>
        </is>
      </c>
      <c r="G439" t="inlineStr">
        <is>
          <t>TK</t>
        </is>
      </c>
      <c r="H439" t="inlineStr">
        <is>
          <t>TK głowy bez kontrastu [87.03 ]</t>
        </is>
      </c>
      <c r="I439" t="inlineStr">
        <is>
          <t>TK Zwykłe</t>
        </is>
      </c>
      <c r="J439" t="inlineStr">
        <is>
          <t>1 okolica anatomiczna</t>
        </is>
      </c>
      <c r="K439" t="inlineStr">
        <is>
          <t>Tomasz Bujalski</t>
        </is>
      </c>
      <c r="L439" t="inlineStr">
        <is>
          <t> </t>
        </is>
      </c>
      <c r="M439" t="inlineStr">
        <is>
          <t>SAMODZIELNY PUBLICZNY ZAKŁAD OPIEKI ZDROWOTNEJ W LUBARTOWIE</t>
        </is>
      </c>
      <c r="N439" t="inlineStr">
        <is>
          <t>ODDZIAŁ NEUROLOGICZNY SPZOZ LUBARTÓW</t>
        </is>
      </c>
      <c r="O439" t="inlineStr">
        <is>
          <t>EWA WOŹNICKA</t>
        </is>
      </c>
      <c r="P439" t="inlineStr">
        <is>
          <t>5360105</t>
        </is>
      </c>
      <c r="Q439" t="inlineStr">
        <is>
          <t> </t>
        </is>
      </c>
      <c r="R439" t="inlineStr">
        <is>
          <t>szpitallubartow</t>
        </is>
      </c>
      <c r="S439" s="1" t="n">
        <v>46167.34305555555</v>
      </c>
      <c r="T439" t="n">
        <v>1</v>
      </c>
      <c r="U439" t="inlineStr">
        <is>
          <t>BUJALSKI TOMASZ</t>
        </is>
      </c>
    </row>
    <row r="440">
      <c r="A440" s="1" t="n">
        <v>46169</v>
      </c>
      <c r="B440" t="n">
        <v>601341.1</v>
      </c>
      <c r="C440" t="inlineStr">
        <is>
          <t>DARIUSZ GOLBA</t>
        </is>
      </c>
      <c r="D440" t="inlineStr">
        <is>
          <t>78070612416</t>
        </is>
      </c>
      <c r="E440" s="1" t="n">
        <v>46169</v>
      </c>
      <c r="F440" t="inlineStr">
        <is>
          <t>CITO-CITO</t>
        </is>
      </c>
      <c r="G440" t="inlineStr">
        <is>
          <t>TK</t>
        </is>
      </c>
      <c r="H440" t="inlineStr">
        <is>
          <t>TK głowy bez kontrastu [87.03 ]</t>
        </is>
      </c>
      <c r="I440" t="inlineStr">
        <is>
          <t>TK Zwykłe</t>
        </is>
      </c>
      <c r="J440" t="inlineStr">
        <is>
          <t>1 okolica anatomiczna</t>
        </is>
      </c>
      <c r="K440" t="inlineStr">
        <is>
          <t>Tomasz Bujalski</t>
        </is>
      </c>
      <c r="L440" t="inlineStr">
        <is>
          <t> </t>
        </is>
      </c>
      <c r="M440" t="inlineStr">
        <is>
          <t>SAMODZIELNY PUBLICZNY ZAKŁAD OPIEKI ZDROWOTNEJ W LUBARTOWIE</t>
        </is>
      </c>
      <c r="N440" t="inlineStr">
        <is>
          <t>Szpitalny Oddział Ratunkowy</t>
        </is>
      </c>
      <c r="O440" t="inlineStr">
        <is>
          <t>DOMINIKA SATORA</t>
        </is>
      </c>
      <c r="P440" t="inlineStr">
        <is>
          <t>2301106</t>
        </is>
      </c>
      <c r="Q440" t="inlineStr">
        <is>
          <t> </t>
        </is>
      </c>
      <c r="R440" t="inlineStr">
        <is>
          <t>szpitallubartow</t>
        </is>
      </c>
      <c r="S440" s="1" t="n">
        <v>46169.54861111111</v>
      </c>
      <c r="T440" t="n">
        <v>0</v>
      </c>
      <c r="U440" t="inlineStr">
        <is>
          <t>BUJALSKI TOMASZ</t>
        </is>
      </c>
    </row>
    <row r="441">
      <c r="A441" s="1" t="n">
        <v>46170</v>
      </c>
      <c r="B441" t="n">
        <v>601556.1</v>
      </c>
      <c r="C441" t="inlineStr">
        <is>
          <t>KRYSTYNA GRZELAK</t>
        </is>
      </c>
      <c r="D441" t="inlineStr">
        <is>
          <t>41010215969</t>
        </is>
      </c>
      <c r="E441" s="1" t="n">
        <v>46170</v>
      </c>
      <c r="F441" t="inlineStr">
        <is>
          <t>CITO-CITO</t>
        </is>
      </c>
      <c r="G441" t="inlineStr">
        <is>
          <t>TK</t>
        </is>
      </c>
      <c r="H441" t="inlineStr">
        <is>
          <t>TK głowy bez kontrastu [87.03 ]</t>
        </is>
      </c>
      <c r="I441" t="inlineStr">
        <is>
          <t>TK Zwykłe</t>
        </is>
      </c>
      <c r="J441" t="inlineStr">
        <is>
          <t>1 okolica anatomiczna</t>
        </is>
      </c>
      <c r="K441" t="inlineStr">
        <is>
          <t>Tomasz Bujalski</t>
        </is>
      </c>
      <c r="L441" t="inlineStr">
        <is>
          <t> </t>
        </is>
      </c>
      <c r="M441" t="inlineStr">
        <is>
          <t>SAMODZIELNY PUBLICZNY ZAKŁAD OPIEKI ZDROWOTNEJ W LUBARTOWIE</t>
        </is>
      </c>
      <c r="N441" t="inlineStr">
        <is>
          <t>ODDZIAŁ NEUROLOGICZNY SPZOZ LUBARTÓW</t>
        </is>
      </c>
      <c r="O441" t="inlineStr">
        <is>
          <t>JOANNA BIEGAŃSKA</t>
        </is>
      </c>
      <c r="P441" t="inlineStr">
        <is>
          <t>2408632</t>
        </is>
      </c>
      <c r="Q441" t="inlineStr">
        <is>
          <t>I61.2</t>
        </is>
      </c>
      <c r="R441" t="inlineStr">
        <is>
          <t>szpitallubartow</t>
        </is>
      </c>
      <c r="S441" s="1" t="n">
        <v>46170.40972222222</v>
      </c>
      <c r="T441" t="n">
        <v>1</v>
      </c>
      <c r="U441" t="inlineStr">
        <is>
          <t>BUJALSKI TOMASZ</t>
        </is>
      </c>
    </row>
    <row r="442">
      <c r="A442" s="1" t="n">
        <v>46172</v>
      </c>
      <c r="B442" t="n">
        <v>602339.1</v>
      </c>
      <c r="C442" t="inlineStr">
        <is>
          <t>ANNA MARZĘDA</t>
        </is>
      </c>
      <c r="D442" t="inlineStr">
        <is>
          <t>41030605683</t>
        </is>
      </c>
      <c r="E442" s="1" t="n">
        <v>46172</v>
      </c>
      <c r="F442" t="inlineStr">
        <is>
          <t>CITO-CITO</t>
        </is>
      </c>
      <c r="G442" t="inlineStr">
        <is>
          <t>TK</t>
        </is>
      </c>
      <c r="H442" t="inlineStr">
        <is>
          <t>CT klatki piersiowej i jamy brzusznej (bez kontrastu)</t>
        </is>
      </c>
      <c r="I442" t="inlineStr">
        <is>
          <t>TK Zwykłe</t>
        </is>
      </c>
      <c r="J442" t="inlineStr">
        <is>
          <t>3 okolice anatomiczne</t>
        </is>
      </c>
      <c r="K442" t="inlineStr">
        <is>
          <t>Tomasz Bujalski</t>
        </is>
      </c>
      <c r="L442" t="inlineStr">
        <is>
          <t> </t>
        </is>
      </c>
      <c r="M442" t="inlineStr">
        <is>
          <t>SAMODZIELNY PUBLICZNY ZAKŁAD OPIEKI ZDROWOTNEJ W LUBARTOWIE</t>
        </is>
      </c>
      <c r="N442" t="inlineStr">
        <is>
          <t>Szpitalny Oddział Ratunkowy</t>
        </is>
      </c>
      <c r="O442" t="inlineStr">
        <is>
          <t>MARCIN KOSIKOWSKI</t>
        </is>
      </c>
      <c r="P442" t="inlineStr">
        <is>
          <t>4296903</t>
        </is>
      </c>
      <c r="Q442" t="inlineStr">
        <is>
          <t>L50.1</t>
        </is>
      </c>
      <c r="R442" t="inlineStr">
        <is>
          <t>szpitallubartow</t>
        </is>
      </c>
      <c r="S442" s="1" t="n">
        <v>46172.48888888889</v>
      </c>
      <c r="T442" t="n">
        <v>0</v>
      </c>
      <c r="U442" t="inlineStr">
        <is>
          <t>BUJALSKI TOMASZ</t>
        </is>
      </c>
    </row>
    <row r="443">
      <c r="A443" s="1" t="n">
        <v>46149</v>
      </c>
      <c r="B443" t="n">
        <v>481903</v>
      </c>
      <c r="C443" t="inlineStr">
        <is>
          <t>Iwona Masłowska</t>
        </is>
      </c>
      <c r="D443" t="inlineStr">
        <is>
          <t>65070108209</t>
        </is>
      </c>
      <c r="E443" s="1" t="n">
        <v>46149</v>
      </c>
      <c r="F443" t="inlineStr">
        <is>
          <t>CITO-UDAR</t>
        </is>
      </c>
      <c r="G443" t="inlineStr">
        <is>
          <t>TK</t>
        </is>
      </c>
      <c r="H443" t="inlineStr">
        <is>
          <t>Tomografia komputerowa - głowa (mózgowie) bez kontrastu dożylnego</t>
        </is>
      </c>
      <c r="I443" t="inlineStr">
        <is>
          <t>TK Zwykłe</t>
        </is>
      </c>
      <c r="J443" t="inlineStr">
        <is>
          <t>1 okolica anatomiczna</t>
        </is>
      </c>
      <c r="K443" t="inlineStr">
        <is>
          <t>Tomasz Bujalski</t>
        </is>
      </c>
      <c r="L443" t="inlineStr">
        <is>
          <t> </t>
        </is>
      </c>
      <c r="M443" t="inlineStr">
        <is>
          <t>Zespół Wojewódzkich Poradni Specjalistycznych</t>
        </is>
      </c>
      <c r="N443" t="inlineStr">
        <is>
          <t>Szpitalny Oddział Ratunkowy</t>
        </is>
      </c>
      <c r="O443" t="inlineStr">
        <is>
          <t>Hanna Gordała</t>
        </is>
      </c>
      <c r="P443" t="n">
        <v>8625113</v>
      </c>
      <c r="Q443" t="inlineStr">
        <is>
          <t> </t>
        </is>
      </c>
      <c r="R443" t="inlineStr">
        <is>
          <t>szpitalopole</t>
        </is>
      </c>
      <c r="S443" s="1" t="n">
        <v>46149.31041666667</v>
      </c>
      <c r="T443" t="n">
        <v>0</v>
      </c>
      <c r="U443" t="inlineStr">
        <is>
          <t>BUJALSKI TOMASZ</t>
        </is>
      </c>
    </row>
    <row r="444">
      <c r="A444" s="1" t="n">
        <v>46149</v>
      </c>
      <c r="B444" t="n">
        <v>481974</v>
      </c>
      <c r="C444" t="inlineStr">
        <is>
          <t>Maria Janik</t>
        </is>
      </c>
      <c r="D444" t="inlineStr">
        <is>
          <t>36120411709</t>
        </is>
      </c>
      <c r="E444" s="1" t="n">
        <v>46149</v>
      </c>
      <c r="F444" t="inlineStr">
        <is>
          <t>CITO-CITO</t>
        </is>
      </c>
      <c r="G444" t="inlineStr">
        <is>
          <t>TK</t>
        </is>
      </c>
      <c r="H444" t="inlineStr">
        <is>
          <t>Tomografia komputerowa - głowa (mózgowie) bez kontrastu dożylnego</t>
        </is>
      </c>
      <c r="I444" t="inlineStr">
        <is>
          <t>TK Zwykłe</t>
        </is>
      </c>
      <c r="J444" t="inlineStr">
        <is>
          <t>1 okolica anatomiczna</t>
        </is>
      </c>
      <c r="K444" t="inlineStr">
        <is>
          <t>Tomasz Bujalski</t>
        </is>
      </c>
      <c r="L444" t="inlineStr">
        <is>
          <t> </t>
        </is>
      </c>
      <c r="M444" t="inlineStr">
        <is>
          <t>Zespół Wojewódzkich Poradni Specjalistycznych</t>
        </is>
      </c>
      <c r="N444" t="inlineStr">
        <is>
          <t>Szpitalny Oddział Ratunkowy</t>
        </is>
      </c>
      <c r="O444" t="inlineStr">
        <is>
          <t>Hanna Gordała</t>
        </is>
      </c>
      <c r="P444" t="n">
        <v>8625113</v>
      </c>
      <c r="Q444" t="inlineStr">
        <is>
          <t> </t>
        </is>
      </c>
      <c r="R444" t="inlineStr">
        <is>
          <t>szpitalopole</t>
        </is>
      </c>
      <c r="S444" s="1" t="n">
        <v>46149.36180555556</v>
      </c>
      <c r="T444" t="n">
        <v>0</v>
      </c>
      <c r="U444" t="inlineStr">
        <is>
          <t>BUJALSKI TOMASZ</t>
        </is>
      </c>
    </row>
    <row r="445">
      <c r="A445" s="1" t="n">
        <v>46149</v>
      </c>
      <c r="B445" t="n">
        <v>481987</v>
      </c>
      <c r="C445" t="inlineStr">
        <is>
          <t>Kamila Dzierżan</t>
        </is>
      </c>
      <c r="D445" t="inlineStr">
        <is>
          <t>78032309024</t>
        </is>
      </c>
      <c r="E445" s="1" t="n">
        <v>46149</v>
      </c>
      <c r="F445" t="inlineStr">
        <is>
          <t>CITO-CITO</t>
        </is>
      </c>
      <c r="G445" t="inlineStr">
        <is>
          <t>TK</t>
        </is>
      </c>
      <c r="H445" t="inlineStr">
        <is>
          <t>Tomografia komputerowa - głowa (mózgowie) bez kontrastu dożylnego z wtórnym opracowaniem</t>
        </is>
      </c>
      <c r="I445" t="inlineStr">
        <is>
          <t>TK Zwykłe</t>
        </is>
      </c>
      <c r="J445" t="inlineStr">
        <is>
          <t>1 okolica anatomiczna</t>
        </is>
      </c>
      <c r="K445" t="inlineStr">
        <is>
          <t>Tomasz Bujalski</t>
        </is>
      </c>
      <c r="L445" t="inlineStr">
        <is>
          <t> </t>
        </is>
      </c>
      <c r="M445" t="inlineStr">
        <is>
          <t>Zespół Wojewódzkich Poradni Specjalistycznych</t>
        </is>
      </c>
      <c r="N445" t="inlineStr">
        <is>
          <t>Szpitalny Oddział Ratunkowy</t>
        </is>
      </c>
      <c r="O445" t="inlineStr">
        <is>
          <t>Swietłana Litwiniec</t>
        </is>
      </c>
      <c r="P445" t="n">
        <v>1131600</v>
      </c>
      <c r="Q445" t="inlineStr">
        <is>
          <t> </t>
        </is>
      </c>
      <c r="R445" t="inlineStr">
        <is>
          <t>szpitalopole</t>
        </is>
      </c>
      <c r="S445" s="1" t="n">
        <v>46149.37569444445</v>
      </c>
      <c r="T445" t="n">
        <v>0</v>
      </c>
      <c r="U445" t="inlineStr">
        <is>
          <t>BUJALSKI TOMASZ</t>
        </is>
      </c>
    </row>
    <row r="446">
      <c r="A446" s="1" t="n">
        <v>46149</v>
      </c>
      <c r="B446" t="n">
        <v>482044</v>
      </c>
      <c r="C446" t="inlineStr">
        <is>
          <t>Olena Chukina</t>
        </is>
      </c>
      <c r="D446" t="inlineStr">
        <is>
          <t>76012118309</t>
        </is>
      </c>
      <c r="E446" s="1" t="n">
        <v>46149</v>
      </c>
      <c r="F446" t="inlineStr">
        <is>
          <t>CITO-CITO</t>
        </is>
      </c>
      <c r="G446" t="inlineStr">
        <is>
          <t>TK</t>
        </is>
      </c>
      <c r="H446" t="inlineStr">
        <is>
          <t>Tomografia komputerowa - głowa (mózgowie) bez kontrastu dożylnego</t>
        </is>
      </c>
      <c r="I446" t="inlineStr">
        <is>
          <t>TK Zwykłe</t>
        </is>
      </c>
      <c r="J446" t="inlineStr">
        <is>
          <t>1 okolica anatomiczna</t>
        </is>
      </c>
      <c r="K446" t="inlineStr">
        <is>
          <t>Tomasz Bujalski</t>
        </is>
      </c>
      <c r="L446" t="inlineStr">
        <is>
          <t> </t>
        </is>
      </c>
      <c r="M446" t="inlineStr">
        <is>
          <t>Zespół Wojewódzkich Poradni Specjalistycznych</t>
        </is>
      </c>
      <c r="N446" t="inlineStr">
        <is>
          <t>Szpitalny Oddział Ratunkowy</t>
        </is>
      </c>
      <c r="O446" t="inlineStr">
        <is>
          <t>Hanna Gordała</t>
        </is>
      </c>
      <c r="P446" t="n">
        <v>8625113</v>
      </c>
      <c r="Q446" t="inlineStr">
        <is>
          <t>S01.1</t>
        </is>
      </c>
      <c r="R446" t="inlineStr">
        <is>
          <t>szpitalopole</t>
        </is>
      </c>
      <c r="S446" s="1" t="n">
        <v>46149.45208333333</v>
      </c>
      <c r="T446" t="n">
        <v>0</v>
      </c>
      <c r="U446" t="inlineStr">
        <is>
          <t>BUJALSKI TOMASZ</t>
        </is>
      </c>
    </row>
    <row r="447">
      <c r="A447" s="1" t="n">
        <v>46150</v>
      </c>
      <c r="B447" t="n">
        <v>481270</v>
      </c>
      <c r="C447" t="inlineStr">
        <is>
          <t>Grzegorz Wanacki</t>
        </is>
      </c>
      <c r="D447" t="inlineStr">
        <is>
          <t>60100401433</t>
        </is>
      </c>
      <c r="E447" s="1" t="n">
        <v>46147</v>
      </c>
      <c r="F447" t="inlineStr">
        <is>
          <t>Planowy</t>
        </is>
      </c>
      <c r="G447" t="inlineStr">
        <is>
          <t>TK</t>
        </is>
      </c>
      <c r="H447" t="inlineStr">
        <is>
          <t>Tomografia komputerowa - klatka piersiowa HRCT bez kontrastu dożylnego z wtórnym opracowaniem</t>
        </is>
      </c>
      <c r="I447" t="inlineStr">
        <is>
          <t>TK Zwykłe</t>
        </is>
      </c>
      <c r="J447" t="inlineStr">
        <is>
          <t>1 okolica anatomiczna</t>
        </is>
      </c>
      <c r="K447" t="inlineStr">
        <is>
          <t>Tomasz Bujalski</t>
        </is>
      </c>
      <c r="L447" t="inlineStr">
        <is>
          <t> </t>
        </is>
      </c>
      <c r="M447" t="inlineStr">
        <is>
          <t>Zespół Wojewódzkich Poradni Specjalistycznych</t>
        </is>
      </c>
      <c r="N447" t="inlineStr">
        <is>
          <t>Pulmonologii</t>
        </is>
      </c>
      <c r="O447" t="inlineStr">
        <is>
          <t>Janina Langner</t>
        </is>
      </c>
      <c r="P447" t="n">
        <v>1171970</v>
      </c>
      <c r="Q447" t="inlineStr">
        <is>
          <t>J98.9</t>
        </is>
      </c>
      <c r="R447" t="inlineStr">
        <is>
          <t>szpitalopole</t>
        </is>
      </c>
      <c r="S447" s="1" t="n">
        <v>46150.27986111111</v>
      </c>
      <c r="T447" t="n">
        <v>0</v>
      </c>
      <c r="U447" t="inlineStr">
        <is>
          <t>BUJALSKI TOMASZ</t>
        </is>
      </c>
    </row>
    <row r="448">
      <c r="A448" s="1" t="n">
        <v>46153</v>
      </c>
      <c r="B448" t="n">
        <v>482599</v>
      </c>
      <c r="C448" t="inlineStr">
        <is>
          <t>Agnieszka Matysiok</t>
        </is>
      </c>
      <c r="D448" t="inlineStr">
        <is>
          <t>50011305926</t>
        </is>
      </c>
      <c r="E448" s="1" t="n">
        <v>46153</v>
      </c>
      <c r="F448" t="inlineStr">
        <is>
          <t>CITO-CITO</t>
        </is>
      </c>
      <c r="G448" t="inlineStr">
        <is>
          <t>TK</t>
        </is>
      </c>
      <c r="H448" t="inlineStr">
        <is>
          <t>Tomografia komputerowa - wybrany staw lub stawy porównawczo bez kontrastu dożylnego z wtórnym opracowaniem</t>
        </is>
      </c>
      <c r="I448" t="inlineStr">
        <is>
          <t>TK Onkologia</t>
        </is>
      </c>
      <c r="J448" t="inlineStr">
        <is>
          <t>1 okolica anatomiczna</t>
        </is>
      </c>
      <c r="K448" t="inlineStr">
        <is>
          <t>Tomasz Bujalski</t>
        </is>
      </c>
      <c r="L448" t="inlineStr">
        <is>
          <t> </t>
        </is>
      </c>
      <c r="M448" t="inlineStr">
        <is>
          <t>Zespół Wojewódzkich Poradni Specjalistycznych</t>
        </is>
      </c>
      <c r="N448" t="inlineStr">
        <is>
          <t>Szpitalny Oddział Ratunkowy</t>
        </is>
      </c>
      <c r="O448" t="inlineStr">
        <is>
          <t>Błażej Kuźniak</t>
        </is>
      </c>
      <c r="P448" t="n">
        <v>3355715</v>
      </c>
      <c r="Q448" t="inlineStr">
        <is>
          <t> </t>
        </is>
      </c>
      <c r="R448" t="inlineStr">
        <is>
          <t>szpitalopole</t>
        </is>
      </c>
      <c r="S448" s="1" t="n">
        <v>46153.31319444445</v>
      </c>
      <c r="T448" t="n">
        <v>0</v>
      </c>
      <c r="U448" t="inlineStr">
        <is>
          <t>BUJALSKI TOMASZ</t>
        </is>
      </c>
    </row>
    <row r="449">
      <c r="A449" s="1" t="n">
        <v>46153</v>
      </c>
      <c r="B449" t="n">
        <v>482600</v>
      </c>
      <c r="C449" t="inlineStr">
        <is>
          <t>Agnieszka Matysiok</t>
        </is>
      </c>
      <c r="D449" t="inlineStr">
        <is>
          <t>50011305926</t>
        </is>
      </c>
      <c r="E449" s="1" t="n">
        <v>46153</v>
      </c>
      <c r="F449" t="inlineStr">
        <is>
          <t>CITO-CITO</t>
        </is>
      </c>
      <c r="G449" t="inlineStr">
        <is>
          <t>TK</t>
        </is>
      </c>
      <c r="H449" t="inlineStr">
        <is>
          <t>TK - kręgosłupa lędźwiowo-krzyżowego bez wz.kontrastowego</t>
        </is>
      </c>
      <c r="I449" t="inlineStr">
        <is>
          <t>TK Zwykłe</t>
        </is>
      </c>
      <c r="J449" t="inlineStr">
        <is>
          <t>1 okolica anatomiczna</t>
        </is>
      </c>
      <c r="K449" t="inlineStr">
        <is>
          <t>Tomasz Bujalski</t>
        </is>
      </c>
      <c r="L449" t="inlineStr">
        <is>
          <t> </t>
        </is>
      </c>
      <c r="M449" t="inlineStr">
        <is>
          <t>Zespół Wojewódzkich Poradni Specjalistycznych</t>
        </is>
      </c>
      <c r="N449" t="inlineStr">
        <is>
          <t>Szpitalny Oddział Ratunkowy</t>
        </is>
      </c>
      <c r="O449" t="inlineStr">
        <is>
          <t>Błażej Kuźniak</t>
        </is>
      </c>
      <c r="P449" t="n">
        <v>3355715</v>
      </c>
      <c r="Q449" t="inlineStr">
        <is>
          <t> </t>
        </is>
      </c>
      <c r="R449" t="inlineStr">
        <is>
          <t>szpitalopole</t>
        </is>
      </c>
      <c r="S449" s="1" t="n">
        <v>46153.31388888889</v>
      </c>
      <c r="T449" t="n">
        <v>0</v>
      </c>
      <c r="U449" t="inlineStr">
        <is>
          <t>BUJALSKI TOMASZ</t>
        </is>
      </c>
    </row>
    <row r="450">
      <c r="A450" s="1" t="n">
        <v>46153</v>
      </c>
      <c r="B450" t="n">
        <v>482696</v>
      </c>
      <c r="C450" t="inlineStr">
        <is>
          <t>Teresa Kwiek</t>
        </is>
      </c>
      <c r="D450" t="inlineStr">
        <is>
          <t>49091503005</t>
        </is>
      </c>
      <c r="E450" s="1" t="n">
        <v>46153</v>
      </c>
      <c r="F450" t="inlineStr">
        <is>
          <t>CITO-CITO</t>
        </is>
      </c>
      <c r="G450" t="inlineStr">
        <is>
          <t>TK</t>
        </is>
      </c>
      <c r="H450" t="inlineStr">
        <is>
          <t>Tomografia komputerowa - głowa (mózgowie) bez kontrastu dożylnego z wtórnym opracowaniem</t>
        </is>
      </c>
      <c r="I450" t="inlineStr">
        <is>
          <t>TK Zwykłe</t>
        </is>
      </c>
      <c r="J450" t="inlineStr">
        <is>
          <t>1 okolica anatomiczna</t>
        </is>
      </c>
      <c r="K450" t="inlineStr">
        <is>
          <t>Tomasz Bujalski</t>
        </is>
      </c>
      <c r="L450" t="inlineStr">
        <is>
          <t> </t>
        </is>
      </c>
      <c r="M450" t="inlineStr">
        <is>
          <t>Zespół Wojewódzkich Poradni Specjalistycznych</t>
        </is>
      </c>
      <c r="N450" t="inlineStr">
        <is>
          <t>Szpitalny Oddział Ratunkowy</t>
        </is>
      </c>
      <c r="O450" t="inlineStr">
        <is>
          <t>Anna Pagacz</t>
        </is>
      </c>
      <c r="P450" t="n">
        <v>3354180</v>
      </c>
      <c r="Q450" t="inlineStr">
        <is>
          <t>I48</t>
        </is>
      </c>
      <c r="R450" t="inlineStr">
        <is>
          <t>szpitalopole</t>
        </is>
      </c>
      <c r="S450" s="1" t="n">
        <v>46153.44722222222</v>
      </c>
      <c r="T450" t="n">
        <v>0</v>
      </c>
      <c r="U450" t="inlineStr">
        <is>
          <t>BUJALSKI TOMASZ</t>
        </is>
      </c>
    </row>
    <row r="451">
      <c r="A451" s="1" t="n">
        <v>46153</v>
      </c>
      <c r="B451" t="n">
        <v>482707</v>
      </c>
      <c r="C451" t="inlineStr">
        <is>
          <t>Barbara Reiman</t>
        </is>
      </c>
      <c r="D451" t="inlineStr">
        <is>
          <t>81042419803</t>
        </is>
      </c>
      <c r="E451" s="1" t="n">
        <v>46153</v>
      </c>
      <c r="F451" t="inlineStr">
        <is>
          <t>CITO-CITO</t>
        </is>
      </c>
      <c r="G451" t="inlineStr">
        <is>
          <t>TK</t>
        </is>
      </c>
      <c r="H451" t="inlineStr">
        <is>
          <t>Tomografia komputerowa - jama brzuszna i miednica bez kontrastu i z kontrastem dożylnym bez pojenia doustnego z wtórnym opracowa</t>
        </is>
      </c>
      <c r="I451" t="inlineStr">
        <is>
          <t>TK Zwykłe</t>
        </is>
      </c>
      <c r="J451" t="inlineStr">
        <is>
          <t>2 okolice anatomiczne</t>
        </is>
      </c>
      <c r="K451" t="inlineStr">
        <is>
          <t>Tomasz Bujalski</t>
        </is>
      </c>
      <c r="L451" t="inlineStr">
        <is>
          <t> </t>
        </is>
      </c>
      <c r="M451" t="inlineStr">
        <is>
          <t>Zespół Wojewódzkich Poradni Specjalistycznych</t>
        </is>
      </c>
      <c r="N451" t="inlineStr">
        <is>
          <t>Szpitalny Oddział Ratunkowy</t>
        </is>
      </c>
      <c r="O451" t="inlineStr">
        <is>
          <t>Anna Pagacz</t>
        </is>
      </c>
      <c r="P451" t="n">
        <v>3354180</v>
      </c>
      <c r="Q451" t="inlineStr">
        <is>
          <t> </t>
        </is>
      </c>
      <c r="R451" t="inlineStr">
        <is>
          <t>szpitalopole</t>
        </is>
      </c>
      <c r="S451" s="1" t="n">
        <v>46153.44375</v>
      </c>
      <c r="T451" t="n">
        <v>0</v>
      </c>
      <c r="U451" t="inlineStr">
        <is>
          <t>BUJALSKI TOMASZ</t>
        </is>
      </c>
    </row>
    <row r="452">
      <c r="A452" s="1" t="n">
        <v>46154</v>
      </c>
      <c r="B452" t="n">
        <v>482869</v>
      </c>
      <c r="C452" t="inlineStr">
        <is>
          <t>Piotr Walasik</t>
        </is>
      </c>
      <c r="D452" t="inlineStr">
        <is>
          <t>81050713177</t>
        </is>
      </c>
      <c r="E452" s="1" t="n">
        <v>46154</v>
      </c>
      <c r="F452" t="inlineStr">
        <is>
          <t>CITO-CITO</t>
        </is>
      </c>
      <c r="G452" t="inlineStr">
        <is>
          <t>TK</t>
        </is>
      </c>
      <c r="H452" t="inlineStr">
        <is>
          <t>Tomografia komputerowa - głowa (mózgowie) bez kontrastu dożylnego z wtórnym opracowaniem</t>
        </is>
      </c>
      <c r="I452" t="inlineStr">
        <is>
          <t>TK Zwykłe</t>
        </is>
      </c>
      <c r="J452" t="inlineStr">
        <is>
          <t>1 okolica anatomiczna</t>
        </is>
      </c>
      <c r="K452" t="inlineStr">
        <is>
          <t>Tomasz Bujalski</t>
        </is>
      </c>
      <c r="L452" t="inlineStr">
        <is>
          <t> </t>
        </is>
      </c>
      <c r="M452" t="inlineStr">
        <is>
          <t>Zespół Wojewódzkich Poradni Specjalistycznych</t>
        </is>
      </c>
      <c r="N452" t="inlineStr">
        <is>
          <t>Szpitalny Oddział Ratunkowy</t>
        </is>
      </c>
      <c r="O452" t="inlineStr">
        <is>
          <t>Olena Yefimova</t>
        </is>
      </c>
      <c r="P452" t="n">
        <v>3357302</v>
      </c>
      <c r="Q452" t="inlineStr">
        <is>
          <t> </t>
        </is>
      </c>
      <c r="R452" t="inlineStr">
        <is>
          <t>szpitalopole</t>
        </is>
      </c>
      <c r="S452" s="1" t="n">
        <v>46154.28125</v>
      </c>
      <c r="T452" t="n">
        <v>0</v>
      </c>
      <c r="U452" t="inlineStr">
        <is>
          <t>BUJALSKI TOMASZ</t>
        </is>
      </c>
    </row>
    <row r="453">
      <c r="A453" s="1" t="n">
        <v>46154</v>
      </c>
      <c r="B453" t="n">
        <v>482915</v>
      </c>
      <c r="C453" t="inlineStr">
        <is>
          <t>Sabina Jawińska</t>
        </is>
      </c>
      <c r="D453" t="inlineStr">
        <is>
          <t>65051802247</t>
        </is>
      </c>
      <c r="E453" s="1" t="n">
        <v>46154</v>
      </c>
      <c r="F453" t="inlineStr">
        <is>
          <t>CITO-CITO</t>
        </is>
      </c>
      <c r="G453" t="inlineStr">
        <is>
          <t>TK</t>
        </is>
      </c>
      <c r="H453" t="inlineStr">
        <is>
          <t>Tomografia komputerowa - głowa (mózgowie) bez kontrastu dożylnego z wtórnym opracowaniem</t>
        </is>
      </c>
      <c r="I453" t="inlineStr">
        <is>
          <t>TK Zwykłe</t>
        </is>
      </c>
      <c r="J453" t="inlineStr">
        <is>
          <t>1 okolica anatomiczna</t>
        </is>
      </c>
      <c r="K453" t="inlineStr">
        <is>
          <t>Tomasz Bujalski</t>
        </is>
      </c>
      <c r="L453" t="inlineStr">
        <is>
          <t> </t>
        </is>
      </c>
      <c r="M453" t="inlineStr">
        <is>
          <t>Zespół Wojewódzkich Poradni Specjalistycznych</t>
        </is>
      </c>
      <c r="N453" t="inlineStr">
        <is>
          <t>Szpitalny Oddział Ratunkowy</t>
        </is>
      </c>
      <c r="O453" t="inlineStr">
        <is>
          <t>Olena Yefimova</t>
        </is>
      </c>
      <c r="P453" t="n">
        <v>3357302</v>
      </c>
      <c r="Q453" t="inlineStr">
        <is>
          <t> </t>
        </is>
      </c>
      <c r="R453" t="inlineStr">
        <is>
          <t>szpitalopole</t>
        </is>
      </c>
      <c r="S453" s="1" t="n">
        <v>46154.32013888889</v>
      </c>
      <c r="T453" t="n">
        <v>0</v>
      </c>
      <c r="U453" t="inlineStr">
        <is>
          <t>BUJALSKI TOMASZ</t>
        </is>
      </c>
    </row>
    <row r="454">
      <c r="A454" s="1" t="n">
        <v>46154</v>
      </c>
      <c r="B454" t="n">
        <v>482997</v>
      </c>
      <c r="C454" t="inlineStr">
        <is>
          <t>Andrzej Koch</t>
        </is>
      </c>
      <c r="D454" t="inlineStr">
        <is>
          <t>56081808954</t>
        </is>
      </c>
      <c r="E454" s="1" t="n">
        <v>46154</v>
      </c>
      <c r="F454" t="inlineStr">
        <is>
          <t>CITO-CITO</t>
        </is>
      </c>
      <c r="G454" t="inlineStr">
        <is>
          <t>TK</t>
        </is>
      </c>
      <c r="H454" t="inlineStr">
        <is>
          <t>Tomografia komputerowa - głowa (mózgowie) bez kontrastu dożylnego z wtórnym opracowaniem</t>
        </is>
      </c>
      <c r="I454" t="inlineStr">
        <is>
          <t>TK Zwykłe</t>
        </is>
      </c>
      <c r="J454" t="inlineStr">
        <is>
          <t>1 okolica anatomiczna</t>
        </is>
      </c>
      <c r="K454" t="inlineStr">
        <is>
          <t>Tomasz Bujalski</t>
        </is>
      </c>
      <c r="L454" t="inlineStr">
        <is>
          <t> </t>
        </is>
      </c>
      <c r="M454" t="inlineStr">
        <is>
          <t>Zespół Wojewódzkich Poradni Specjalistycznych</t>
        </is>
      </c>
      <c r="N454" t="inlineStr">
        <is>
          <t>Szpitalny Oddział Ratunkowy</t>
        </is>
      </c>
      <c r="O454" t="inlineStr">
        <is>
          <t>Olena Yefimova</t>
        </is>
      </c>
      <c r="P454" t="n">
        <v>3357302</v>
      </c>
      <c r="Q454" t="inlineStr">
        <is>
          <t> </t>
        </is>
      </c>
      <c r="R454" t="inlineStr">
        <is>
          <t>szpitalopole</t>
        </is>
      </c>
      <c r="S454" s="1" t="n">
        <v>46154.41458333333</v>
      </c>
      <c r="T454" t="n">
        <v>0</v>
      </c>
      <c r="U454" t="inlineStr">
        <is>
          <t>BUJALSKI TOMASZ</t>
        </is>
      </c>
    </row>
    <row r="455">
      <c r="A455" s="1" t="n">
        <v>46154</v>
      </c>
      <c r="B455" t="n">
        <v>483019</v>
      </c>
      <c r="C455" t="inlineStr">
        <is>
          <t>Kinga Kurda</t>
        </is>
      </c>
      <c r="D455" t="inlineStr">
        <is>
          <t>99061504664</t>
        </is>
      </c>
      <c r="E455" s="1" t="n">
        <v>46154</v>
      </c>
      <c r="F455" t="inlineStr">
        <is>
          <t>CITO-CITO</t>
        </is>
      </c>
      <c r="G455" t="inlineStr">
        <is>
          <t>TK</t>
        </is>
      </c>
      <c r="H455" t="inlineStr">
        <is>
          <t>Tomografia komputerowa - głowa (mózgowie) bez kontrastu dożylnego</t>
        </is>
      </c>
      <c r="I455" t="inlineStr">
        <is>
          <t>TK Zwykłe</t>
        </is>
      </c>
      <c r="J455" t="inlineStr">
        <is>
          <t>1 okolica anatomiczna</t>
        </is>
      </c>
      <c r="K455" t="inlineStr">
        <is>
          <t>Tomasz Bujalski</t>
        </is>
      </c>
      <c r="L455" t="inlineStr">
        <is>
          <t> </t>
        </is>
      </c>
      <c r="M455" t="inlineStr">
        <is>
          <t>Zespół Wojewódzkich Poradni Specjalistycznych</t>
        </is>
      </c>
      <c r="N455" t="inlineStr">
        <is>
          <t>Szpitalny Oddział Ratunkowy</t>
        </is>
      </c>
      <c r="O455" t="inlineStr">
        <is>
          <t>Maciej Sobota</t>
        </is>
      </c>
      <c r="P455" t="n">
        <v>3355987</v>
      </c>
      <c r="Q455" t="inlineStr">
        <is>
          <t> </t>
        </is>
      </c>
      <c r="R455" t="inlineStr">
        <is>
          <t>szpitalopole</t>
        </is>
      </c>
      <c r="S455" s="1" t="n">
        <v>46154.42638888889</v>
      </c>
      <c r="T455" t="n">
        <v>0</v>
      </c>
      <c r="U455" t="inlineStr">
        <is>
          <t>BUJALSKI TOMASZ</t>
        </is>
      </c>
    </row>
    <row r="456">
      <c r="A456" s="1" t="n">
        <v>46155</v>
      </c>
      <c r="B456" t="n">
        <v>483387</v>
      </c>
      <c r="C456" t="inlineStr">
        <is>
          <t>Walter Gacka</t>
        </is>
      </c>
      <c r="D456" t="inlineStr">
        <is>
          <t>38120804411</t>
        </is>
      </c>
      <c r="E456" s="1" t="n">
        <v>46155</v>
      </c>
      <c r="F456" t="inlineStr">
        <is>
          <t>CITO-CITO</t>
        </is>
      </c>
      <c r="G456" t="inlineStr">
        <is>
          <t>TK</t>
        </is>
      </c>
      <c r="H456" t="inlineStr">
        <is>
          <t>Tomografia komputerowa - głowa (mózgowie) bez kontrastu dożylnego</t>
        </is>
      </c>
      <c r="I456" t="inlineStr">
        <is>
          <t>TK Zwykłe</t>
        </is>
      </c>
      <c r="J456" t="inlineStr">
        <is>
          <t>1 okolica anatomiczna</t>
        </is>
      </c>
      <c r="K456" t="inlineStr">
        <is>
          <t>Tomasz Bujalski</t>
        </is>
      </c>
      <c r="L456" t="inlineStr">
        <is>
          <t> </t>
        </is>
      </c>
      <c r="M456" t="inlineStr">
        <is>
          <t>Zespół Wojewódzkich Poradni Specjalistycznych</t>
        </is>
      </c>
      <c r="N456" t="inlineStr">
        <is>
          <t>Szpitalny Oddział Ratunkowy</t>
        </is>
      </c>
      <c r="O456" t="inlineStr">
        <is>
          <t>Michał Słowiński</t>
        </is>
      </c>
      <c r="P456" t="n">
        <v>2597986</v>
      </c>
      <c r="Q456" t="inlineStr">
        <is>
          <t> </t>
        </is>
      </c>
      <c r="R456" t="inlineStr">
        <is>
          <t>szpitalopole</t>
        </is>
      </c>
      <c r="S456" s="1" t="n">
        <v>46155.75</v>
      </c>
      <c r="T456" t="n">
        <v>0</v>
      </c>
      <c r="U456" t="inlineStr">
        <is>
          <t>BUJALSKI TOMASZ</t>
        </is>
      </c>
    </row>
    <row r="457">
      <c r="A457" s="1" t="n">
        <v>46155</v>
      </c>
      <c r="B457" t="n">
        <v>483393</v>
      </c>
      <c r="C457" t="inlineStr">
        <is>
          <t>Andrzej Krasnowski</t>
        </is>
      </c>
      <c r="D457" t="inlineStr">
        <is>
          <t>81012807858</t>
        </is>
      </c>
      <c r="E457" s="1" t="n">
        <v>46155</v>
      </c>
      <c r="F457" t="inlineStr">
        <is>
          <t>CITO-CITO</t>
        </is>
      </c>
      <c r="G457" t="inlineStr">
        <is>
          <t>TK</t>
        </is>
      </c>
      <c r="H457" t="inlineStr">
        <is>
          <t>Tomografia komputerowa - twarzoczaszka bez kontrastu dożylnego z wtórnym opracowaniem</t>
        </is>
      </c>
      <c r="I457" t="inlineStr">
        <is>
          <t>TK Zwykłe</t>
        </is>
      </c>
      <c r="J457" t="inlineStr">
        <is>
          <t>1 okolica anatomiczna</t>
        </is>
      </c>
      <c r="K457" t="inlineStr">
        <is>
          <t>Tomasz Bujalski</t>
        </is>
      </c>
      <c r="L457" t="inlineStr">
        <is>
          <t> </t>
        </is>
      </c>
      <c r="M457" t="inlineStr">
        <is>
          <t>Zespół Wojewódzkich Poradni Specjalistycznych</t>
        </is>
      </c>
      <c r="N457" t="inlineStr">
        <is>
          <t>Szpitalny Oddział Ratunkowy</t>
        </is>
      </c>
      <c r="O457" t="inlineStr">
        <is>
          <t>Michał Słowiński</t>
        </is>
      </c>
      <c r="P457" t="n">
        <v>2597986</v>
      </c>
      <c r="Q457" t="inlineStr">
        <is>
          <t>T00.0</t>
        </is>
      </c>
      <c r="R457" t="inlineStr">
        <is>
          <t>szpitalopole</t>
        </is>
      </c>
      <c r="S457" s="1" t="n">
        <v>46155.65902777778</v>
      </c>
      <c r="T457" t="n">
        <v>0</v>
      </c>
      <c r="U457" t="inlineStr">
        <is>
          <t>BUJALSKI TOMASZ</t>
        </is>
      </c>
    </row>
    <row r="458">
      <c r="A458" s="1" t="n">
        <v>46155</v>
      </c>
      <c r="B458" t="n">
        <v>483395</v>
      </c>
      <c r="C458" t="inlineStr">
        <is>
          <t>Andrzej Krasnowski</t>
        </is>
      </c>
      <c r="D458" t="inlineStr">
        <is>
          <t>81012807858</t>
        </is>
      </c>
      <c r="E458" s="1" t="n">
        <v>46155</v>
      </c>
      <c r="F458" t="inlineStr">
        <is>
          <t>CITO-CITO</t>
        </is>
      </c>
      <c r="G458" t="inlineStr">
        <is>
          <t>TK</t>
        </is>
      </c>
      <c r="H458" t="inlineStr">
        <is>
          <t>Tomografia komputerowa - głowa (mózgowie) bez kontrastu dożylnego</t>
        </is>
      </c>
      <c r="I458" t="inlineStr">
        <is>
          <t>TK Zwykłe</t>
        </is>
      </c>
      <c r="J458" t="inlineStr">
        <is>
          <t>1 okolica anatomiczna</t>
        </is>
      </c>
      <c r="K458" t="inlineStr">
        <is>
          <t>Tomasz Bujalski</t>
        </is>
      </c>
      <c r="L458" t="inlineStr">
        <is>
          <t> </t>
        </is>
      </c>
      <c r="M458" t="inlineStr">
        <is>
          <t>Zespół Wojewódzkich Poradni Specjalistycznych</t>
        </is>
      </c>
      <c r="N458" t="inlineStr">
        <is>
          <t>Szpitalny Oddział Ratunkowy</t>
        </is>
      </c>
      <c r="O458" t="inlineStr">
        <is>
          <t>Michał Słowiński</t>
        </is>
      </c>
      <c r="P458" t="n">
        <v>2597986</v>
      </c>
      <c r="Q458" t="inlineStr">
        <is>
          <t>T00.0</t>
        </is>
      </c>
      <c r="R458" t="inlineStr">
        <is>
          <t>szpitalopole</t>
        </is>
      </c>
      <c r="S458" s="1" t="n">
        <v>46155.65902777778</v>
      </c>
      <c r="T458" t="n">
        <v>0</v>
      </c>
      <c r="U458" t="inlineStr">
        <is>
          <t>BUJALSKI TOMASZ</t>
        </is>
      </c>
    </row>
    <row r="459">
      <c r="A459" s="1" t="n">
        <v>46157</v>
      </c>
      <c r="B459" t="n">
        <v>483731</v>
      </c>
      <c r="C459" t="inlineStr">
        <is>
          <t>Stefania Janus</t>
        </is>
      </c>
      <c r="D459" t="inlineStr">
        <is>
          <t>36121308361</t>
        </is>
      </c>
      <c r="E459" s="1" t="n">
        <v>46157</v>
      </c>
      <c r="F459" t="inlineStr">
        <is>
          <t>CITO-CITO</t>
        </is>
      </c>
      <c r="G459" t="inlineStr">
        <is>
          <t>TK</t>
        </is>
      </c>
      <c r="H459" t="inlineStr">
        <is>
          <t>Tomografia komputerowa - wybrany obszar układu kostnego, kość lub odcinek kości bez kontrastu dożylnego z wtórnym opracowaniem</t>
        </is>
      </c>
      <c r="I459" t="inlineStr">
        <is>
          <t>TK Zwykłe</t>
        </is>
      </c>
      <c r="J459" t="inlineStr">
        <is>
          <t>1 okolica anatomiczna</t>
        </is>
      </c>
      <c r="K459" t="inlineStr">
        <is>
          <t>Tomasz Bujalski</t>
        </is>
      </c>
      <c r="L459" t="inlineStr">
        <is>
          <t> </t>
        </is>
      </c>
      <c r="M459" t="inlineStr">
        <is>
          <t>Zespół Wojewódzkich Poradni Specjalistycznych</t>
        </is>
      </c>
      <c r="N459" t="inlineStr">
        <is>
          <t>Chorób Zakaźnych</t>
        </is>
      </c>
      <c r="O459" t="inlineStr">
        <is>
          <t>Ireneusz Bańburski</t>
        </is>
      </c>
      <c r="P459" t="n">
        <v>6041354</v>
      </c>
      <c r="Q459" t="inlineStr">
        <is>
          <t>U07.1</t>
        </is>
      </c>
      <c r="R459" t="inlineStr">
        <is>
          <t>szpitalopole</t>
        </is>
      </c>
      <c r="S459" s="1" t="n">
        <v>46157.42222222222</v>
      </c>
      <c r="T459" t="n">
        <v>0</v>
      </c>
      <c r="U459" t="inlineStr">
        <is>
          <t>BUJALSKI TOMASZ</t>
        </is>
      </c>
    </row>
    <row r="460">
      <c r="A460" s="1" t="n">
        <v>46157</v>
      </c>
      <c r="B460" t="n">
        <v>483825</v>
      </c>
      <c r="C460" t="inlineStr">
        <is>
          <t>Dawid Koptoń</t>
        </is>
      </c>
      <c r="D460" t="inlineStr">
        <is>
          <t>94030503871</t>
        </is>
      </c>
      <c r="E460" s="1" t="n">
        <v>46157</v>
      </c>
      <c r="F460" t="inlineStr">
        <is>
          <t>CITO-CITO</t>
        </is>
      </c>
      <c r="G460" t="inlineStr">
        <is>
          <t>TK</t>
        </is>
      </c>
      <c r="H460" t="inlineStr">
        <is>
          <t>TK - kręgosłupa szyjnego bez wz.kontrastowego</t>
        </is>
      </c>
      <c r="I460" t="inlineStr">
        <is>
          <t>TK Zwykłe</t>
        </is>
      </c>
      <c r="J460" t="inlineStr">
        <is>
          <t>1 okolica anatomiczna</t>
        </is>
      </c>
      <c r="K460" t="inlineStr">
        <is>
          <t>Tomasz Bujalski</t>
        </is>
      </c>
      <c r="L460" t="inlineStr">
        <is>
          <t> </t>
        </is>
      </c>
      <c r="M460" t="inlineStr">
        <is>
          <t>Zespół Wojewódzkich Poradni Specjalistycznych</t>
        </is>
      </c>
      <c r="N460" t="inlineStr">
        <is>
          <t>Szpitalny Oddział Ratunkowy</t>
        </is>
      </c>
      <c r="O460" t="inlineStr">
        <is>
          <t>Olha Vynnychenko</t>
        </is>
      </c>
      <c r="P460" t="n">
        <v>4305380</v>
      </c>
      <c r="Q460" t="inlineStr">
        <is>
          <t> </t>
        </is>
      </c>
      <c r="R460" t="inlineStr">
        <is>
          <t>szpitalopole</t>
        </is>
      </c>
      <c r="S460" s="1" t="n">
        <v>46157.31527777778</v>
      </c>
      <c r="T460" t="n">
        <v>0</v>
      </c>
      <c r="U460" t="inlineStr">
        <is>
          <t>BUJALSKI TOMASZ</t>
        </is>
      </c>
    </row>
    <row r="461">
      <c r="A461" s="1" t="n">
        <v>46157</v>
      </c>
      <c r="B461" t="n">
        <v>483883</v>
      </c>
      <c r="C461" t="inlineStr">
        <is>
          <t>Piotr Wawro</t>
        </is>
      </c>
      <c r="D461" t="inlineStr">
        <is>
          <t>82032720293</t>
        </is>
      </c>
      <c r="E461" s="1" t="n">
        <v>46157</v>
      </c>
      <c r="F461" t="inlineStr">
        <is>
          <t>CITO-CITO</t>
        </is>
      </c>
      <c r="G461" t="inlineStr">
        <is>
          <t>TK</t>
        </is>
      </c>
      <c r="H461" t="inlineStr">
        <is>
          <t>TK - kręgosłupa lędźwiowo-krzyżowego bez wz.kontrastowego</t>
        </is>
      </c>
      <c r="I461" t="inlineStr">
        <is>
          <t>TK Zwykłe</t>
        </is>
      </c>
      <c r="J461" t="inlineStr">
        <is>
          <t>1 okolica anatomiczna</t>
        </is>
      </c>
      <c r="K461" t="inlineStr">
        <is>
          <t>Tomasz Bujalski</t>
        </is>
      </c>
      <c r="L461" t="inlineStr">
        <is>
          <t> </t>
        </is>
      </c>
      <c r="M461" t="inlineStr">
        <is>
          <t>Zespół Wojewódzkich Poradni Specjalistycznych</t>
        </is>
      </c>
      <c r="N461" t="inlineStr">
        <is>
          <t>Szpitalny Oddział Ratunkowy</t>
        </is>
      </c>
      <c r="O461" t="inlineStr">
        <is>
          <t>Olha Vynnychenko</t>
        </is>
      </c>
      <c r="P461" t="n">
        <v>4305380</v>
      </c>
      <c r="Q461" t="inlineStr">
        <is>
          <t> </t>
        </is>
      </c>
      <c r="R461" t="inlineStr">
        <is>
          <t>szpitalopole</t>
        </is>
      </c>
      <c r="S461" s="1" t="n">
        <v>46157.37152777778</v>
      </c>
      <c r="T461" t="n">
        <v>0</v>
      </c>
      <c r="U461" t="inlineStr">
        <is>
          <t>BUJALSKI TOMASZ</t>
        </is>
      </c>
    </row>
    <row r="462">
      <c r="A462" s="1" t="n">
        <v>46161</v>
      </c>
      <c r="B462" t="n">
        <v>484207</v>
      </c>
      <c r="C462" t="inlineStr">
        <is>
          <t>Gabriela Wróbel</t>
        </is>
      </c>
      <c r="D462" t="inlineStr">
        <is>
          <t>58102300980</t>
        </is>
      </c>
      <c r="E462" s="1" t="n">
        <v>46160</v>
      </c>
      <c r="F462" t="inlineStr">
        <is>
          <t>Planowy</t>
        </is>
      </c>
      <c r="G462" t="inlineStr">
        <is>
          <t>TK</t>
        </is>
      </c>
      <c r="H462" t="inlineStr">
        <is>
          <t>Tomografia komputerowa - jama brzuszna bez kontrastu dożylnego bez pojenia doustnego z wtórnym opracowaniem</t>
        </is>
      </c>
      <c r="I462" t="inlineStr">
        <is>
          <t>TK Onkologia</t>
        </is>
      </c>
      <c r="J462" t="inlineStr">
        <is>
          <t>3 okolice anatomiczne</t>
        </is>
      </c>
      <c r="K462" t="inlineStr">
        <is>
          <t>Tomasz Bujalski</t>
        </is>
      </c>
      <c r="L462" t="inlineStr">
        <is>
          <t> </t>
        </is>
      </c>
      <c r="M462" t="inlineStr">
        <is>
          <t>Zespół Wojewódzkich Poradni Specjalistycznych</t>
        </is>
      </c>
      <c r="N462" t="inlineStr">
        <is>
          <t>Pulmonologii</t>
        </is>
      </c>
      <c r="O462" t="inlineStr">
        <is>
          <t>Grażyna Gliniak</t>
        </is>
      </c>
      <c r="P462" t="n">
        <v>7969407</v>
      </c>
      <c r="Q462" t="inlineStr">
        <is>
          <t>D38.1</t>
        </is>
      </c>
      <c r="R462" t="inlineStr">
        <is>
          <t>szpitalopole</t>
        </is>
      </c>
      <c r="S462" s="1" t="n">
        <v>46160.42013888889</v>
      </c>
      <c r="T462" t="n">
        <v>0</v>
      </c>
      <c r="U462" t="inlineStr">
        <is>
          <t>BUJALSKI TOMASZ</t>
        </is>
      </c>
    </row>
    <row r="463">
      <c r="A463" s="1" t="n">
        <v>46161</v>
      </c>
      <c r="B463" t="n">
        <v>484422</v>
      </c>
      <c r="C463" t="inlineStr">
        <is>
          <t>Zofia Stankiewicz</t>
        </is>
      </c>
      <c r="D463" t="inlineStr">
        <is>
          <t>05271902347</t>
        </is>
      </c>
      <c r="E463" s="1" t="n">
        <v>46161</v>
      </c>
      <c r="F463" t="inlineStr">
        <is>
          <t>CITO-CITO</t>
        </is>
      </c>
      <c r="G463" t="inlineStr">
        <is>
          <t>TK</t>
        </is>
      </c>
      <c r="H463" t="inlineStr">
        <is>
          <t>Tomografia komputerowa - jama brzuszna i miednica bez kontrastu i z kontrastem dożylnym bez pojenia doustnego z wtórnym opracowa</t>
        </is>
      </c>
      <c r="I463" t="inlineStr">
        <is>
          <t>TK Zwykłe</t>
        </is>
      </c>
      <c r="J463" t="inlineStr">
        <is>
          <t>2 okolice anatomiczne</t>
        </is>
      </c>
      <c r="K463" t="inlineStr">
        <is>
          <t>Tomasz Bujalski</t>
        </is>
      </c>
      <c r="L463" t="inlineStr">
        <is>
          <t> </t>
        </is>
      </c>
      <c r="M463" t="inlineStr">
        <is>
          <t>Zespół Wojewódzkich Poradni Specjalistycznych</t>
        </is>
      </c>
      <c r="N463" t="inlineStr">
        <is>
          <t>OCW-PGJ-Oddział jednodniowy</t>
        </is>
      </c>
      <c r="O463" t="inlineStr">
        <is>
          <t>Jacek Pawełczak</t>
        </is>
      </c>
      <c r="P463" t="n">
        <v>1708738</v>
      </c>
      <c r="Q463" t="inlineStr">
        <is>
          <t>K29.9</t>
        </is>
      </c>
      <c r="R463" t="inlineStr">
        <is>
          <t>szpitalopole</t>
        </is>
      </c>
      <c r="S463" s="1" t="n">
        <v>46161.32986111111</v>
      </c>
      <c r="T463" t="n">
        <v>0</v>
      </c>
      <c r="U463" t="inlineStr">
        <is>
          <t>BUJALSKI TOMASZ</t>
        </is>
      </c>
    </row>
    <row r="464">
      <c r="A464" s="1" t="n">
        <v>46161</v>
      </c>
      <c r="B464" t="n">
        <v>484426</v>
      </c>
      <c r="C464" t="inlineStr">
        <is>
          <t>Grzegorz Więcławik</t>
        </is>
      </c>
      <c r="D464" t="inlineStr">
        <is>
          <t>85111705912</t>
        </is>
      </c>
      <c r="E464" s="1" t="n">
        <v>46161</v>
      </c>
      <c r="F464" t="inlineStr">
        <is>
          <t>CITO-CITO</t>
        </is>
      </c>
      <c r="G464" t="inlineStr">
        <is>
          <t>TK</t>
        </is>
      </c>
      <c r="H464" t="inlineStr">
        <is>
          <t>Tomografia komputerowa - jama brzuszna i miednica bez kontrastu i z kontrastem dożylnym bez pojenia doustnego z wtórnym opracowa</t>
        </is>
      </c>
      <c r="I464" t="inlineStr">
        <is>
          <t>TK Zwykłe</t>
        </is>
      </c>
      <c r="J464" t="inlineStr">
        <is>
          <t>2 okolice anatomiczne</t>
        </is>
      </c>
      <c r="K464" t="inlineStr">
        <is>
          <t>Tomasz Bujalski</t>
        </is>
      </c>
      <c r="L464" t="inlineStr">
        <is>
          <t> </t>
        </is>
      </c>
      <c r="M464" t="inlineStr">
        <is>
          <t>Zespół Wojewódzkich Poradni Specjalistycznych</t>
        </is>
      </c>
      <c r="N464" t="inlineStr">
        <is>
          <t>OCW-PGJ-Oddział jednodniowy</t>
        </is>
      </c>
      <c r="O464" t="inlineStr">
        <is>
          <t>Jacek Pawełczak</t>
        </is>
      </c>
      <c r="P464" t="n">
        <v>1708738</v>
      </c>
      <c r="Q464" t="inlineStr">
        <is>
          <t>Z03.9</t>
        </is>
      </c>
      <c r="R464" t="inlineStr">
        <is>
          <t>szpitalopole</t>
        </is>
      </c>
      <c r="S464" s="1" t="n">
        <v>46161.33611111111</v>
      </c>
      <c r="T464" t="n">
        <v>0</v>
      </c>
      <c r="U464" t="inlineStr">
        <is>
          <t>BUJALSKI TOMASZ</t>
        </is>
      </c>
    </row>
    <row r="465">
      <c r="A465" s="1" t="n">
        <v>46161</v>
      </c>
      <c r="B465" t="n">
        <v>484476</v>
      </c>
      <c r="C465" t="inlineStr">
        <is>
          <t>Stefania Janus</t>
        </is>
      </c>
      <c r="D465" t="inlineStr">
        <is>
          <t>36121308361</t>
        </is>
      </c>
      <c r="E465" s="1" t="n">
        <v>46161</v>
      </c>
      <c r="F465" t="inlineStr">
        <is>
          <t>CITO-CITO</t>
        </is>
      </c>
      <c r="G465" t="inlineStr">
        <is>
          <t>TK</t>
        </is>
      </c>
      <c r="H465" t="inlineStr">
        <is>
          <t>Tomografia komputerowa - klatka piersiowa HRCT bez kontrastu dożylnego z wtórnym opracowaniem</t>
        </is>
      </c>
      <c r="I465" t="inlineStr">
        <is>
          <t>TK Zwykłe</t>
        </is>
      </c>
      <c r="J465" t="inlineStr">
        <is>
          <t>1 okolica anatomiczna</t>
        </is>
      </c>
      <c r="K465" t="inlineStr">
        <is>
          <t>Tomasz Bujalski</t>
        </is>
      </c>
      <c r="L465" t="inlineStr">
        <is>
          <t> </t>
        </is>
      </c>
      <c r="M465" t="inlineStr">
        <is>
          <t>Zespół Wojewódzkich Poradni Specjalistycznych</t>
        </is>
      </c>
      <c r="N465" t="inlineStr">
        <is>
          <t>Chorób Zakaźnych</t>
        </is>
      </c>
      <c r="O465" t="inlineStr">
        <is>
          <t>Andrei Skazka</t>
        </is>
      </c>
      <c r="P465" t="n">
        <v>4546490</v>
      </c>
      <c r="Q465" t="inlineStr">
        <is>
          <t>U07.1</t>
        </is>
      </c>
      <c r="R465" t="inlineStr">
        <is>
          <t>szpitalopole</t>
        </is>
      </c>
      <c r="S465" s="1" t="n">
        <v>46161.38263888889</v>
      </c>
      <c r="T465" t="n">
        <v>0</v>
      </c>
      <c r="U465" t="inlineStr">
        <is>
          <t>BUJALSKI TOMASZ</t>
        </is>
      </c>
    </row>
    <row r="466">
      <c r="A466" s="1" t="n">
        <v>46162</v>
      </c>
      <c r="B466" t="n">
        <v>484913</v>
      </c>
      <c r="C466" t="inlineStr">
        <is>
          <t>Michał Wróbel</t>
        </is>
      </c>
      <c r="D466" t="inlineStr">
        <is>
          <t>97042306054</t>
        </is>
      </c>
      <c r="E466" s="1" t="n">
        <v>46162</v>
      </c>
      <c r="F466" t="inlineStr">
        <is>
          <t>CITO-CITO</t>
        </is>
      </c>
      <c r="G466" t="inlineStr">
        <is>
          <t>TK</t>
        </is>
      </c>
      <c r="H466" t="inlineStr">
        <is>
          <t>TK - kręgosłupa lędźwiowo-krzyżowego bez wz.kontrastowego</t>
        </is>
      </c>
      <c r="I466" t="inlineStr">
        <is>
          <t>TK Zwykłe</t>
        </is>
      </c>
      <c r="J466" t="inlineStr">
        <is>
          <t>1 okolica anatomiczna</t>
        </is>
      </c>
      <c r="K466" t="inlineStr">
        <is>
          <t>Tomasz Bujalski</t>
        </is>
      </c>
      <c r="L466" t="inlineStr">
        <is>
          <t> </t>
        </is>
      </c>
      <c r="M466" t="inlineStr">
        <is>
          <t>Zespół Wojewódzkich Poradni Specjalistycznych</t>
        </is>
      </c>
      <c r="N466" t="inlineStr">
        <is>
          <t>Szpitalny Oddział Ratunkowy</t>
        </is>
      </c>
      <c r="O466" t="inlineStr">
        <is>
          <t>Łukasz Jędrzejczyk</t>
        </is>
      </c>
      <c r="P466" t="n">
        <v>3405527</v>
      </c>
      <c r="Q466" t="inlineStr">
        <is>
          <t> </t>
        </is>
      </c>
      <c r="R466" t="inlineStr">
        <is>
          <t>szpitalopole</t>
        </is>
      </c>
      <c r="S466" s="1" t="n">
        <v>46162.55694444444</v>
      </c>
      <c r="T466" t="n">
        <v>0</v>
      </c>
      <c r="U466" t="inlineStr">
        <is>
          <t>BUJALSKI TOMASZ</t>
        </is>
      </c>
    </row>
    <row r="467">
      <c r="A467" s="1" t="n">
        <v>46162</v>
      </c>
      <c r="B467" t="n">
        <v>484944</v>
      </c>
      <c r="C467" t="inlineStr">
        <is>
          <t>Ryszard Polit</t>
        </is>
      </c>
      <c r="D467" t="inlineStr">
        <is>
          <t>56022610552</t>
        </is>
      </c>
      <c r="E467" s="1" t="n">
        <v>46162</v>
      </c>
      <c r="F467" t="inlineStr">
        <is>
          <t>CITO-CITO</t>
        </is>
      </c>
      <c r="G467" t="inlineStr">
        <is>
          <t>TK</t>
        </is>
      </c>
      <c r="H467" t="inlineStr">
        <is>
          <t>Tomografia komputerowa - głowa (mózgowie) bez kontrastu dożylnego z wtórnym opracowaniem</t>
        </is>
      </c>
      <c r="I467" t="inlineStr">
        <is>
          <t>TK Zwykłe</t>
        </is>
      </c>
      <c r="J467" t="inlineStr">
        <is>
          <t>1 okolica anatomiczna</t>
        </is>
      </c>
      <c r="K467" t="inlineStr">
        <is>
          <t>Tomasz Bujalski</t>
        </is>
      </c>
      <c r="L467" t="inlineStr">
        <is>
          <t> </t>
        </is>
      </c>
      <c r="M467" t="inlineStr">
        <is>
          <t>Zespół Wojewódzkich Poradni Specjalistycznych</t>
        </is>
      </c>
      <c r="N467" t="inlineStr">
        <is>
          <t>Szpitalny Oddział Ratunkowy</t>
        </is>
      </c>
      <c r="O467" t="inlineStr">
        <is>
          <t>Błażej Kuźniak</t>
        </is>
      </c>
      <c r="P467" t="n">
        <v>3355715</v>
      </c>
      <c r="Q467" t="inlineStr">
        <is>
          <t> </t>
        </is>
      </c>
      <c r="R467" t="inlineStr">
        <is>
          <t>szpitalopole</t>
        </is>
      </c>
      <c r="S467" s="1" t="n">
        <v>46162.65</v>
      </c>
      <c r="T467" t="n">
        <v>0</v>
      </c>
      <c r="U467" t="inlineStr">
        <is>
          <t>BUJALSKI TOMASZ</t>
        </is>
      </c>
    </row>
    <row r="468">
      <c r="A468" s="1" t="n">
        <v>46162</v>
      </c>
      <c r="B468" t="n">
        <v>484945</v>
      </c>
      <c r="C468" t="inlineStr">
        <is>
          <t>Ryszard Polit</t>
        </is>
      </c>
      <c r="D468" t="inlineStr">
        <is>
          <t>56022610552</t>
        </is>
      </c>
      <c r="E468" s="1" t="n">
        <v>46162</v>
      </c>
      <c r="F468" t="inlineStr">
        <is>
          <t>CITO-CITO</t>
        </is>
      </c>
      <c r="G468" t="inlineStr">
        <is>
          <t>TK</t>
        </is>
      </c>
      <c r="H468" t="inlineStr">
        <is>
          <t>TK - kręgosłupa szyjnego bez wz.kontrastowego</t>
        </is>
      </c>
      <c r="I468" t="inlineStr">
        <is>
          <t>TK Zwykłe</t>
        </is>
      </c>
      <c r="J468" t="inlineStr">
        <is>
          <t>1 okolica anatomiczna</t>
        </is>
      </c>
      <c r="K468" t="inlineStr">
        <is>
          <t>Tomasz Bujalski</t>
        </is>
      </c>
      <c r="L468" t="inlineStr">
        <is>
          <t> </t>
        </is>
      </c>
      <c r="M468" t="inlineStr">
        <is>
          <t>Zespół Wojewódzkich Poradni Specjalistycznych</t>
        </is>
      </c>
      <c r="N468" t="inlineStr">
        <is>
          <t>Szpitalny Oddział Ratunkowy</t>
        </is>
      </c>
      <c r="O468" t="inlineStr">
        <is>
          <t>Błażej Kuźniak</t>
        </is>
      </c>
      <c r="P468" t="n">
        <v>3355715</v>
      </c>
      <c r="Q468" t="inlineStr">
        <is>
          <t> </t>
        </is>
      </c>
      <c r="R468" t="inlineStr">
        <is>
          <t>szpitalopole</t>
        </is>
      </c>
      <c r="S468" s="1" t="n">
        <v>46162.65069444444</v>
      </c>
      <c r="T468" t="n">
        <v>0</v>
      </c>
      <c r="U468" t="inlineStr">
        <is>
          <t>BUJALSKI TOMASZ</t>
        </is>
      </c>
    </row>
    <row r="469">
      <c r="A469" s="1" t="n">
        <v>46162</v>
      </c>
      <c r="B469" t="n">
        <v>484951</v>
      </c>
      <c r="C469" t="inlineStr">
        <is>
          <t>Józefa Tarnowicz</t>
        </is>
      </c>
      <c r="D469" t="inlineStr">
        <is>
          <t>43070110585</t>
        </is>
      </c>
      <c r="E469" s="1" t="n">
        <v>46162</v>
      </c>
      <c r="F469" t="inlineStr">
        <is>
          <t>CITO-CITO</t>
        </is>
      </c>
      <c r="G469" t="inlineStr">
        <is>
          <t>TK</t>
        </is>
      </c>
      <c r="H469" t="inlineStr">
        <is>
          <t>Tomografia komputerowa - głowa (mózgowie) bez kontrastu dożylnego z wtórnym opracowaniem</t>
        </is>
      </c>
      <c r="I469" t="inlineStr">
        <is>
          <t>TK Zwykłe</t>
        </is>
      </c>
      <c r="J469" t="inlineStr">
        <is>
          <t>1 okolica anatomiczna</t>
        </is>
      </c>
      <c r="K469" t="inlineStr">
        <is>
          <t>Tomasz Bujalski</t>
        </is>
      </c>
      <c r="L469" t="inlineStr">
        <is>
          <t> </t>
        </is>
      </c>
      <c r="M469" t="inlineStr">
        <is>
          <t>Zespół Wojewódzkich Poradni Specjalistycznych</t>
        </is>
      </c>
      <c r="N469" t="inlineStr">
        <is>
          <t>Szpitalny Oddział Ratunkowy</t>
        </is>
      </c>
      <c r="O469" t="inlineStr">
        <is>
          <t>Błażej Kuźniak</t>
        </is>
      </c>
      <c r="P469" t="n">
        <v>3355715</v>
      </c>
      <c r="Q469" t="inlineStr">
        <is>
          <t> </t>
        </is>
      </c>
      <c r="R469" t="inlineStr">
        <is>
          <t>szpitalopole</t>
        </is>
      </c>
      <c r="S469" s="1" t="n">
        <v>46162.70625</v>
      </c>
      <c r="T469" t="n">
        <v>0</v>
      </c>
      <c r="U469" t="inlineStr">
        <is>
          <t>BUJALSKI TOMASZ</t>
        </is>
      </c>
    </row>
    <row r="470">
      <c r="A470" s="1" t="n">
        <v>46162</v>
      </c>
      <c r="B470" t="n">
        <v>484957</v>
      </c>
      <c r="C470" t="inlineStr">
        <is>
          <t>Łukasz Romanowski</t>
        </is>
      </c>
      <c r="D470" t="inlineStr">
        <is>
          <t>80122810578</t>
        </is>
      </c>
      <c r="E470" s="1" t="n">
        <v>46162</v>
      </c>
      <c r="F470" t="inlineStr">
        <is>
          <t>CITO-CITO</t>
        </is>
      </c>
      <c r="G470" t="inlineStr">
        <is>
          <t>TK</t>
        </is>
      </c>
      <c r="H470" t="inlineStr">
        <is>
          <t>Tomografia komputerowa - głowa (mózgowie) bez kontrastu dożylnego z wtórnym opracowaniem</t>
        </is>
      </c>
      <c r="I470" t="inlineStr">
        <is>
          <t>TK Zwykłe</t>
        </is>
      </c>
      <c r="J470" t="inlineStr">
        <is>
          <t>1 okolica anatomiczna</t>
        </is>
      </c>
      <c r="K470" t="inlineStr">
        <is>
          <t>Tomasz Bujalski</t>
        </is>
      </c>
      <c r="L470" t="inlineStr">
        <is>
          <t> </t>
        </is>
      </c>
      <c r="M470" t="inlineStr">
        <is>
          <t>Zespół Wojewódzkich Poradni Specjalistycznych</t>
        </is>
      </c>
      <c r="N470" t="inlineStr">
        <is>
          <t>Szpitalny Oddział Ratunkowy</t>
        </is>
      </c>
      <c r="O470" t="inlineStr">
        <is>
          <t>Błażej Kuźniak</t>
        </is>
      </c>
      <c r="P470" t="n">
        <v>3355715</v>
      </c>
      <c r="Q470" t="inlineStr">
        <is>
          <t> </t>
        </is>
      </c>
      <c r="R470" t="inlineStr">
        <is>
          <t>szpitalopole</t>
        </is>
      </c>
      <c r="S470" s="1" t="n">
        <v>46162.72361111111</v>
      </c>
      <c r="T470" t="n">
        <v>0</v>
      </c>
      <c r="U470" t="inlineStr">
        <is>
          <t>BUJALSKI TOMASZ</t>
        </is>
      </c>
    </row>
    <row r="471">
      <c r="A471" s="1" t="n">
        <v>46162</v>
      </c>
      <c r="B471" t="n">
        <v>484958</v>
      </c>
      <c r="C471" t="inlineStr">
        <is>
          <t>Łukasz Romanowski</t>
        </is>
      </c>
      <c r="D471" t="inlineStr">
        <is>
          <t>80122810578</t>
        </is>
      </c>
      <c r="E471" s="1" t="n">
        <v>46162</v>
      </c>
      <c r="F471" t="inlineStr">
        <is>
          <t>CITO-CITO</t>
        </is>
      </c>
      <c r="G471" t="inlineStr">
        <is>
          <t>TK</t>
        </is>
      </c>
      <c r="H471" t="inlineStr">
        <is>
          <t>Tomografia komputerowa - twarzoczaszka bez kontrastu dożylnego z wtórnym opracowaniem</t>
        </is>
      </c>
      <c r="I471" t="inlineStr">
        <is>
          <t>TK Zwykłe</t>
        </is>
      </c>
      <c r="J471" t="inlineStr">
        <is>
          <t>1 okolica anatomiczna</t>
        </is>
      </c>
      <c r="K471" t="inlineStr">
        <is>
          <t>Tomasz Bujalski</t>
        </is>
      </c>
      <c r="L471" t="inlineStr">
        <is>
          <t> </t>
        </is>
      </c>
      <c r="M471" t="inlineStr">
        <is>
          <t>Zespół Wojewódzkich Poradni Specjalistycznych</t>
        </is>
      </c>
      <c r="N471" t="inlineStr">
        <is>
          <t>Szpitalny Oddział Ratunkowy</t>
        </is>
      </c>
      <c r="O471" t="inlineStr">
        <is>
          <t>Błażej Kuźniak</t>
        </is>
      </c>
      <c r="P471" t="n">
        <v>3355715</v>
      </c>
      <c r="Q471" t="inlineStr">
        <is>
          <t> </t>
        </is>
      </c>
      <c r="R471" t="inlineStr">
        <is>
          <t>szpitalopole</t>
        </is>
      </c>
      <c r="S471" s="1" t="n">
        <v>46162.72361111111</v>
      </c>
      <c r="T471" t="n">
        <v>0</v>
      </c>
      <c r="U471" t="inlineStr">
        <is>
          <t>BUJALSKI TOMASZ</t>
        </is>
      </c>
    </row>
    <row r="472">
      <c r="A472" s="1" t="n">
        <v>46162</v>
      </c>
      <c r="B472" t="n">
        <v>484960</v>
      </c>
      <c r="C472" t="inlineStr">
        <is>
          <t>Stanisław Toborek</t>
        </is>
      </c>
      <c r="D472" t="inlineStr">
        <is>
          <t>51090912917</t>
        </is>
      </c>
      <c r="E472" s="1" t="n">
        <v>46162</v>
      </c>
      <c r="F472" t="inlineStr">
        <is>
          <t>CITO-CITO</t>
        </is>
      </c>
      <c r="G472" t="inlineStr">
        <is>
          <t>TK</t>
        </is>
      </c>
      <c r="H472" t="inlineStr">
        <is>
          <t>Tomografia komputerowa - jama brzuszna i miednica bez kontrastu i z kontrastem dożylnym bez pojenia doustnego z wtórnym opracowa</t>
        </is>
      </c>
      <c r="I472" t="inlineStr">
        <is>
          <t>TK Zwykłe</t>
        </is>
      </c>
      <c r="J472" t="inlineStr">
        <is>
          <t>2 okolice anatomiczne</t>
        </is>
      </c>
      <c r="K472" t="inlineStr">
        <is>
          <t>Tomasz Bujalski</t>
        </is>
      </c>
      <c r="L472" t="inlineStr">
        <is>
          <t> </t>
        </is>
      </c>
      <c r="M472" t="inlineStr">
        <is>
          <t>Zespół Wojewódzkich Poradni Specjalistycznych</t>
        </is>
      </c>
      <c r="N472" t="inlineStr">
        <is>
          <t>Szpitalny Oddział Ratunkowy</t>
        </is>
      </c>
      <c r="O472" t="inlineStr">
        <is>
          <t>Jerzy Madej</t>
        </is>
      </c>
      <c r="P472" t="n">
        <v>3364268</v>
      </c>
      <c r="Q472" t="inlineStr">
        <is>
          <t> </t>
        </is>
      </c>
      <c r="R472" t="inlineStr">
        <is>
          <t>szpitalopole</t>
        </is>
      </c>
      <c r="S472" s="1" t="n">
        <v>46162.74166666667</v>
      </c>
      <c r="T472" t="n">
        <v>0</v>
      </c>
      <c r="U472" t="inlineStr">
        <is>
          <t>BUJALSKI TOMASZ</t>
        </is>
      </c>
    </row>
    <row r="473">
      <c r="A473" s="1" t="n">
        <v>46162</v>
      </c>
      <c r="B473" t="n">
        <v>484975</v>
      </c>
      <c r="C473" t="inlineStr">
        <is>
          <t>Marek Kowalski</t>
        </is>
      </c>
      <c r="D473" t="inlineStr">
        <is>
          <t>65082607356</t>
        </is>
      </c>
      <c r="E473" s="1" t="n">
        <v>46162</v>
      </c>
      <c r="F473" t="inlineStr">
        <is>
          <t>CITO-CITO</t>
        </is>
      </c>
      <c r="G473" t="inlineStr">
        <is>
          <t>TK</t>
        </is>
      </c>
      <c r="H473" t="inlineStr">
        <is>
          <t>TK - kręgosłupa lędźwiowo-krzyżowego bez wz.kontrastowego</t>
        </is>
      </c>
      <c r="I473" t="inlineStr">
        <is>
          <t>TK Zwykłe</t>
        </is>
      </c>
      <c r="J473" t="inlineStr">
        <is>
          <t>1 okolica anatomiczna</t>
        </is>
      </c>
      <c r="K473" t="inlineStr">
        <is>
          <t>Tomasz Bujalski</t>
        </is>
      </c>
      <c r="L473" t="inlineStr">
        <is>
          <t> </t>
        </is>
      </c>
      <c r="M473" t="inlineStr">
        <is>
          <t>Zespół Wojewódzkich Poradni Specjalistycznych</t>
        </is>
      </c>
      <c r="N473" t="inlineStr">
        <is>
          <t>Szpitalny Oddział Ratunkowy</t>
        </is>
      </c>
      <c r="O473" t="inlineStr">
        <is>
          <t>Błażej Kuźniak</t>
        </is>
      </c>
      <c r="P473" t="n">
        <v>3355715</v>
      </c>
      <c r="Q473" t="inlineStr">
        <is>
          <t> </t>
        </is>
      </c>
      <c r="R473" t="inlineStr">
        <is>
          <t>szpitalopole</t>
        </is>
      </c>
      <c r="S473" s="1" t="n">
        <v>46162.78263888889</v>
      </c>
      <c r="T473" t="n">
        <v>0</v>
      </c>
      <c r="U473" t="inlineStr">
        <is>
          <t>BUJALSKI TOMASZ</t>
        </is>
      </c>
    </row>
    <row r="474">
      <c r="A474" s="1" t="n">
        <v>46163</v>
      </c>
      <c r="B474" t="n">
        <v>485003</v>
      </c>
      <c r="C474" t="inlineStr">
        <is>
          <t>Kazimiera Krauze</t>
        </is>
      </c>
      <c r="D474" t="inlineStr">
        <is>
          <t>36110112685</t>
        </is>
      </c>
      <c r="E474" s="1" t="n">
        <v>46163</v>
      </c>
      <c r="F474" t="inlineStr">
        <is>
          <t>CITO-CITO</t>
        </is>
      </c>
      <c r="G474" t="inlineStr">
        <is>
          <t>TK</t>
        </is>
      </c>
      <c r="H474" t="inlineStr">
        <is>
          <t>Tomografia komputerowa - głowa (mózgowie) bez kontrastu dożylnego z wtórnym opracowaniem</t>
        </is>
      </c>
      <c r="I474" t="inlineStr">
        <is>
          <t>TK Zwykłe</t>
        </is>
      </c>
      <c r="J474" t="inlineStr">
        <is>
          <t>1 okolica anatomiczna</t>
        </is>
      </c>
      <c r="K474" t="inlineStr">
        <is>
          <t>Tomasz Bujalski</t>
        </is>
      </c>
      <c r="L474" t="inlineStr">
        <is>
          <t> </t>
        </is>
      </c>
      <c r="M474" t="inlineStr">
        <is>
          <t>Zespół Wojewódzkich Poradni Specjalistycznych</t>
        </is>
      </c>
      <c r="N474" t="inlineStr">
        <is>
          <t>Szpitalny Oddział Ratunkowy</t>
        </is>
      </c>
      <c r="O474" t="inlineStr">
        <is>
          <t>Błażej Kuźniak</t>
        </is>
      </c>
      <c r="P474" t="n">
        <v>3355715</v>
      </c>
      <c r="Q474" t="inlineStr">
        <is>
          <t> </t>
        </is>
      </c>
      <c r="R474" t="inlineStr">
        <is>
          <t>szpitalopole</t>
        </is>
      </c>
      <c r="S474" s="1" t="n">
        <v>46163.24027777778</v>
      </c>
      <c r="T474" t="n">
        <v>0</v>
      </c>
      <c r="U474" t="inlineStr">
        <is>
          <t>BUJALSKI TOMASZ</t>
        </is>
      </c>
    </row>
    <row r="475">
      <c r="A475" s="1" t="n">
        <v>46163</v>
      </c>
      <c r="B475" t="n">
        <v>485007</v>
      </c>
      <c r="C475" t="inlineStr">
        <is>
          <t>Kazimiera Krauze</t>
        </is>
      </c>
      <c r="D475" t="inlineStr">
        <is>
          <t>36110112685</t>
        </is>
      </c>
      <c r="E475" s="1" t="n">
        <v>46163</v>
      </c>
      <c r="F475" t="inlineStr">
        <is>
          <t>CITO-CITO</t>
        </is>
      </c>
      <c r="G475" t="inlineStr">
        <is>
          <t>TK</t>
        </is>
      </c>
      <c r="H475" t="inlineStr">
        <is>
          <t>TK - kręgosłupa lędźwiowo-krzyżowego bez wz.kontrastowego</t>
        </is>
      </c>
      <c r="I475" t="inlineStr">
        <is>
          <t>TK Zwykłe</t>
        </is>
      </c>
      <c r="J475" t="inlineStr">
        <is>
          <t>1 okolica anatomiczna</t>
        </is>
      </c>
      <c r="K475" t="inlineStr">
        <is>
          <t>Tomasz Bujalski</t>
        </is>
      </c>
      <c r="L475" t="inlineStr">
        <is>
          <t> </t>
        </is>
      </c>
      <c r="M475" t="inlineStr">
        <is>
          <t>Zespół Wojewódzkich Poradni Specjalistycznych</t>
        </is>
      </c>
      <c r="N475" t="inlineStr">
        <is>
          <t>Szpitalny Oddział Ratunkowy</t>
        </is>
      </c>
      <c r="O475" t="inlineStr">
        <is>
          <t>Krzysztof Lipski</t>
        </is>
      </c>
      <c r="P475" t="n">
        <v>2290100</v>
      </c>
      <c r="Q475" t="inlineStr">
        <is>
          <t> </t>
        </is>
      </c>
      <c r="R475" t="inlineStr">
        <is>
          <t>szpitalopole</t>
        </is>
      </c>
      <c r="S475" s="1" t="n">
        <v>46163.24166666667</v>
      </c>
      <c r="T475" t="n">
        <v>0</v>
      </c>
      <c r="U475" t="inlineStr">
        <is>
          <t>BUJALSKI TOMASZ</t>
        </is>
      </c>
    </row>
    <row r="476">
      <c r="A476" s="1" t="n">
        <v>46163</v>
      </c>
      <c r="B476" t="n">
        <v>485096</v>
      </c>
      <c r="C476" t="inlineStr">
        <is>
          <t>Kazimierz WAC</t>
        </is>
      </c>
      <c r="D476" t="inlineStr">
        <is>
          <t>60111006133</t>
        </is>
      </c>
      <c r="E476" s="1" t="n">
        <v>46163</v>
      </c>
      <c r="F476" t="inlineStr">
        <is>
          <t>CITO-CITO</t>
        </is>
      </c>
      <c r="G476" t="inlineStr">
        <is>
          <t>TK</t>
        </is>
      </c>
      <c r="H476" t="inlineStr">
        <is>
          <t>Tomografia komputerowa - klatka piersiowa HRCT bez kontrastu dożylnego z wtórnym opracowaniem</t>
        </is>
      </c>
      <c r="I476" t="inlineStr">
        <is>
          <t>TK Zwykłe</t>
        </is>
      </c>
      <c r="J476" t="inlineStr">
        <is>
          <t>1 okolica anatomiczna</t>
        </is>
      </c>
      <c r="K476" t="inlineStr">
        <is>
          <t>Tomasz Bujalski</t>
        </is>
      </c>
      <c r="L476" t="inlineStr">
        <is>
          <t> </t>
        </is>
      </c>
      <c r="M476" t="inlineStr">
        <is>
          <t>Zespół Wojewódzkich Poradni Specjalistycznych</t>
        </is>
      </c>
      <c r="N476" t="inlineStr">
        <is>
          <t>Chirurgii Ogólnej z Pododdziałem Leczenia Stopy Cukrzycowej</t>
        </is>
      </c>
      <c r="O476" t="inlineStr">
        <is>
          <t>Karolina Dezor-Okos</t>
        </is>
      </c>
      <c r="P476" t="n">
        <v>4547201</v>
      </c>
      <c r="Q476" t="inlineStr">
        <is>
          <t>S22.4</t>
        </is>
      </c>
      <c r="R476" t="inlineStr">
        <is>
          <t>szpitalopole</t>
        </is>
      </c>
      <c r="S476" s="1" t="n">
        <v>46163.37986111111</v>
      </c>
      <c r="T476" t="n">
        <v>0</v>
      </c>
      <c r="U476" t="inlineStr">
        <is>
          <t>BUJALSKI TOMASZ</t>
        </is>
      </c>
    </row>
    <row r="477">
      <c r="A477" s="1" t="n">
        <v>46163</v>
      </c>
      <c r="B477" t="n">
        <v>485098</v>
      </c>
      <c r="C477" t="inlineStr">
        <is>
          <t>Kazimierz WAC</t>
        </is>
      </c>
      <c r="D477" t="inlineStr">
        <is>
          <t>60111006133</t>
        </is>
      </c>
      <c r="E477" s="1" t="n">
        <v>46163</v>
      </c>
      <c r="F477" t="inlineStr">
        <is>
          <t>CITO-CITO</t>
        </is>
      </c>
      <c r="G477" t="inlineStr">
        <is>
          <t>TK</t>
        </is>
      </c>
      <c r="H477" t="inlineStr">
        <is>
          <t>Tomografia komputerowa - głowa (mózgowie) bez kontrastu dożylnego z wtórnym opracowaniem</t>
        </is>
      </c>
      <c r="I477" t="inlineStr">
        <is>
          <t>TK Zwykłe</t>
        </is>
      </c>
      <c r="J477" t="inlineStr">
        <is>
          <t>1 okolica anatomiczna</t>
        </is>
      </c>
      <c r="K477" t="inlineStr">
        <is>
          <t>Tomasz Bujalski</t>
        </is>
      </c>
      <c r="L477" t="inlineStr">
        <is>
          <t> </t>
        </is>
      </c>
      <c r="M477" t="inlineStr">
        <is>
          <t>Zespół Wojewódzkich Poradni Specjalistycznych</t>
        </is>
      </c>
      <c r="N477" t="inlineStr">
        <is>
          <t>Chirurgii Ogólnej z Pododdziałem Leczenia Stopy Cukrzycowej</t>
        </is>
      </c>
      <c r="O477" t="inlineStr">
        <is>
          <t>Karolina Dezor-Okos</t>
        </is>
      </c>
      <c r="P477" t="n">
        <v>4547201</v>
      </c>
      <c r="Q477" t="inlineStr">
        <is>
          <t>S22.4</t>
        </is>
      </c>
      <c r="R477" t="inlineStr">
        <is>
          <t>szpitalopole</t>
        </is>
      </c>
      <c r="S477" s="1" t="n">
        <v>46163.37916666667</v>
      </c>
      <c r="T477" t="n">
        <v>0</v>
      </c>
      <c r="U477" t="inlineStr">
        <is>
          <t>BUJALSKI TOMASZ</t>
        </is>
      </c>
    </row>
    <row r="478">
      <c r="A478" s="1" t="n">
        <v>46164</v>
      </c>
      <c r="B478" t="n">
        <v>485313</v>
      </c>
      <c r="C478" t="inlineStr">
        <is>
          <t>Henryk Ryłko</t>
        </is>
      </c>
      <c r="D478" t="inlineStr">
        <is>
          <t>67030207236</t>
        </is>
      </c>
      <c r="E478" s="1" t="n">
        <v>46164</v>
      </c>
      <c r="F478" t="inlineStr">
        <is>
          <t>CITO-CITO</t>
        </is>
      </c>
      <c r="G478" t="inlineStr">
        <is>
          <t>TK</t>
        </is>
      </c>
      <c r="H478" t="inlineStr">
        <is>
          <t>Tomografia komputerowa - jama brzuszna i miednica bez kontrastu i z kontrastem dożylnym bez pojenia doustnego z wtórnym opracowa</t>
        </is>
      </c>
      <c r="I478" t="inlineStr">
        <is>
          <t>TK Zwykłe</t>
        </is>
      </c>
      <c r="J478" t="inlineStr">
        <is>
          <t>2 okolice anatomiczne</t>
        </is>
      </c>
      <c r="K478" t="inlineStr">
        <is>
          <t>Tomasz Bujalski</t>
        </is>
      </c>
      <c r="L478" t="inlineStr">
        <is>
          <t> </t>
        </is>
      </c>
      <c r="M478" t="inlineStr">
        <is>
          <t>Zespół Wojewódzkich Poradni Specjalistycznych</t>
        </is>
      </c>
      <c r="N478" t="inlineStr">
        <is>
          <t>Szpitalny Oddział Ratunkowy</t>
        </is>
      </c>
      <c r="O478" t="inlineStr">
        <is>
          <t>Jerzy Madej</t>
        </is>
      </c>
      <c r="P478" t="n">
        <v>3364268</v>
      </c>
      <c r="Q478" t="inlineStr">
        <is>
          <t>R10.4</t>
        </is>
      </c>
      <c r="R478" t="inlineStr">
        <is>
          <t>szpitalopole</t>
        </is>
      </c>
      <c r="S478" s="1" t="n">
        <v>46164.34305555555</v>
      </c>
      <c r="T478" t="n">
        <v>0</v>
      </c>
      <c r="U478" t="inlineStr">
        <is>
          <t>BUJALSKI TOMASZ</t>
        </is>
      </c>
    </row>
    <row r="479">
      <c r="A479" s="1" t="n">
        <v>46164</v>
      </c>
      <c r="B479" t="n">
        <v>485328</v>
      </c>
      <c r="C479" t="inlineStr">
        <is>
          <t>Helena Szymańska</t>
        </is>
      </c>
      <c r="D479" t="inlineStr">
        <is>
          <t>44121006462</t>
        </is>
      </c>
      <c r="E479" s="1" t="n">
        <v>46164</v>
      </c>
      <c r="F479" t="inlineStr">
        <is>
          <t>CITO-CITO</t>
        </is>
      </c>
      <c r="G479" t="inlineStr">
        <is>
          <t>TK</t>
        </is>
      </c>
      <c r="H479" t="inlineStr">
        <is>
          <t>Tomografia komputerowa - głowa (mózgowie) bez kontrastu dożylnego</t>
        </is>
      </c>
      <c r="I479" t="inlineStr">
        <is>
          <t>TK Zwykłe</t>
        </is>
      </c>
      <c r="J479" t="inlineStr">
        <is>
          <t>1 okolica anatomiczna</t>
        </is>
      </c>
      <c r="K479" t="inlineStr">
        <is>
          <t>Tomasz Bujalski</t>
        </is>
      </c>
      <c r="L479" t="inlineStr">
        <is>
          <t> </t>
        </is>
      </c>
      <c r="M479" t="inlineStr">
        <is>
          <t>Zespół Wojewódzkich Poradni Specjalistycznych</t>
        </is>
      </c>
      <c r="N479" t="inlineStr">
        <is>
          <t>Szpitalny Oddział Ratunkowy</t>
        </is>
      </c>
      <c r="O479" t="inlineStr">
        <is>
          <t>Maciej Sobota</t>
        </is>
      </c>
      <c r="P479" t="n">
        <v>3355987</v>
      </c>
      <c r="Q479" t="inlineStr">
        <is>
          <t>S42.2</t>
        </is>
      </c>
      <c r="R479" t="inlineStr">
        <is>
          <t>szpitalopole</t>
        </is>
      </c>
      <c r="S479" s="1" t="n">
        <v>46164.36805555555</v>
      </c>
      <c r="T479" t="n">
        <v>0</v>
      </c>
      <c r="U479" t="inlineStr">
        <is>
          <t>BUJALSKI TOMASZ</t>
        </is>
      </c>
    </row>
    <row r="480">
      <c r="A480" s="1" t="n">
        <v>46164</v>
      </c>
      <c r="B480" t="n">
        <v>485358</v>
      </c>
      <c r="C480" t="inlineStr">
        <is>
          <t>BRONISŁAWA PORADA</t>
        </is>
      </c>
      <c r="D480" t="inlineStr">
        <is>
          <t>38081609544</t>
        </is>
      </c>
      <c r="E480" s="1" t="n">
        <v>46164</v>
      </c>
      <c r="F480" t="inlineStr">
        <is>
          <t>CITO-UDAR</t>
        </is>
      </c>
      <c r="G480" t="inlineStr">
        <is>
          <t>TK</t>
        </is>
      </c>
      <c r="H480" t="inlineStr">
        <is>
          <t>Tomografia komputerowa - głowa (mózgowie) bez kontrastu dożylnego z wtórnym opracowaniem</t>
        </is>
      </c>
      <c r="I480" t="inlineStr">
        <is>
          <t>TK Zwykłe</t>
        </is>
      </c>
      <c r="J480" t="inlineStr">
        <is>
          <t>1 okolica anatomiczna</t>
        </is>
      </c>
      <c r="K480" t="inlineStr">
        <is>
          <t>Tomasz Bujalski</t>
        </is>
      </c>
      <c r="L480" t="inlineStr">
        <is>
          <t> </t>
        </is>
      </c>
      <c r="M480" t="inlineStr">
        <is>
          <t>Zespół Wojewódzkich Poradni Specjalistycznych</t>
        </is>
      </c>
      <c r="N480" t="inlineStr">
        <is>
          <t>Szpitalny Oddział Ratunkowy</t>
        </is>
      </c>
      <c r="O480" t="inlineStr">
        <is>
          <t>Jerzy Madej</t>
        </is>
      </c>
      <c r="P480" t="n">
        <v>3364268</v>
      </c>
      <c r="Q480" t="inlineStr">
        <is>
          <t> </t>
        </is>
      </c>
      <c r="R480" t="inlineStr">
        <is>
          <t>szpitalopole</t>
        </is>
      </c>
      <c r="S480" s="1" t="n">
        <v>46164.41180555556</v>
      </c>
      <c r="T480" t="n">
        <v>0</v>
      </c>
      <c r="U480" t="inlineStr">
        <is>
          <t>BUJALSKI TOMASZ</t>
        </is>
      </c>
    </row>
    <row r="481">
      <c r="A481" s="1" t="n">
        <v>46167</v>
      </c>
      <c r="B481" t="n">
        <v>485655</v>
      </c>
      <c r="C481" t="inlineStr">
        <is>
          <t>Józef Kuczek</t>
        </is>
      </c>
      <c r="D481" t="inlineStr">
        <is>
          <t>41091206933</t>
        </is>
      </c>
      <c r="E481" s="1" t="n">
        <v>46167</v>
      </c>
      <c r="F481" t="inlineStr">
        <is>
          <t>CITO-CITO</t>
        </is>
      </c>
      <c r="G481" t="inlineStr">
        <is>
          <t>TK</t>
        </is>
      </c>
      <c r="H481" t="inlineStr">
        <is>
          <t>Tomografia komputerowa - klatka piersiowa bez kontrastu i z kontrastem dożylnym z wtórnym opracowaniem</t>
        </is>
      </c>
      <c r="I481" t="inlineStr">
        <is>
          <t>TK Zwykłe</t>
        </is>
      </c>
      <c r="J481" t="inlineStr">
        <is>
          <t>1 okolica anatomiczna</t>
        </is>
      </c>
      <c r="K481" t="inlineStr">
        <is>
          <t>Tomasz Bujalski</t>
        </is>
      </c>
      <c r="L481" t="inlineStr">
        <is>
          <t> </t>
        </is>
      </c>
      <c r="M481" t="inlineStr">
        <is>
          <t>Zespół Wojewódzkich Poradni Specjalistycznych</t>
        </is>
      </c>
      <c r="N481" t="inlineStr">
        <is>
          <t>Chirurgii Ogólnej z Pododdziałem Leczenia Stopy Cukrzycowej</t>
        </is>
      </c>
      <c r="O481" t="inlineStr">
        <is>
          <t>Serhii Bilokon</t>
        </is>
      </c>
      <c r="P481" t="n">
        <v>4531653</v>
      </c>
      <c r="Q481" t="inlineStr">
        <is>
          <t>J93.9</t>
        </is>
      </c>
      <c r="R481" t="inlineStr">
        <is>
          <t>szpitalopole</t>
        </is>
      </c>
      <c r="S481" s="1" t="n">
        <v>46167.30486111111</v>
      </c>
      <c r="T481" t="n">
        <v>0</v>
      </c>
      <c r="U481" t="inlineStr">
        <is>
          <t>BUJALSKI TOMASZ</t>
        </is>
      </c>
    </row>
    <row r="482">
      <c r="A482" s="1" t="n">
        <v>46167</v>
      </c>
      <c r="B482" t="n">
        <v>485739</v>
      </c>
      <c r="C482" t="inlineStr">
        <is>
          <t>Urszula Szaforz</t>
        </is>
      </c>
      <c r="D482" t="inlineStr">
        <is>
          <t>56011218002</t>
        </is>
      </c>
      <c r="E482" s="1" t="n">
        <v>46167</v>
      </c>
      <c r="F482" t="inlineStr">
        <is>
          <t>CITO-CITO</t>
        </is>
      </c>
      <c r="G482" t="inlineStr">
        <is>
          <t>TK</t>
        </is>
      </c>
      <c r="H482" t="inlineStr">
        <is>
          <t>Tomografia komputerowa - głowa (mózgowie) bez kontrastu i z kontrastem dożylnym z wtórnym opracowaniem</t>
        </is>
      </c>
      <c r="I482" t="inlineStr">
        <is>
          <t>TK Zwykłe</t>
        </is>
      </c>
      <c r="J482" t="inlineStr">
        <is>
          <t>1 okolica anatomiczna</t>
        </is>
      </c>
      <c r="K482" t="inlineStr">
        <is>
          <t>Tomasz Bujalski</t>
        </is>
      </c>
      <c r="L482" t="inlineStr">
        <is>
          <t> </t>
        </is>
      </c>
      <c r="M482" t="inlineStr">
        <is>
          <t>Zespół Wojewódzkich Poradni Specjalistycznych</t>
        </is>
      </c>
      <c r="N482" t="inlineStr">
        <is>
          <t>Anestezjologii i Intensywnej Terapii</t>
        </is>
      </c>
      <c r="O482" t="inlineStr">
        <is>
          <t>Łukasz Otoliński</t>
        </is>
      </c>
      <c r="P482" t="n">
        <v>4314408</v>
      </c>
      <c r="Q482" t="inlineStr">
        <is>
          <t>E10.8</t>
        </is>
      </c>
      <c r="R482" t="inlineStr">
        <is>
          <t>szpitalopole</t>
        </is>
      </c>
      <c r="S482" s="1" t="n">
        <v>46167.42152777778</v>
      </c>
      <c r="T482" t="n">
        <v>0</v>
      </c>
      <c r="U482" t="inlineStr">
        <is>
          <t>BUJALSKI TOMASZ</t>
        </is>
      </c>
    </row>
    <row r="483">
      <c r="A483" s="1" t="n">
        <v>46167</v>
      </c>
      <c r="B483" t="n">
        <v>485754</v>
      </c>
      <c r="C483" t="inlineStr">
        <is>
          <t>Urszula Szaforz</t>
        </is>
      </c>
      <c r="D483" t="inlineStr">
        <is>
          <t>56011218002</t>
        </is>
      </c>
      <c r="E483" s="1" t="n">
        <v>46167</v>
      </c>
      <c r="F483" t="inlineStr">
        <is>
          <t>CITO-CITO</t>
        </is>
      </c>
      <c r="G483" t="inlineStr">
        <is>
          <t>TK</t>
        </is>
      </c>
      <c r="H483" t="inlineStr">
        <is>
          <t>Tomografia komputerowa - klatka piersiowa bez kontrastu i z kontrastem dożylnym w protokole zatorowości z wtórnym opracowaniem</t>
        </is>
      </c>
      <c r="I483" t="inlineStr">
        <is>
          <t>TK Angiografia</t>
        </is>
      </c>
      <c r="J483" t="inlineStr">
        <is>
          <t>1 okolica anatomiczna</t>
        </is>
      </c>
      <c r="K483" t="inlineStr">
        <is>
          <t>Tomasz Bujalski</t>
        </is>
      </c>
      <c r="L483" t="inlineStr">
        <is>
          <t> </t>
        </is>
      </c>
      <c r="M483" t="inlineStr">
        <is>
          <t>Zespół Wojewódzkich Poradni Specjalistycznych</t>
        </is>
      </c>
      <c r="N483" t="inlineStr">
        <is>
          <t>Anestezjologii i Intensywnej Terapii</t>
        </is>
      </c>
      <c r="O483" t="inlineStr">
        <is>
          <t>Aksana Prakapovich</t>
        </is>
      </c>
      <c r="P483" t="n">
        <v>3357379</v>
      </c>
      <c r="Q483" t="inlineStr">
        <is>
          <t>E10.8</t>
        </is>
      </c>
      <c r="R483" t="inlineStr">
        <is>
          <t>szpitalopole</t>
        </is>
      </c>
      <c r="S483" s="1" t="n">
        <v>46167.41944444444</v>
      </c>
      <c r="T483" t="n">
        <v>0</v>
      </c>
      <c r="U483" t="inlineStr">
        <is>
          <t>BUJALSKI TOMASZ</t>
        </is>
      </c>
    </row>
    <row r="484">
      <c r="A484" s="1" t="n">
        <v>46167</v>
      </c>
      <c r="B484" t="n">
        <v>485756</v>
      </c>
      <c r="C484" t="inlineStr">
        <is>
          <t>Jolanta Krupa</t>
        </is>
      </c>
      <c r="D484" t="inlineStr">
        <is>
          <t>65110712007</t>
        </is>
      </c>
      <c r="E484" s="1" t="n">
        <v>46167</v>
      </c>
      <c r="F484" t="inlineStr">
        <is>
          <t>CITO-CITO</t>
        </is>
      </c>
      <c r="G484" t="inlineStr">
        <is>
          <t>TK</t>
        </is>
      </c>
      <c r="H484" t="inlineStr">
        <is>
          <t>Tomografia komputerowa - głowa (mózgowie) bez kontrastu dożylnego z wtórnym opracowaniem</t>
        </is>
      </c>
      <c r="I484" t="inlineStr">
        <is>
          <t>TK Zwykłe</t>
        </is>
      </c>
      <c r="J484" t="inlineStr">
        <is>
          <t>1 okolica anatomiczna</t>
        </is>
      </c>
      <c r="K484" t="inlineStr">
        <is>
          <t>Tomasz Bujalski</t>
        </is>
      </c>
      <c r="L484" t="inlineStr">
        <is>
          <t> </t>
        </is>
      </c>
      <c r="M484" t="inlineStr">
        <is>
          <t>Zespół Wojewódzkich Poradni Specjalistycznych</t>
        </is>
      </c>
      <c r="N484" t="inlineStr">
        <is>
          <t>Szpitalny Oddział Ratunkowy</t>
        </is>
      </c>
      <c r="O484" t="inlineStr">
        <is>
          <t>Rafał Maciejewski</t>
        </is>
      </c>
      <c r="P484" t="n">
        <v>3950906</v>
      </c>
      <c r="Q484" t="inlineStr">
        <is>
          <t> </t>
        </is>
      </c>
      <c r="R484" t="inlineStr">
        <is>
          <t>szpitalopole</t>
        </is>
      </c>
      <c r="S484" s="1" t="n">
        <v>46167.44097222222</v>
      </c>
      <c r="T484" t="n">
        <v>0</v>
      </c>
      <c r="U484" t="inlineStr">
        <is>
          <t>BUJALSKI TOMASZ</t>
        </is>
      </c>
    </row>
    <row r="485">
      <c r="A485" s="1" t="n">
        <v>46167</v>
      </c>
      <c r="B485" t="n">
        <v>485768</v>
      </c>
      <c r="C485" t="inlineStr">
        <is>
          <t>Zygmunt Giedrojć</t>
        </is>
      </c>
      <c r="D485" t="inlineStr">
        <is>
          <t>36072512219</t>
        </is>
      </c>
      <c r="E485" s="1" t="n">
        <v>46167</v>
      </c>
      <c r="F485" t="inlineStr">
        <is>
          <t>CITO-CITO</t>
        </is>
      </c>
      <c r="G485" t="inlineStr">
        <is>
          <t>TK</t>
        </is>
      </c>
      <c r="H485" t="inlineStr">
        <is>
          <t>Tomografia komputerowa - głowa (mózgowie) bez kontrastu dożylnego z wtórnym opracowaniem</t>
        </is>
      </c>
      <c r="I485" t="inlineStr">
        <is>
          <t>TK Zwykłe</t>
        </is>
      </c>
      <c r="J485" t="inlineStr">
        <is>
          <t>1 okolica anatomiczna</t>
        </is>
      </c>
      <c r="K485" t="inlineStr">
        <is>
          <t>Tomasz Bujalski</t>
        </is>
      </c>
      <c r="L485" t="inlineStr">
        <is>
          <t> </t>
        </is>
      </c>
      <c r="M485" t="inlineStr">
        <is>
          <t>Zespół Wojewódzkich Poradni Specjalistycznych</t>
        </is>
      </c>
      <c r="N485" t="inlineStr">
        <is>
          <t>Szpitalny Oddział Ratunkowy</t>
        </is>
      </c>
      <c r="O485" t="inlineStr">
        <is>
          <t>Olha Vynnychenko</t>
        </is>
      </c>
      <c r="P485" t="n">
        <v>4305380</v>
      </c>
      <c r="Q485" t="inlineStr">
        <is>
          <t> </t>
        </is>
      </c>
      <c r="R485" t="inlineStr">
        <is>
          <t>szpitalopole</t>
        </is>
      </c>
      <c r="S485" s="1" t="n">
        <v>46167.44722222222</v>
      </c>
      <c r="T485" t="n">
        <v>0</v>
      </c>
      <c r="U485" t="inlineStr">
        <is>
          <t>BUJALSKI TOMASZ</t>
        </is>
      </c>
    </row>
    <row r="486">
      <c r="A486" s="1" t="n">
        <v>46168</v>
      </c>
      <c r="B486" t="n">
        <v>485800</v>
      </c>
      <c r="C486" t="inlineStr">
        <is>
          <t>Karolina Gonschior</t>
        </is>
      </c>
      <c r="D486" t="inlineStr">
        <is>
          <t>93061004605</t>
        </is>
      </c>
      <c r="E486" s="1" t="n">
        <v>46168</v>
      </c>
      <c r="F486" t="inlineStr">
        <is>
          <t>CITO-CITO</t>
        </is>
      </c>
      <c r="G486" t="inlineStr">
        <is>
          <t>TK</t>
        </is>
      </c>
      <c r="H486" t="inlineStr">
        <is>
          <t>Tomografia komputerowa - głowa (mózgowie) bez kontrastu dożylnego</t>
        </is>
      </c>
      <c r="I486" t="inlineStr">
        <is>
          <t>TK Zwykłe</t>
        </is>
      </c>
      <c r="J486" t="inlineStr">
        <is>
          <t>1 okolica anatomiczna</t>
        </is>
      </c>
      <c r="K486" t="inlineStr">
        <is>
          <t>Tomasz Bujalski</t>
        </is>
      </c>
      <c r="L486" t="inlineStr">
        <is>
          <t> </t>
        </is>
      </c>
      <c r="M486" t="inlineStr">
        <is>
          <t>Zespół Wojewódzkich Poradni Specjalistycznych</t>
        </is>
      </c>
      <c r="N486" t="inlineStr">
        <is>
          <t>Anestezjologii i Intensywnej Terapii</t>
        </is>
      </c>
      <c r="O486" t="inlineStr">
        <is>
          <t>Dominika Rykała</t>
        </is>
      </c>
      <c r="P486" t="n">
        <v>3356179</v>
      </c>
      <c r="Q486" t="inlineStr">
        <is>
          <t>I61.0</t>
        </is>
      </c>
      <c r="R486" t="inlineStr">
        <is>
          <t>szpitalopole</t>
        </is>
      </c>
      <c r="S486" s="1" t="n">
        <v>46168.29861111111</v>
      </c>
      <c r="T486" t="n">
        <v>0</v>
      </c>
      <c r="U486" t="inlineStr">
        <is>
          <t>BUJALSKI TOMASZ</t>
        </is>
      </c>
    </row>
    <row r="487">
      <c r="A487" s="1" t="n">
        <v>46168</v>
      </c>
      <c r="B487" t="n">
        <v>485929</v>
      </c>
      <c r="C487" t="inlineStr">
        <is>
          <t>Janusz Randak</t>
        </is>
      </c>
      <c r="D487" t="inlineStr">
        <is>
          <t>69021107354</t>
        </is>
      </c>
      <c r="E487" s="1" t="n">
        <v>46168</v>
      </c>
      <c r="F487" t="inlineStr">
        <is>
          <t>CITO-CITO</t>
        </is>
      </c>
      <c r="G487" t="inlineStr">
        <is>
          <t>TK</t>
        </is>
      </c>
      <c r="H487" t="inlineStr">
        <is>
          <t>Tomografia komputerowa - głowa (mózgowie) bez kontrastu dożylnego</t>
        </is>
      </c>
      <c r="I487" t="inlineStr">
        <is>
          <t>TK Zwykłe</t>
        </is>
      </c>
      <c r="J487" t="inlineStr">
        <is>
          <t>1 okolica anatomiczna</t>
        </is>
      </c>
      <c r="K487" t="inlineStr">
        <is>
          <t>Tomasz Bujalski</t>
        </is>
      </c>
      <c r="L487" t="inlineStr">
        <is>
          <t> </t>
        </is>
      </c>
      <c r="M487" t="inlineStr">
        <is>
          <t>Zespół Wojewódzkich Poradni Specjalistycznych</t>
        </is>
      </c>
      <c r="N487" t="inlineStr">
        <is>
          <t>Oddział Kliniczny Hematologii, Onkologii Hematologicznej i Chorób Wewnętrznych</t>
        </is>
      </c>
      <c r="O487" t="inlineStr">
        <is>
          <t>Paweł Chrząstek</t>
        </is>
      </c>
      <c r="P487" t="n">
        <v>2003898</v>
      </c>
      <c r="Q487" t="inlineStr">
        <is>
          <t>D46.7</t>
        </is>
      </c>
      <c r="R487" t="inlineStr">
        <is>
          <t>szpitalopole</t>
        </is>
      </c>
      <c r="S487" s="1" t="n">
        <v>46168.28611111111</v>
      </c>
      <c r="T487" t="n">
        <v>0</v>
      </c>
      <c r="U487" t="inlineStr">
        <is>
          <t>BUJALSKI TOMASZ</t>
        </is>
      </c>
    </row>
    <row r="488">
      <c r="A488" s="1" t="n">
        <v>46168</v>
      </c>
      <c r="B488" t="n">
        <v>485964</v>
      </c>
      <c r="C488" t="inlineStr">
        <is>
          <t>Józef Lewczak</t>
        </is>
      </c>
      <c r="D488" t="inlineStr">
        <is>
          <t>45041707192</t>
        </is>
      </c>
      <c r="E488" s="1" t="n">
        <v>46168</v>
      </c>
      <c r="F488" t="inlineStr">
        <is>
          <t>CITO-CITO</t>
        </is>
      </c>
      <c r="G488" t="inlineStr">
        <is>
          <t>TK</t>
        </is>
      </c>
      <c r="H488" t="inlineStr">
        <is>
          <t>Tomografia komputerowa - jama brzuszna i miednica bez kontrastu i z kontrastem dożylnym bez pojenia doustnego z wtórnym opracowa</t>
        </is>
      </c>
      <c r="I488" t="inlineStr">
        <is>
          <t>TK Zwykłe</t>
        </is>
      </c>
      <c r="J488" t="inlineStr">
        <is>
          <t>2 okolice anatomiczne</t>
        </is>
      </c>
      <c r="K488" t="inlineStr">
        <is>
          <t>Tomasz Bujalski</t>
        </is>
      </c>
      <c r="L488" t="inlineStr">
        <is>
          <t> </t>
        </is>
      </c>
      <c r="M488" t="inlineStr">
        <is>
          <t>Zespół Wojewódzkich Poradni Specjalistycznych</t>
        </is>
      </c>
      <c r="N488" t="inlineStr">
        <is>
          <t>Szpitalny Oddział Ratunkowy</t>
        </is>
      </c>
      <c r="O488" t="inlineStr">
        <is>
          <t>Anna Figiel</t>
        </is>
      </c>
      <c r="P488" t="n">
        <v>8738957</v>
      </c>
      <c r="Q488" t="inlineStr">
        <is>
          <t> </t>
        </is>
      </c>
      <c r="R488" t="inlineStr">
        <is>
          <t>szpitalopole</t>
        </is>
      </c>
      <c r="S488" s="1" t="n">
        <v>46168.34861111111</v>
      </c>
      <c r="T488" t="n">
        <v>0</v>
      </c>
      <c r="U488" t="inlineStr">
        <is>
          <t>BUJALSKI TOMASZ</t>
        </is>
      </c>
    </row>
    <row r="489">
      <c r="A489" s="1" t="n">
        <v>46168</v>
      </c>
      <c r="B489" t="n">
        <v>486022</v>
      </c>
      <c r="C489" t="inlineStr">
        <is>
          <t>Monika Pąklak</t>
        </is>
      </c>
      <c r="D489" t="inlineStr">
        <is>
          <t>38053103883</t>
        </is>
      </c>
      <c r="E489" s="1" t="n">
        <v>46168</v>
      </c>
      <c r="F489" t="inlineStr">
        <is>
          <t>CITO-CITO</t>
        </is>
      </c>
      <c r="G489" t="inlineStr">
        <is>
          <t>TK</t>
        </is>
      </c>
      <c r="H489" t="inlineStr">
        <is>
          <t>Tomografia komputerowa - głowa (mózgowie) bez kontrastu dożylnego z wtórnym opracowaniem</t>
        </is>
      </c>
      <c r="I489" t="inlineStr">
        <is>
          <t>TK Zwykłe</t>
        </is>
      </c>
      <c r="J489" t="inlineStr">
        <is>
          <t>1 okolica anatomiczna</t>
        </is>
      </c>
      <c r="K489" t="inlineStr">
        <is>
          <t>Tomasz Bujalski</t>
        </is>
      </c>
      <c r="L489" t="inlineStr">
        <is>
          <t> </t>
        </is>
      </c>
      <c r="M489" t="inlineStr">
        <is>
          <t>Zespół Wojewódzkich Poradni Specjalistycznych</t>
        </is>
      </c>
      <c r="N489" t="inlineStr">
        <is>
          <t>Szpitalny Oddział Ratunkowy</t>
        </is>
      </c>
      <c r="O489" t="inlineStr">
        <is>
          <t>Olena Yefimova</t>
        </is>
      </c>
      <c r="P489" t="n">
        <v>4549233</v>
      </c>
      <c r="Q489" t="inlineStr">
        <is>
          <t> </t>
        </is>
      </c>
      <c r="R489" t="inlineStr">
        <is>
          <t>szpitalopole</t>
        </is>
      </c>
      <c r="S489" s="1" t="n">
        <v>46168.40347222222</v>
      </c>
      <c r="T489" t="n">
        <v>0</v>
      </c>
      <c r="U489" t="inlineStr">
        <is>
          <t>BUJALSKI TOMASZ</t>
        </is>
      </c>
    </row>
    <row r="490">
      <c r="A490" s="1" t="n">
        <v>46168</v>
      </c>
      <c r="B490" t="n">
        <v>486044</v>
      </c>
      <c r="C490" t="inlineStr">
        <is>
          <t>Damian Rygol</t>
        </is>
      </c>
      <c r="D490" t="inlineStr">
        <is>
          <t>91123011530</t>
        </is>
      </c>
      <c r="E490" s="1" t="n">
        <v>46168</v>
      </c>
      <c r="F490" t="inlineStr">
        <is>
          <t>CITO-CITO</t>
        </is>
      </c>
      <c r="G490" t="inlineStr">
        <is>
          <t>TK</t>
        </is>
      </c>
      <c r="H490" t="inlineStr">
        <is>
          <t>Tomografia komputerowa - klatka piersiowa bez kontrastu i z kontrastem dożylnym z wtórnym opracowaniem</t>
        </is>
      </c>
      <c r="I490" t="inlineStr">
        <is>
          <t>TK Zwykłe</t>
        </is>
      </c>
      <c r="J490" t="inlineStr">
        <is>
          <t>1 okolica anatomiczna</t>
        </is>
      </c>
      <c r="K490" t="inlineStr">
        <is>
          <t>Tomasz Bujalski</t>
        </is>
      </c>
      <c r="L490" t="inlineStr">
        <is>
          <t> </t>
        </is>
      </c>
      <c r="M490" t="inlineStr">
        <is>
          <t>Zespół Wojewódzkich Poradni Specjalistycznych</t>
        </is>
      </c>
      <c r="N490" t="inlineStr">
        <is>
          <t>Szpitalny Oddział Ratunkowy</t>
        </is>
      </c>
      <c r="O490" t="inlineStr">
        <is>
          <t>Olena Yefimova</t>
        </is>
      </c>
      <c r="P490" t="n">
        <v>4549233</v>
      </c>
      <c r="Q490" t="inlineStr">
        <is>
          <t>J22</t>
        </is>
      </c>
      <c r="R490" t="inlineStr">
        <is>
          <t>szpitalopole</t>
        </is>
      </c>
      <c r="S490" s="1" t="n">
        <v>46168.44444444445</v>
      </c>
      <c r="T490" t="n">
        <v>0</v>
      </c>
      <c r="U490" t="inlineStr">
        <is>
          <t>BUJALSKI TOMASZ</t>
        </is>
      </c>
    </row>
    <row r="491">
      <c r="A491" s="1" t="n">
        <v>46169</v>
      </c>
      <c r="B491" t="n">
        <v>486446</v>
      </c>
      <c r="C491" t="inlineStr">
        <is>
          <t>Wiesław Bakalarz</t>
        </is>
      </c>
      <c r="D491" t="inlineStr">
        <is>
          <t>51112804615</t>
        </is>
      </c>
      <c r="E491" s="1" t="n">
        <v>46169</v>
      </c>
      <c r="F491" t="inlineStr">
        <is>
          <t>CITO-CITO</t>
        </is>
      </c>
      <c r="G491" t="inlineStr">
        <is>
          <t>TK</t>
        </is>
      </c>
      <c r="H491" t="inlineStr">
        <is>
          <t>TK - kręgosłupa piersiowego bez wz.kontrastowego</t>
        </is>
      </c>
      <c r="I491" t="inlineStr">
        <is>
          <t>TK Zwykłe</t>
        </is>
      </c>
      <c r="J491" t="inlineStr">
        <is>
          <t>1 okolica anatomiczna</t>
        </is>
      </c>
      <c r="K491" t="inlineStr">
        <is>
          <t>Tomasz Bujalski</t>
        </is>
      </c>
      <c r="L491" t="inlineStr">
        <is>
          <t> </t>
        </is>
      </c>
      <c r="M491" t="inlineStr">
        <is>
          <t>Zespół Wojewódzkich Poradni Specjalistycznych</t>
        </is>
      </c>
      <c r="N491" t="inlineStr">
        <is>
          <t>Szpitalny Oddział Ratunkowy</t>
        </is>
      </c>
      <c r="O491" t="inlineStr">
        <is>
          <t>Łukasz Jędrzejczyk</t>
        </is>
      </c>
      <c r="P491" t="n">
        <v>3405527</v>
      </c>
      <c r="Q491" t="inlineStr">
        <is>
          <t>C90.0</t>
        </is>
      </c>
      <c r="R491" t="inlineStr">
        <is>
          <t>szpitalopole</t>
        </is>
      </c>
      <c r="S491" s="1" t="n">
        <v>46169.62083333333</v>
      </c>
      <c r="T491" t="n">
        <v>0</v>
      </c>
      <c r="U491" t="inlineStr">
        <is>
          <t>BUJALSKI TOMASZ</t>
        </is>
      </c>
    </row>
    <row r="492">
      <c r="A492" s="1" t="n">
        <v>46169</v>
      </c>
      <c r="B492" t="n">
        <v>486448</v>
      </c>
      <c r="C492" t="inlineStr">
        <is>
          <t>Wiesław Bakalarz</t>
        </is>
      </c>
      <c r="D492" t="inlineStr">
        <is>
          <t>51112804615</t>
        </is>
      </c>
      <c r="E492" s="1" t="n">
        <v>46169</v>
      </c>
      <c r="F492" t="inlineStr">
        <is>
          <t>CITO-CITO</t>
        </is>
      </c>
      <c r="G492" t="inlineStr">
        <is>
          <t>TK</t>
        </is>
      </c>
      <c r="H492" t="inlineStr">
        <is>
          <t>TK - kręgosłupa lędźwiowo-krzyżowego bez wz.kontrastowego</t>
        </is>
      </c>
      <c r="I492" t="inlineStr">
        <is>
          <t>TK Zwykłe</t>
        </is>
      </c>
      <c r="J492" t="inlineStr">
        <is>
          <t>1 okolica anatomiczna</t>
        </is>
      </c>
      <c r="K492" t="inlineStr">
        <is>
          <t>Tomasz Bujalski</t>
        </is>
      </c>
      <c r="L492" t="inlineStr">
        <is>
          <t> </t>
        </is>
      </c>
      <c r="M492" t="inlineStr">
        <is>
          <t>Zespół Wojewódzkich Poradni Specjalistycznych</t>
        </is>
      </c>
      <c r="N492" t="inlineStr">
        <is>
          <t>Szpitalny Oddział Ratunkowy</t>
        </is>
      </c>
      <c r="O492" t="inlineStr">
        <is>
          <t>Łukasz Jędrzejczyk</t>
        </is>
      </c>
      <c r="P492" t="n">
        <v>3405527</v>
      </c>
      <c r="Q492" t="inlineStr">
        <is>
          <t>C90.0</t>
        </is>
      </c>
      <c r="R492" t="inlineStr">
        <is>
          <t>szpitalopole</t>
        </is>
      </c>
      <c r="S492" s="1" t="n">
        <v>46169.62291666667</v>
      </c>
      <c r="T492" t="n">
        <v>0</v>
      </c>
      <c r="U492" t="inlineStr">
        <is>
          <t>BUJALSKI TOMASZ</t>
        </is>
      </c>
    </row>
    <row r="493">
      <c r="A493" s="1" t="n">
        <v>46171</v>
      </c>
      <c r="B493" t="n">
        <v>486885</v>
      </c>
      <c r="C493" t="inlineStr">
        <is>
          <t>Arkadiusz Wołowiec</t>
        </is>
      </c>
      <c r="D493" t="inlineStr">
        <is>
          <t>78020316711</t>
        </is>
      </c>
      <c r="E493" s="1" t="n">
        <v>46171</v>
      </c>
      <c r="F493" t="inlineStr">
        <is>
          <t>CITO-CITO</t>
        </is>
      </c>
      <c r="G493" t="inlineStr">
        <is>
          <t>TK</t>
        </is>
      </c>
      <c r="H493" t="inlineStr">
        <is>
          <t>Tomografia komputerowa - jama brzuszna i miednica bez kontrastu i z kontrastem dożylnym bez pojenia doustnego z wtórnym opracowa</t>
        </is>
      </c>
      <c r="I493" t="inlineStr">
        <is>
          <t>TK Zwykłe</t>
        </is>
      </c>
      <c r="J493" t="inlineStr">
        <is>
          <t>2 okolice anatomiczne</t>
        </is>
      </c>
      <c r="K493" t="inlineStr">
        <is>
          <t>Tomasz Bujalski</t>
        </is>
      </c>
      <c r="L493" t="inlineStr">
        <is>
          <t> </t>
        </is>
      </c>
      <c r="M493" t="inlineStr">
        <is>
          <t>Zespół Wojewódzkich Poradni Specjalistycznych</t>
        </is>
      </c>
      <c r="N493" t="inlineStr">
        <is>
          <t>Szpitalny Oddział Ratunkowy</t>
        </is>
      </c>
      <c r="O493" t="inlineStr">
        <is>
          <t>Anna Figiel</t>
        </is>
      </c>
      <c r="P493" t="n">
        <v>8738957</v>
      </c>
      <c r="Q493" t="inlineStr">
        <is>
          <t>R10.3</t>
        </is>
      </c>
      <c r="R493" t="inlineStr">
        <is>
          <t>szpitalopole</t>
        </is>
      </c>
      <c r="S493" s="1" t="n">
        <v>46171.31736111111</v>
      </c>
      <c r="T493" t="n">
        <v>0</v>
      </c>
      <c r="U493" t="inlineStr">
        <is>
          <t>BUJALSKI TOMASZ</t>
        </is>
      </c>
    </row>
    <row r="494">
      <c r="A494" s="1" t="n">
        <v>46171</v>
      </c>
      <c r="B494" t="n">
        <v>486952</v>
      </c>
      <c r="C494" t="inlineStr">
        <is>
          <t>Małgorzata Dziemba</t>
        </is>
      </c>
      <c r="D494" t="inlineStr">
        <is>
          <t>71091912129</t>
        </is>
      </c>
      <c r="E494" s="1" t="n">
        <v>46171</v>
      </c>
      <c r="F494" t="inlineStr">
        <is>
          <t>CITO-CITO</t>
        </is>
      </c>
      <c r="G494" t="inlineStr">
        <is>
          <t>TK</t>
        </is>
      </c>
      <c r="H494" t="inlineStr">
        <is>
          <t>Tomografia komputerowa - twarzoczaszka bez kontrastu dożylnego z wtórnym opracowaniem</t>
        </is>
      </c>
      <c r="I494" t="inlineStr">
        <is>
          <t>TK Zwykłe</t>
        </is>
      </c>
      <c r="J494" t="inlineStr">
        <is>
          <t>1 okolica anatomiczna</t>
        </is>
      </c>
      <c r="K494" t="inlineStr">
        <is>
          <t>Tomasz Bujalski</t>
        </is>
      </c>
      <c r="L494" t="inlineStr">
        <is>
          <t> </t>
        </is>
      </c>
      <c r="M494" t="inlineStr">
        <is>
          <t>Zespół Wojewódzkich Poradni Specjalistycznych</t>
        </is>
      </c>
      <c r="N494" t="inlineStr">
        <is>
          <t>Szpitalny Oddział Ratunkowy</t>
        </is>
      </c>
      <c r="O494" t="inlineStr">
        <is>
          <t>Rafał Maciejewski</t>
        </is>
      </c>
      <c r="P494" t="n">
        <v>3950906</v>
      </c>
      <c r="Q494" t="inlineStr">
        <is>
          <t>S01.9</t>
        </is>
      </c>
      <c r="R494" t="inlineStr">
        <is>
          <t>szpitalopole</t>
        </is>
      </c>
      <c r="S494" s="1" t="n">
        <v>46171.38958333333</v>
      </c>
      <c r="T494" t="n">
        <v>0</v>
      </c>
      <c r="U494" t="inlineStr">
        <is>
          <t>BUJALSKI TOMASZ</t>
        </is>
      </c>
    </row>
    <row r="495">
      <c r="A495" s="1" t="n">
        <v>46172</v>
      </c>
      <c r="B495" t="n">
        <v>487101</v>
      </c>
      <c r="C495" t="inlineStr">
        <is>
          <t>Marek Szaforz</t>
        </is>
      </c>
      <c r="D495" t="inlineStr">
        <is>
          <t>92072306052</t>
        </is>
      </c>
      <c r="E495" s="1" t="n">
        <v>46172</v>
      </c>
      <c r="F495" t="inlineStr">
        <is>
          <t>CITO-CITO</t>
        </is>
      </c>
      <c r="G495" t="inlineStr">
        <is>
          <t>TK</t>
        </is>
      </c>
      <c r="H495" t="inlineStr">
        <is>
          <t>Angio TK - naczynia kończyn</t>
        </is>
      </c>
      <c r="I495" t="inlineStr">
        <is>
          <t>TK Angiografia</t>
        </is>
      </c>
      <c r="J495" t="inlineStr">
        <is>
          <t>2 okolice anatomiczne</t>
        </is>
      </c>
      <c r="K495" t="inlineStr">
        <is>
          <t>Tomasz Bujalski</t>
        </is>
      </c>
      <c r="L495" t="inlineStr">
        <is>
          <t> </t>
        </is>
      </c>
      <c r="M495" t="inlineStr">
        <is>
          <t>Zespół Wojewódzkich Poradni Specjalistycznych</t>
        </is>
      </c>
      <c r="N495" t="inlineStr">
        <is>
          <t>Szpitalny Oddział Ratunkowy</t>
        </is>
      </c>
      <c r="O495" t="inlineStr">
        <is>
          <t>Błażej Kuźniak</t>
        </is>
      </c>
      <c r="P495" t="n">
        <v>3355715</v>
      </c>
      <c r="Q495" t="inlineStr">
        <is>
          <t> </t>
        </is>
      </c>
      <c r="R495" t="inlineStr">
        <is>
          <t>szpitalopole</t>
        </is>
      </c>
      <c r="S495" s="1" t="n">
        <v>46172.57083333333</v>
      </c>
      <c r="T495" t="n">
        <v>0</v>
      </c>
      <c r="U495" t="inlineStr">
        <is>
          <t>BUJALSKI TOMASZ</t>
        </is>
      </c>
    </row>
    <row r="496">
      <c r="A496" s="1" t="n">
        <v>46150</v>
      </c>
      <c r="B496" t="inlineStr">
        <is>
          <t>3942363-7770502</t>
        </is>
      </c>
      <c r="C496" t="inlineStr">
        <is>
          <t>JANUSZ KAWULA</t>
        </is>
      </c>
      <c r="D496" t="n">
        <v>72071800696</v>
      </c>
      <c r="E496" s="1" t="n">
        <v>46106</v>
      </c>
      <c r="F496" t="inlineStr">
        <is>
          <t>Planowy</t>
        </is>
      </c>
      <c r="G496" t="inlineStr">
        <is>
          <t>MR</t>
        </is>
      </c>
      <c r="H496" t="inlineStr">
        <is>
          <t>RM miednicy, pęcherza, prostaty</t>
        </is>
      </c>
      <c r="I496" t="inlineStr">
        <is>
          <t>MR Inne - wtym prostata, miednica, jama brzuszna tkanki miekkie</t>
        </is>
      </c>
      <c r="J496" t="inlineStr">
        <is>
          <t>3 okolice anatomiczne</t>
        </is>
      </c>
      <c r="K496" t="inlineStr">
        <is>
          <t>Tomasz Bujalski</t>
        </is>
      </c>
      <c r="L496" t="inlineStr">
        <is>
          <t> </t>
        </is>
      </c>
      <c r="M496" t="inlineStr">
        <is>
          <t>Szpital Specjalistyczny im. Ludwika Rydygiera w Krakowie</t>
        </is>
      </c>
      <c r="N496" t="inlineStr">
        <is>
          <t>PORADNIA UROLOGICZNA</t>
        </is>
      </c>
      <c r="O496" t="inlineStr">
        <is>
          <t>WITOLD SMOLEŃSKI</t>
        </is>
      </c>
      <c r="P496" t="n">
        <v>2502335</v>
      </c>
      <c r="Q496" t="inlineStr">
        <is>
          <t>N39.8</t>
        </is>
      </c>
      <c r="R496" t="inlineStr">
        <is>
          <t>szpitalrydygier</t>
        </is>
      </c>
      <c r="S496" s="1" t="n">
        <v>46121.34236111111</v>
      </c>
      <c r="T496" t="n">
        <v>0</v>
      </c>
      <c r="U496" t="inlineStr">
        <is>
          <t>BUJALSKI TOMASZ</t>
        </is>
      </c>
    </row>
    <row r="497">
      <c r="A497" s="1" t="n">
        <v>46153</v>
      </c>
      <c r="B497" t="inlineStr">
        <is>
          <t>3786064-7439167</t>
        </is>
      </c>
      <c r="C497" t="inlineStr">
        <is>
          <t>KATARZYNA DRWAL-STRASZAK</t>
        </is>
      </c>
      <c r="D497" t="n">
        <v>69093004502</v>
      </c>
      <c r="E497" s="1" t="n">
        <v>46092</v>
      </c>
      <c r="F497" t="inlineStr">
        <is>
          <t>Planowy</t>
        </is>
      </c>
      <c r="G497" t="inlineStr">
        <is>
          <t>MR</t>
        </is>
      </c>
      <c r="H497" t="inlineStr">
        <is>
          <t>RM miednicy, pęcherza, prostaty</t>
        </is>
      </c>
      <c r="I497" t="inlineStr">
        <is>
          <t>MR Inne - wtym prostata, miednica, jama brzuszna tkanki miekkie</t>
        </is>
      </c>
      <c r="J497" t="inlineStr">
        <is>
          <t>3 okolice anatomiczne</t>
        </is>
      </c>
      <c r="K497" t="inlineStr">
        <is>
          <t>Tomasz Bujalski</t>
        </is>
      </c>
      <c r="L497" t="inlineStr">
        <is>
          <t> </t>
        </is>
      </c>
      <c r="M497" t="inlineStr">
        <is>
          <t>Szpital Specjalistyczny im. Ludwika Rydygiera w Krakowie</t>
        </is>
      </c>
      <c r="N497" t="inlineStr">
        <is>
          <t>PORADNIA UROLOGICZNA</t>
        </is>
      </c>
      <c r="O497" t="inlineStr">
        <is>
          <t>TOMASZ ZAJĄC</t>
        </is>
      </c>
      <c r="P497" t="n">
        <v>2359674</v>
      </c>
      <c r="Q497" t="inlineStr">
        <is>
          <t>N31.0</t>
        </is>
      </c>
      <c r="R497" t="inlineStr">
        <is>
          <t>szpitalrydygier</t>
        </is>
      </c>
      <c r="S497" s="1" t="n">
        <v>46121.30208333334</v>
      </c>
      <c r="T497" t="n">
        <v>3</v>
      </c>
      <c r="U497" t="inlineStr">
        <is>
          <t>BUJALSKI TOMASZ</t>
        </is>
      </c>
    </row>
    <row r="498">
      <c r="A498" s="1" t="n">
        <v>46153</v>
      </c>
      <c r="B498" t="inlineStr">
        <is>
          <t>3917534-7720749</t>
        </is>
      </c>
      <c r="C498" t="inlineStr">
        <is>
          <t>ZDZISŁAW CHMIEL</t>
        </is>
      </c>
      <c r="D498" t="n">
        <v>53030112353</v>
      </c>
      <c r="E498" s="1" t="n">
        <v>46092</v>
      </c>
      <c r="F498" t="inlineStr">
        <is>
          <t>Planowy</t>
        </is>
      </c>
      <c r="G498" t="inlineStr">
        <is>
          <t>MR</t>
        </is>
      </c>
      <c r="H498" t="inlineStr">
        <is>
          <t>RM miednicy, pęcherza, prostaty</t>
        </is>
      </c>
      <c r="I498" t="inlineStr">
        <is>
          <t>MR Onkologia</t>
        </is>
      </c>
      <c r="J498" t="inlineStr">
        <is>
          <t>3 okolice anatomiczne</t>
        </is>
      </c>
      <c r="K498" t="inlineStr">
        <is>
          <t>Tomasz Bujalski</t>
        </is>
      </c>
      <c r="L498" t="inlineStr">
        <is>
          <t> </t>
        </is>
      </c>
      <c r="M498" t="inlineStr">
        <is>
          <t>Szpital Specjalistyczny im. Ludwika Rydygiera w Krakowie</t>
        </is>
      </c>
      <c r="N498" t="inlineStr">
        <is>
          <t>Poradnia radioterapii (Rydygier)</t>
        </is>
      </c>
      <c r="O498" t="inlineStr">
        <is>
          <t>MARTA URBAŃSKA-GĄSIOROWSKA</t>
        </is>
      </c>
      <c r="P498" t="n">
        <v>5620012</v>
      </c>
      <c r="Q498" t="inlineStr">
        <is>
          <t> </t>
        </is>
      </c>
      <c r="R498" t="inlineStr">
        <is>
          <t>szpitalrydygier</t>
        </is>
      </c>
      <c r="S498" s="1" t="n">
        <v>46121.3</v>
      </c>
      <c r="T498" t="n">
        <v>0</v>
      </c>
      <c r="U498" t="inlineStr">
        <is>
          <t>BUJALSKI TOMASZ</t>
        </is>
      </c>
    </row>
    <row r="499">
      <c r="A499" s="1" t="n">
        <v>46153</v>
      </c>
      <c r="B499" t="inlineStr">
        <is>
          <t>4057560-8005531</t>
        </is>
      </c>
      <c r="C499" t="inlineStr">
        <is>
          <t>RENATA ŁĄCKA</t>
        </is>
      </c>
      <c r="D499" t="n">
        <v>62082403982</v>
      </c>
      <c r="E499" s="1" t="n">
        <v>46135</v>
      </c>
      <c r="F499" t="inlineStr">
        <is>
          <t>Planowy</t>
        </is>
      </c>
      <c r="G499" t="inlineStr">
        <is>
          <t>MR</t>
        </is>
      </c>
      <c r="H499" t="inlineStr">
        <is>
          <t>RM miednicy, pęcherza, prostaty</t>
        </is>
      </c>
      <c r="I499" t="inlineStr">
        <is>
          <t>MR Onkologia</t>
        </is>
      </c>
      <c r="J499" t="inlineStr">
        <is>
          <t>3 okolice anatomiczne</t>
        </is>
      </c>
      <c r="K499" t="inlineStr">
        <is>
          <t>Tomasz Bujalski</t>
        </is>
      </c>
      <c r="L499" t="inlineStr">
        <is>
          <t> </t>
        </is>
      </c>
      <c r="M499" t="inlineStr">
        <is>
          <t>Szpital Specjalistyczny im. Ludwika Rydygiera w Krakowie</t>
        </is>
      </c>
      <c r="N499" t="inlineStr">
        <is>
          <t>PORADNIA ONKOLOGII KLINICZNEJ</t>
        </is>
      </c>
      <c r="O499" t="inlineStr">
        <is>
          <t>MAŁGORZATA GĄSIOREK</t>
        </is>
      </c>
      <c r="P499" t="n">
        <v>2391114</v>
      </c>
      <c r="Q499" t="inlineStr">
        <is>
          <t> </t>
        </is>
      </c>
      <c r="R499" t="inlineStr">
        <is>
          <t>szpitalrydygier</t>
        </is>
      </c>
      <c r="S499" s="1" t="n">
        <v>46141.35625</v>
      </c>
      <c r="T499" t="n">
        <v>3</v>
      </c>
      <c r="U499" t="inlineStr">
        <is>
          <t>BUJALSKI TOMASZ</t>
        </is>
      </c>
    </row>
    <row r="500">
      <c r="A500" s="1" t="n">
        <v>46153</v>
      </c>
      <c r="B500" t="inlineStr">
        <is>
          <t>4248966-8391321</t>
        </is>
      </c>
      <c r="C500" t="inlineStr">
        <is>
          <t>ELŻBIETA LEŚNIAK</t>
        </is>
      </c>
      <c r="D500" t="n">
        <v>69090700982</v>
      </c>
      <c r="E500" s="1" t="n">
        <v>46106</v>
      </c>
      <c r="F500" t="inlineStr">
        <is>
          <t>Planowy</t>
        </is>
      </c>
      <c r="G500" t="inlineStr">
        <is>
          <t>MR</t>
        </is>
      </c>
      <c r="H500" t="inlineStr">
        <is>
          <t>RM miednicy, pęcherza, prostaty</t>
        </is>
      </c>
      <c r="I500" t="inlineStr">
        <is>
          <t>MR Inne - wtym prostata, miednica, jama brzuszna tkanki miekkie</t>
        </is>
      </c>
      <c r="J500" t="inlineStr">
        <is>
          <t>3 okolice anatomiczne</t>
        </is>
      </c>
      <c r="K500" t="inlineStr">
        <is>
          <t>Tomasz Bujalski</t>
        </is>
      </c>
      <c r="L500" t="inlineStr">
        <is>
          <t> </t>
        </is>
      </c>
      <c r="M500" t="inlineStr">
        <is>
          <t>Szpital Specjalistyczny im. Ludwika Rydygiera w Krakowie</t>
        </is>
      </c>
      <c r="N500" t="inlineStr">
        <is>
          <t>PORADNIA UROLOGICZNA</t>
        </is>
      </c>
      <c r="O500" t="inlineStr">
        <is>
          <t>JAKUB WÓJTOWICZ</t>
        </is>
      </c>
      <c r="P500" t="n">
        <v>2895216</v>
      </c>
      <c r="Q500" t="inlineStr">
        <is>
          <t> </t>
        </is>
      </c>
      <c r="R500" t="inlineStr">
        <is>
          <t>szpitalrydygier</t>
        </is>
      </c>
      <c r="S500" s="1" t="n">
        <v>46121.3625</v>
      </c>
      <c r="T500" t="n">
        <v>0</v>
      </c>
      <c r="U500" t="inlineStr">
        <is>
          <t>BUJALSKI TOMASZ</t>
        </is>
      </c>
    </row>
    <row r="501">
      <c r="A501" s="1" t="n">
        <v>46150</v>
      </c>
      <c r="B501" t="inlineStr">
        <is>
          <t>CN10551375</t>
        </is>
      </c>
      <c r="C501" t="inlineStr">
        <is>
          <t>Stanisław FOLFAS</t>
        </is>
      </c>
      <c r="D501" t="n">
        <v>43052100939</v>
      </c>
      <c r="E501" s="1" t="n">
        <v>46150</v>
      </c>
      <c r="F501" t="inlineStr">
        <is>
          <t>CITO-CITO</t>
        </is>
      </c>
      <c r="G501" t="inlineStr">
        <is>
          <t>TK</t>
        </is>
      </c>
      <c r="H501" t="inlineStr">
        <is>
          <t>Badanie TK głowy bez wzmocnienia konstrastowego</t>
        </is>
      </c>
      <c r="I501" t="inlineStr">
        <is>
          <t>TK Zwykłe</t>
        </is>
      </c>
      <c r="J501" t="inlineStr">
        <is>
          <t>1 okolica anatomiczna</t>
        </is>
      </c>
      <c r="K501" t="inlineStr">
        <is>
          <t>Tomasz Bujalski</t>
        </is>
      </c>
      <c r="L501" t="inlineStr">
        <is>
          <t> </t>
        </is>
      </c>
      <c r="M501" t="inlineStr">
        <is>
          <t>SZPITAL POWIATOWY IM. DR TYTUSA CHAŁUBIŃSKIEGO W ZAKOPANEM</t>
        </is>
      </c>
      <c r="N501" t="inlineStr">
        <is>
          <t>Oddział Kardiologiczny</t>
        </is>
      </c>
      <c r="O501" t="inlineStr">
        <is>
          <t>Marcin Majerczyk</t>
        </is>
      </c>
      <c r="P501" t="inlineStr">
        <is>
          <t>3213105</t>
        </is>
      </c>
      <c r="Q501" t="inlineStr">
        <is>
          <t>I26.0</t>
        </is>
      </c>
      <c r="R501" t="inlineStr">
        <is>
          <t>szpitalzakopane</t>
        </is>
      </c>
      <c r="S501" s="1" t="n">
        <v>46150.43472222222</v>
      </c>
      <c r="T501" t="n">
        <v>0</v>
      </c>
      <c r="U501" t="inlineStr">
        <is>
          <t>BUJALSKI TOMASZ</t>
        </is>
      </c>
    </row>
    <row r="502">
      <c r="A502" s="1" t="n">
        <v>46151</v>
      </c>
      <c r="B502" t="inlineStr">
        <is>
          <t>CN10553579</t>
        </is>
      </c>
      <c r="C502" t="inlineStr">
        <is>
          <t>STANISŁAW CHYC</t>
        </is>
      </c>
      <c r="D502" t="n">
        <v>31070610112</v>
      </c>
      <c r="E502" s="1" t="n">
        <v>46151</v>
      </c>
      <c r="F502" t="inlineStr">
        <is>
          <t>CITO-CITO</t>
        </is>
      </c>
      <c r="G502" t="inlineStr">
        <is>
          <t>TK</t>
        </is>
      </c>
      <c r="H502" t="inlineStr">
        <is>
          <t>Badanie TK głowy bez wzmocnienia konstrastowego</t>
        </is>
      </c>
      <c r="I502" t="inlineStr">
        <is>
          <t>TK Zwykłe</t>
        </is>
      </c>
      <c r="J502" t="inlineStr">
        <is>
          <t>1 okolica anatomiczna</t>
        </is>
      </c>
      <c r="K502" t="inlineStr">
        <is>
          <t>Tomasz Bujalski</t>
        </is>
      </c>
      <c r="L502" t="inlineStr">
        <is>
          <t> </t>
        </is>
      </c>
      <c r="M502" t="inlineStr">
        <is>
          <t>SZPITAL POWIATOWY IM. DR TYTUSA CHAŁUBIŃSKIEGO W ZAKOPANEM</t>
        </is>
      </c>
      <c r="N502" t="inlineStr">
        <is>
          <t>Oddział Kardiologiczny</t>
        </is>
      </c>
      <c r="O502" t="inlineStr">
        <is>
          <t>Dagmara STOLARCZYK</t>
        </is>
      </c>
      <c r="P502" t="inlineStr">
        <is>
          <t>3032405</t>
        </is>
      </c>
      <c r="Q502" t="inlineStr">
        <is>
          <t> </t>
        </is>
      </c>
      <c r="R502" t="inlineStr">
        <is>
          <t>szpitalzakopane</t>
        </is>
      </c>
      <c r="S502" s="1" t="n">
        <v>46151.61875</v>
      </c>
      <c r="T502" t="n">
        <v>0</v>
      </c>
      <c r="U502" t="inlineStr">
        <is>
          <t>BUJALSKI TOMASZ</t>
        </is>
      </c>
    </row>
    <row r="503">
      <c r="A503" s="1" t="n">
        <v>46151</v>
      </c>
      <c r="B503" t="inlineStr">
        <is>
          <t>CN10553761</t>
        </is>
      </c>
      <c r="C503" t="inlineStr">
        <is>
          <t>ALIAKSANDR PILIPCHUK</t>
        </is>
      </c>
      <c r="D503" t="n">
        <v>92031919033</v>
      </c>
      <c r="E503" s="1" t="n">
        <v>46151</v>
      </c>
      <c r="F503" t="inlineStr">
        <is>
          <t>CITO-CITO</t>
        </is>
      </c>
      <c r="G503" t="inlineStr">
        <is>
          <t>TK</t>
        </is>
      </c>
      <c r="H503" t="inlineStr">
        <is>
          <t>TK klatki piersiowej bez i ze wzmocnieniem kontrastowym</t>
        </is>
      </c>
      <c r="I503" t="inlineStr">
        <is>
          <t>TK Onkologia</t>
        </is>
      </c>
      <c r="J503" t="inlineStr">
        <is>
          <t>1 okolica anatomiczna</t>
        </is>
      </c>
      <c r="K503" t="inlineStr">
        <is>
          <t>Tomasz Bujalski</t>
        </is>
      </c>
      <c r="L503" t="inlineStr">
        <is>
          <t> </t>
        </is>
      </c>
      <c r="M503" t="inlineStr">
        <is>
          <t>SZPITAL POWIATOWY IM. DR TYTUSA CHAŁUBIŃSKIEGO W ZAKOPANEM</t>
        </is>
      </c>
      <c r="N503" t="inlineStr">
        <is>
          <t>Szpitalny Oddział Ratunkowy</t>
        </is>
      </c>
      <c r="O503" t="inlineStr">
        <is>
          <t>Dariusz Tumulec</t>
        </is>
      </c>
      <c r="P503" t="inlineStr">
        <is>
          <t>7179500</t>
        </is>
      </c>
      <c r="Q503" t="inlineStr">
        <is>
          <t> </t>
        </is>
      </c>
      <c r="R503" t="inlineStr">
        <is>
          <t>szpitalzakopane</t>
        </is>
      </c>
      <c r="S503" s="1" t="n">
        <v>46151.59513888889</v>
      </c>
      <c r="T503" t="n">
        <v>0</v>
      </c>
      <c r="U503" t="inlineStr">
        <is>
          <t>BUJALSKI TOMASZ</t>
        </is>
      </c>
    </row>
    <row r="504">
      <c r="A504" s="1" t="n">
        <v>46158</v>
      </c>
      <c r="B504" t="inlineStr">
        <is>
          <t>CN10573990</t>
        </is>
      </c>
      <c r="C504" t="inlineStr">
        <is>
          <t>WIESŁAWA JAŹWIŃSKA-MIĘTUS</t>
        </is>
      </c>
      <c r="D504" t="n">
        <v>57050705447</v>
      </c>
      <c r="E504" s="1" t="n">
        <v>46158</v>
      </c>
      <c r="F504" t="inlineStr">
        <is>
          <t>CITO-CITO</t>
        </is>
      </c>
      <c r="G504" t="inlineStr">
        <is>
          <t>TK</t>
        </is>
      </c>
      <c r="H504" t="inlineStr">
        <is>
          <t>Badanie TK angio głowy ze wzmocnieniem kontrastowym</t>
        </is>
      </c>
      <c r="I504" t="inlineStr">
        <is>
          <t>TK Angiografia</t>
        </is>
      </c>
      <c r="J504" t="inlineStr">
        <is>
          <t>1 okolica anatomiczna</t>
        </is>
      </c>
      <c r="K504" t="inlineStr">
        <is>
          <t>Tomasz Bujalski</t>
        </is>
      </c>
      <c r="L504" t="inlineStr">
        <is>
          <t> </t>
        </is>
      </c>
      <c r="M504" t="inlineStr">
        <is>
          <t>SZPITAL POWIATOWY IM. DR TYTUSA CHAŁUBIŃSKIEGO W ZAKOPANEM</t>
        </is>
      </c>
      <c r="N504" t="inlineStr">
        <is>
          <t>Szpitalny Oddział Ratunkowy</t>
        </is>
      </c>
      <c r="O504" t="inlineStr">
        <is>
          <t>Paweł CUPRYN</t>
        </is>
      </c>
      <c r="P504" t="inlineStr">
        <is>
          <t>3480216</t>
        </is>
      </c>
      <c r="Q504" t="inlineStr">
        <is>
          <t>J32.0</t>
        </is>
      </c>
      <c r="R504" t="inlineStr">
        <is>
          <t>szpitalzakopane</t>
        </is>
      </c>
      <c r="S504" s="1" t="n">
        <v>46158.61180555556</v>
      </c>
      <c r="T504" t="n">
        <v>0</v>
      </c>
      <c r="U504" t="inlineStr">
        <is>
          <t>BUJALSKI TOMASZ</t>
        </is>
      </c>
    </row>
    <row r="505">
      <c r="A505" s="1" t="n">
        <v>46158</v>
      </c>
      <c r="B505" t="inlineStr">
        <is>
          <t>CN10573991</t>
        </is>
      </c>
      <c r="C505" t="inlineStr">
        <is>
          <t>WIESŁAWA JAŹWIŃSKA-MIĘTUS</t>
        </is>
      </c>
      <c r="D505" t="n">
        <v>57050705447</v>
      </c>
      <c r="E505" s="1" t="n">
        <v>46158</v>
      </c>
      <c r="F505" t="inlineStr">
        <is>
          <t>CITO-CITO</t>
        </is>
      </c>
      <c r="G505" t="inlineStr">
        <is>
          <t>TK</t>
        </is>
      </c>
      <c r="H505" t="inlineStr">
        <is>
          <t>Badanie TK angio tętnic szyjnych</t>
        </is>
      </c>
      <c r="I505" t="inlineStr">
        <is>
          <t>TK Angiografia</t>
        </is>
      </c>
      <c r="J505" t="inlineStr">
        <is>
          <t>1 okolica anatomiczna</t>
        </is>
      </c>
      <c r="K505" t="inlineStr">
        <is>
          <t>Tomasz Bujalski</t>
        </is>
      </c>
      <c r="L505" t="inlineStr">
        <is>
          <t> </t>
        </is>
      </c>
      <c r="M505" t="inlineStr">
        <is>
          <t>SZPITAL POWIATOWY IM. DR TYTUSA CHAŁUBIŃSKIEGO W ZAKOPANEM</t>
        </is>
      </c>
      <c r="N505" t="inlineStr">
        <is>
          <t>Szpitalny Oddział Ratunkowy</t>
        </is>
      </c>
      <c r="O505" t="inlineStr">
        <is>
          <t>Paweł CUPRYN</t>
        </is>
      </c>
      <c r="P505" t="inlineStr">
        <is>
          <t>3480216</t>
        </is>
      </c>
      <c r="Q505" t="inlineStr">
        <is>
          <t>J32.0</t>
        </is>
      </c>
      <c r="R505" t="inlineStr">
        <is>
          <t>szpitalzakopane</t>
        </is>
      </c>
      <c r="S505" s="1" t="n">
        <v>46158.61111111111</v>
      </c>
      <c r="T505" t="n">
        <v>0</v>
      </c>
      <c r="U505" t="inlineStr">
        <is>
          <t>BUJALSKI TOMASZ</t>
        </is>
      </c>
    </row>
    <row r="506">
      <c r="A506" s="1" t="n">
        <v>46158</v>
      </c>
      <c r="B506" t="inlineStr">
        <is>
          <t>CN10574081</t>
        </is>
      </c>
      <c r="C506" t="inlineStr">
        <is>
          <t>TOMASZ KRZYSIK</t>
        </is>
      </c>
      <c r="D506" t="n">
        <v>83072113612</v>
      </c>
      <c r="E506" s="1" t="n">
        <v>46158</v>
      </c>
      <c r="F506" t="inlineStr">
        <is>
          <t>CITO-CITO</t>
        </is>
      </c>
      <c r="G506" t="inlineStr">
        <is>
          <t>TK</t>
        </is>
      </c>
      <c r="H506" t="inlineStr">
        <is>
          <t>Badanie TK głowy bez wzmocnienia konstrastowego</t>
        </is>
      </c>
      <c r="I506" t="inlineStr">
        <is>
          <t>TK Zwykłe</t>
        </is>
      </c>
      <c r="J506" t="inlineStr">
        <is>
          <t>1 okolica anatomiczna</t>
        </is>
      </c>
      <c r="K506" t="inlineStr">
        <is>
          <t>Tomasz Bujalski</t>
        </is>
      </c>
      <c r="L506" t="inlineStr">
        <is>
          <t> </t>
        </is>
      </c>
      <c r="M506" t="inlineStr">
        <is>
          <t>SZPITAL POWIATOWY IM. DR TYTUSA CHAŁUBIŃSKIEGO W ZAKOPANEM</t>
        </is>
      </c>
      <c r="N506" t="inlineStr">
        <is>
          <t>Szpitalny Oddział Ratunkowy</t>
        </is>
      </c>
      <c r="O506" t="inlineStr">
        <is>
          <t>Paweł CUPRYN</t>
        </is>
      </c>
      <c r="P506" t="inlineStr">
        <is>
          <t>3480216</t>
        </is>
      </c>
      <c r="Q506" t="inlineStr">
        <is>
          <t> </t>
        </is>
      </c>
      <c r="R506" t="inlineStr">
        <is>
          <t>szpitalzakopane</t>
        </is>
      </c>
      <c r="S506" s="1" t="n">
        <v>46158.59583333333</v>
      </c>
      <c r="T506" t="n">
        <v>0</v>
      </c>
      <c r="U506" t="inlineStr">
        <is>
          <t>BUJALSKI TOMASZ</t>
        </is>
      </c>
    </row>
    <row r="507">
      <c r="A507" s="1" t="n">
        <v>46167</v>
      </c>
      <c r="B507" t="inlineStr">
        <is>
          <t>CN10595930</t>
        </is>
      </c>
      <c r="C507" t="inlineStr">
        <is>
          <t>MARCIN KUKUC</t>
        </is>
      </c>
      <c r="D507" t="n">
        <v>88041013212</v>
      </c>
      <c r="E507" s="1" t="n">
        <v>46167</v>
      </c>
      <c r="F507" t="inlineStr">
        <is>
          <t>CITO-CITO</t>
        </is>
      </c>
      <c r="G507" t="inlineStr">
        <is>
          <t>TK</t>
        </is>
      </c>
      <c r="H507" t="inlineStr">
        <is>
          <t>Badanie TK głowy bez wzmocnienia konstrastowego</t>
        </is>
      </c>
      <c r="I507" t="inlineStr">
        <is>
          <t>TK Zwykłe</t>
        </is>
      </c>
      <c r="J507" t="inlineStr">
        <is>
          <t>1 okolica anatomiczna</t>
        </is>
      </c>
      <c r="K507" t="inlineStr">
        <is>
          <t>Tomasz Bujalski</t>
        </is>
      </c>
      <c r="L507" t="inlineStr">
        <is>
          <t> </t>
        </is>
      </c>
      <c r="M507" t="inlineStr">
        <is>
          <t>SZPITAL POWIATOWY IM. DR TYTUSA CHAŁUBIŃSKIEGO W ZAKOPANEM</t>
        </is>
      </c>
      <c r="N507" t="inlineStr">
        <is>
          <t>Oddział Chirurgii Urazowo-Ortopedycznej</t>
        </is>
      </c>
      <c r="O507" t="inlineStr">
        <is>
          <t>Grzegorz FRYDA</t>
        </is>
      </c>
      <c r="P507" t="inlineStr">
        <is>
          <t>2643859</t>
        </is>
      </c>
      <c r="Q507" t="inlineStr">
        <is>
          <t>T06.8</t>
        </is>
      </c>
      <c r="R507" t="inlineStr">
        <is>
          <t>szpitalzakopane</t>
        </is>
      </c>
      <c r="S507" s="1" t="n">
        <v>46167.30138888889</v>
      </c>
      <c r="T507" t="n">
        <v>0</v>
      </c>
      <c r="U507" t="inlineStr">
        <is>
          <t>BUJALSKI TOMASZ</t>
        </is>
      </c>
    </row>
    <row r="508">
      <c r="A508" s="1" t="n">
        <v>46169</v>
      </c>
      <c r="B508" t="inlineStr">
        <is>
          <t>CN10603437</t>
        </is>
      </c>
      <c r="C508" t="inlineStr">
        <is>
          <t>LUCYNA SOŁTYS</t>
        </is>
      </c>
      <c r="D508" t="n">
        <v>70121200841</v>
      </c>
      <c r="E508" s="1" t="n">
        <v>46169</v>
      </c>
      <c r="F508" t="inlineStr">
        <is>
          <t>CITO-CITO</t>
        </is>
      </c>
      <c r="G508" t="inlineStr">
        <is>
          <t>TK</t>
        </is>
      </c>
      <c r="H508" t="inlineStr">
        <is>
          <t>Badanie TK jamy brzusznej bez i ze wzmocnieniem kontrastowym - wielofazowe</t>
        </is>
      </c>
      <c r="I508" t="inlineStr">
        <is>
          <t>TK Zwykłe</t>
        </is>
      </c>
      <c r="J508" t="inlineStr">
        <is>
          <t>1 okolica anatomiczna</t>
        </is>
      </c>
      <c r="K508" t="inlineStr">
        <is>
          <t>Tomasz Bujalski</t>
        </is>
      </c>
      <c r="L508" t="inlineStr">
        <is>
          <t> </t>
        </is>
      </c>
      <c r="M508" t="inlineStr">
        <is>
          <t>SZPITAL POWIATOWY IM. DR TYTUSA CHAŁUBIŃSKIEGO W ZAKOPANEM</t>
        </is>
      </c>
      <c r="N508" t="inlineStr">
        <is>
          <t>Oddział Chirurgiczny Ogólny</t>
        </is>
      </c>
      <c r="O508" t="inlineStr">
        <is>
          <t>IRMINA JASZCZUK</t>
        </is>
      </c>
      <c r="P508" t="inlineStr">
        <is>
          <t>4615635</t>
        </is>
      </c>
      <c r="Q508" t="inlineStr">
        <is>
          <t> </t>
        </is>
      </c>
      <c r="R508" t="inlineStr">
        <is>
          <t>szpitalzakopane</t>
        </is>
      </c>
      <c r="S508" s="1" t="n">
        <v>46169.60902777778</v>
      </c>
      <c r="T508" t="n">
        <v>0</v>
      </c>
      <c r="U508" t="inlineStr">
        <is>
          <t>BUJALSKI TOMASZ</t>
        </is>
      </c>
    </row>
    <row r="509">
      <c r="A509" s="1" t="n">
        <v>46169</v>
      </c>
      <c r="B509" t="inlineStr">
        <is>
          <t>CN10603438</t>
        </is>
      </c>
      <c r="C509" t="inlineStr">
        <is>
          <t>LUCYNA SOŁTYS</t>
        </is>
      </c>
      <c r="D509" t="n">
        <v>70121200841</v>
      </c>
      <c r="E509" s="1" t="n">
        <v>46169</v>
      </c>
      <c r="F509" t="inlineStr">
        <is>
          <t>CITO-CITO</t>
        </is>
      </c>
      <c r="G509" t="inlineStr">
        <is>
          <t>TK</t>
        </is>
      </c>
      <c r="H509" t="inlineStr">
        <is>
          <t>Badanie TK miednicy małej bez i ze wzmocnieniem kontrastowym - wielofazowe</t>
        </is>
      </c>
      <c r="I509" t="inlineStr">
        <is>
          <t>TK Zwykłe</t>
        </is>
      </c>
      <c r="J509" t="inlineStr">
        <is>
          <t>1 okolica anatomiczna</t>
        </is>
      </c>
      <c r="K509" t="inlineStr">
        <is>
          <t>Tomasz Bujalski</t>
        </is>
      </c>
      <c r="L509" t="inlineStr">
        <is>
          <t> </t>
        </is>
      </c>
      <c r="M509" t="inlineStr">
        <is>
          <t>SZPITAL POWIATOWY IM. DR TYTUSA CHAŁUBIŃSKIEGO W ZAKOPANEM</t>
        </is>
      </c>
      <c r="N509" t="inlineStr">
        <is>
          <t>Oddział Chirurgiczny Ogólny</t>
        </is>
      </c>
      <c r="O509" t="inlineStr">
        <is>
          <t>IRMINA JASZCZUK</t>
        </is>
      </c>
      <c r="P509" t="inlineStr">
        <is>
          <t>4615635</t>
        </is>
      </c>
      <c r="Q509" t="inlineStr">
        <is>
          <t> </t>
        </is>
      </c>
      <c r="R509" t="inlineStr">
        <is>
          <t>szpitalzakopane</t>
        </is>
      </c>
      <c r="S509" s="1" t="n">
        <v>46169.60902777778</v>
      </c>
      <c r="T509" t="n">
        <v>0</v>
      </c>
      <c r="U509" t="inlineStr">
        <is>
          <t>BUJALSKI TOMASZ</t>
        </is>
      </c>
    </row>
    <row r="510">
      <c r="A510" s="1" t="n">
        <v>46169</v>
      </c>
      <c r="B510" t="inlineStr">
        <is>
          <t>CN10603448</t>
        </is>
      </c>
      <c r="C510" t="inlineStr">
        <is>
          <t>MAREK CIĘCIAŁA</t>
        </is>
      </c>
      <c r="D510" t="n">
        <v>53042101433</v>
      </c>
      <c r="E510" s="1" t="n">
        <v>46169</v>
      </c>
      <c r="F510" t="inlineStr">
        <is>
          <t>CITO-CITO</t>
        </is>
      </c>
      <c r="G510" t="inlineStr">
        <is>
          <t>TK</t>
        </is>
      </c>
      <c r="H510" t="inlineStr">
        <is>
          <t>Badanie TK jamy brzusznej bez i ze wzmocnieniem kontrastowym - wielofazowe</t>
        </is>
      </c>
      <c r="I510" t="inlineStr">
        <is>
          <t>TK Zwykłe</t>
        </is>
      </c>
      <c r="J510" t="inlineStr">
        <is>
          <t>1 okolica anatomiczna</t>
        </is>
      </c>
      <c r="K510" t="inlineStr">
        <is>
          <t>Tomasz Bujalski</t>
        </is>
      </c>
      <c r="L510" t="inlineStr">
        <is>
          <t> </t>
        </is>
      </c>
      <c r="M510" t="inlineStr">
        <is>
          <t>SZPITAL POWIATOWY IM. DR TYTUSA CHAŁUBIŃSKIEGO W ZAKOPANEM</t>
        </is>
      </c>
      <c r="N510" t="inlineStr">
        <is>
          <t>Oddział Chirurgiczny Ogólny</t>
        </is>
      </c>
      <c r="O510" t="inlineStr">
        <is>
          <t>IRMINA JASZCZUK</t>
        </is>
      </c>
      <c r="P510" t="inlineStr">
        <is>
          <t>4615635</t>
        </is>
      </c>
      <c r="Q510" t="inlineStr">
        <is>
          <t> </t>
        </is>
      </c>
      <c r="R510" t="inlineStr">
        <is>
          <t>szpitalzakopane</t>
        </is>
      </c>
      <c r="S510" s="1" t="n">
        <v>46169.57291666666</v>
      </c>
      <c r="T510" t="n">
        <v>0</v>
      </c>
      <c r="U510" t="inlineStr">
        <is>
          <t>BUJALSKI TOMASZ</t>
        </is>
      </c>
    </row>
    <row r="511">
      <c r="A511" s="1" t="n">
        <v>46169</v>
      </c>
      <c r="B511" t="inlineStr">
        <is>
          <t>CN10603449</t>
        </is>
      </c>
      <c r="C511" t="inlineStr">
        <is>
          <t>MAREK CIĘCIAŁA</t>
        </is>
      </c>
      <c r="D511" t="n">
        <v>53042101433</v>
      </c>
      <c r="E511" s="1" t="n">
        <v>46169</v>
      </c>
      <c r="F511" t="inlineStr">
        <is>
          <t>CITO-CITO</t>
        </is>
      </c>
      <c r="G511" t="inlineStr">
        <is>
          <t>TK</t>
        </is>
      </c>
      <c r="H511" t="inlineStr">
        <is>
          <t>Badanie TK miednicy małej bez i ze wzmocnieniem kontrastowym - wielofazowe</t>
        </is>
      </c>
      <c r="I511" t="inlineStr">
        <is>
          <t>TK Zwykłe</t>
        </is>
      </c>
      <c r="J511" t="inlineStr">
        <is>
          <t>1 okolica anatomiczna</t>
        </is>
      </c>
      <c r="K511" t="inlineStr">
        <is>
          <t>Tomasz Bujalski</t>
        </is>
      </c>
      <c r="L511" t="inlineStr">
        <is>
          <t> </t>
        </is>
      </c>
      <c r="M511" t="inlineStr">
        <is>
          <t>SZPITAL POWIATOWY IM. DR TYTUSA CHAŁUBIŃSKIEGO W ZAKOPANEM</t>
        </is>
      </c>
      <c r="N511" t="inlineStr">
        <is>
          <t>Oddział Chirurgiczny Ogólny</t>
        </is>
      </c>
      <c r="O511" t="inlineStr">
        <is>
          <t>IRMINA JASZCZUK</t>
        </is>
      </c>
      <c r="P511" t="inlineStr">
        <is>
          <t>4615635</t>
        </is>
      </c>
      <c r="Q511" t="inlineStr">
        <is>
          <t> </t>
        </is>
      </c>
      <c r="R511" t="inlineStr">
        <is>
          <t>szpitalzakopane</t>
        </is>
      </c>
      <c r="S511" s="1" t="n">
        <v>46169.57222222222</v>
      </c>
      <c r="T511" t="n">
        <v>0</v>
      </c>
      <c r="U511" t="inlineStr">
        <is>
          <t>BUJALSKI TOMASZ</t>
        </is>
      </c>
    </row>
    <row r="512">
      <c r="A512" s="1" t="n">
        <v>46170</v>
      </c>
      <c r="B512" t="inlineStr">
        <is>
          <t>CN10606051</t>
        </is>
      </c>
      <c r="C512" t="inlineStr">
        <is>
          <t>WIESŁAW KRASOŃ</t>
        </is>
      </c>
      <c r="D512" t="n">
        <v>59011307532</v>
      </c>
      <c r="E512" s="1" t="n">
        <v>46170</v>
      </c>
      <c r="F512" t="inlineStr">
        <is>
          <t>CITO-CITO</t>
        </is>
      </c>
      <c r="G512" t="inlineStr">
        <is>
          <t>TK</t>
        </is>
      </c>
      <c r="H512" t="inlineStr">
        <is>
          <t>TK kręgosłupa piersiowego bez wzmocnienia kontrastowego</t>
        </is>
      </c>
      <c r="I512" t="inlineStr">
        <is>
          <t>TK Zwykłe</t>
        </is>
      </c>
      <c r="J512" t="inlineStr">
        <is>
          <t>1 okolica anatomiczna</t>
        </is>
      </c>
      <c r="K512" t="inlineStr">
        <is>
          <t>Tomasz Bujalski</t>
        </is>
      </c>
      <c r="L512" t="inlineStr">
        <is>
          <t> </t>
        </is>
      </c>
      <c r="M512" t="inlineStr">
        <is>
          <t>SZPITAL POWIATOWY IM. DR TYTUSA CHAŁUBIŃSKIEGO W ZAKOPANEM</t>
        </is>
      </c>
      <c r="N512" t="inlineStr">
        <is>
          <t>Szpitalny Oddział Ratunkowy</t>
        </is>
      </c>
      <c r="O512" t="inlineStr">
        <is>
          <t>DARIUSZ NOWAK</t>
        </is>
      </c>
      <c r="P512" t="inlineStr">
        <is>
          <t>3878068</t>
        </is>
      </c>
      <c r="Q512" t="inlineStr">
        <is>
          <t> </t>
        </is>
      </c>
      <c r="R512" t="inlineStr">
        <is>
          <t>szpitalzakopane</t>
        </is>
      </c>
      <c r="S512" s="1" t="n">
        <v>46170.41180555556</v>
      </c>
      <c r="T512" t="n">
        <v>0</v>
      </c>
      <c r="U512" t="inlineStr">
        <is>
          <t>BUJALSKI TOMASZ</t>
        </is>
      </c>
    </row>
    <row r="513">
      <c r="A513" s="1" t="n">
        <v>46170</v>
      </c>
      <c r="B513" t="inlineStr">
        <is>
          <t>CN10606469</t>
        </is>
      </c>
      <c r="C513" t="inlineStr">
        <is>
          <t>DANUTA KOSIŃSKA</t>
        </is>
      </c>
      <c r="D513" t="n">
        <v>48100205080</v>
      </c>
      <c r="E513" s="1" t="n">
        <v>46170</v>
      </c>
      <c r="F513" t="inlineStr">
        <is>
          <t>CITO-CITO</t>
        </is>
      </c>
      <c r="G513" t="inlineStr">
        <is>
          <t>TK</t>
        </is>
      </c>
      <c r="H513" t="inlineStr">
        <is>
          <t>Badanie TK głowy bez wzmocnienia konstrastowego</t>
        </is>
      </c>
      <c r="I513" t="inlineStr">
        <is>
          <t>TK Zwykłe</t>
        </is>
      </c>
      <c r="J513" t="inlineStr">
        <is>
          <t>1 okolica anatomiczna</t>
        </is>
      </c>
      <c r="K513" t="inlineStr">
        <is>
          <t>Tomasz Bujalski</t>
        </is>
      </c>
      <c r="L513" t="inlineStr">
        <is>
          <t> </t>
        </is>
      </c>
      <c r="M513" t="inlineStr">
        <is>
          <t>SZPITAL POWIATOWY IM. DR TYTUSA CHAŁUBIŃSKIEGO W ZAKOPANEM</t>
        </is>
      </c>
      <c r="N513" t="inlineStr">
        <is>
          <t>Szpitalny Oddział Ratunkowy</t>
        </is>
      </c>
      <c r="O513" t="inlineStr">
        <is>
          <t>Dariusz Tumulec</t>
        </is>
      </c>
      <c r="P513" t="inlineStr">
        <is>
          <t>7179500</t>
        </is>
      </c>
      <c r="Q513" t="inlineStr">
        <is>
          <t> </t>
        </is>
      </c>
      <c r="R513" t="inlineStr">
        <is>
          <t>szpitalzakopane</t>
        </is>
      </c>
      <c r="S513" s="1" t="n">
        <v>46170.38055555556</v>
      </c>
      <c r="T513" t="n">
        <v>0</v>
      </c>
      <c r="U513" t="inlineStr">
        <is>
          <t>BUJALSKI TOMASZ</t>
        </is>
      </c>
    </row>
    <row r="514">
      <c r="A514" s="1" t="n">
        <v>46170</v>
      </c>
      <c r="B514" t="inlineStr">
        <is>
          <t>CN10606470</t>
        </is>
      </c>
      <c r="C514" t="inlineStr">
        <is>
          <t>DANUTA KOSIŃSKA</t>
        </is>
      </c>
      <c r="D514" t="n">
        <v>48100205080</v>
      </c>
      <c r="E514" s="1" t="n">
        <v>46170</v>
      </c>
      <c r="F514" t="inlineStr">
        <is>
          <t>CITO-CITO</t>
        </is>
      </c>
      <c r="G514" t="inlineStr">
        <is>
          <t>TK</t>
        </is>
      </c>
      <c r="H514" t="inlineStr">
        <is>
          <t>Badanie TK zatok bez wzmocnienia kontrastowego</t>
        </is>
      </c>
      <c r="I514" t="inlineStr">
        <is>
          <t>TK Zwykłe</t>
        </is>
      </c>
      <c r="J514" t="inlineStr">
        <is>
          <t>1 okolica anatomiczna</t>
        </is>
      </c>
      <c r="K514" t="inlineStr">
        <is>
          <t>Tomasz Bujalski</t>
        </is>
      </c>
      <c r="L514" t="inlineStr">
        <is>
          <t> </t>
        </is>
      </c>
      <c r="M514" t="inlineStr">
        <is>
          <t>SZPITAL POWIATOWY IM. DR TYTUSA CHAŁUBIŃSKIEGO W ZAKOPANEM</t>
        </is>
      </c>
      <c r="N514" t="inlineStr">
        <is>
          <t>Szpitalny Oddział Ratunkowy</t>
        </is>
      </c>
      <c r="O514" t="inlineStr">
        <is>
          <t>Dariusz Tumulec</t>
        </is>
      </c>
      <c r="P514" t="inlineStr">
        <is>
          <t>7179500</t>
        </is>
      </c>
      <c r="Q514" t="inlineStr">
        <is>
          <t> </t>
        </is>
      </c>
      <c r="R514" t="inlineStr">
        <is>
          <t>szpitalzakopane</t>
        </is>
      </c>
      <c r="S514" s="1" t="n">
        <v>46170.37986111111</v>
      </c>
      <c r="T514" t="n">
        <v>0</v>
      </c>
      <c r="U514" t="inlineStr">
        <is>
          <t>BUJALSKI TOMASZ</t>
        </is>
      </c>
    </row>
    <row r="515">
      <c r="A515" s="1" t="n">
        <v>46170</v>
      </c>
      <c r="B515" t="inlineStr">
        <is>
          <t>CN10606959</t>
        </is>
      </c>
      <c r="C515" t="inlineStr">
        <is>
          <t>STANISŁAW PARA</t>
        </is>
      </c>
      <c r="D515" t="n">
        <v>18250207311</v>
      </c>
      <c r="E515" s="1" t="n">
        <v>46170</v>
      </c>
      <c r="F515" t="inlineStr">
        <is>
          <t>CITO-CITO</t>
        </is>
      </c>
      <c r="G515" t="inlineStr">
        <is>
          <t>TK</t>
        </is>
      </c>
      <c r="H515" t="inlineStr">
        <is>
          <t>Badanie TK głowy bez wzmocnienia konstrastowego</t>
        </is>
      </c>
      <c r="I515" t="inlineStr">
        <is>
          <t>TK Zwykłe</t>
        </is>
      </c>
      <c r="J515" t="inlineStr">
        <is>
          <t>1 okolica anatomiczna</t>
        </is>
      </c>
      <c r="K515" t="inlineStr">
        <is>
          <t>Tomasz Bujalski</t>
        </is>
      </c>
      <c r="L515" t="inlineStr">
        <is>
          <t> </t>
        </is>
      </c>
      <c r="M515" t="inlineStr">
        <is>
          <t>SZPITAL POWIATOWY IM. DR TYTUSA CHAŁUBIŃSKIEGO W ZAKOPANEM</t>
        </is>
      </c>
      <c r="N515" t="inlineStr">
        <is>
          <t>Szpitalny Oddział Ratunkowy</t>
        </is>
      </c>
      <c r="O515" t="inlineStr">
        <is>
          <t>Dariusz Tumulec</t>
        </is>
      </c>
      <c r="P515" t="inlineStr">
        <is>
          <t>7179500</t>
        </is>
      </c>
      <c r="Q515" t="inlineStr">
        <is>
          <t> </t>
        </is>
      </c>
      <c r="R515" t="inlineStr">
        <is>
          <t>szpitalzakopane</t>
        </is>
      </c>
      <c r="S515" s="1" t="n">
        <v>46170.4375</v>
      </c>
      <c r="T515" t="n">
        <v>0</v>
      </c>
      <c r="U515" t="inlineStr">
        <is>
          <t>BUJALSKI TOMASZ</t>
        </is>
      </c>
    </row>
    <row r="516">
      <c r="A516" s="1" t="n">
        <v>46172</v>
      </c>
      <c r="B516" t="inlineStr">
        <is>
          <t>CN10612909</t>
        </is>
      </c>
      <c r="C516" t="inlineStr">
        <is>
          <t>LUCYNA ŚWIĘTEK</t>
        </is>
      </c>
      <c r="D516" t="n">
        <v>85060518429</v>
      </c>
      <c r="E516" s="1" t="n">
        <v>46172</v>
      </c>
      <c r="F516" t="inlineStr">
        <is>
          <t>CITO-CITO</t>
        </is>
      </c>
      <c r="G516" t="inlineStr">
        <is>
          <t>TK</t>
        </is>
      </c>
      <c r="H516" t="inlineStr">
        <is>
          <t>Badanie TK głowy bez wzmocnienia konstrastowego</t>
        </is>
      </c>
      <c r="I516" t="inlineStr">
        <is>
          <t>TK Zwykłe</t>
        </is>
      </c>
      <c r="J516" t="inlineStr">
        <is>
          <t>1 okolica anatomiczna</t>
        </is>
      </c>
      <c r="K516" t="inlineStr">
        <is>
          <t>Tomasz Bujalski</t>
        </is>
      </c>
      <c r="L516" t="inlineStr">
        <is>
          <t> </t>
        </is>
      </c>
      <c r="M516" t="inlineStr">
        <is>
          <t>SZPITAL POWIATOWY IM. DR TYTUSA CHAŁUBIŃSKIEGO W ZAKOPANEM</t>
        </is>
      </c>
      <c r="N516" t="inlineStr">
        <is>
          <t>Szpitalny Oddział Ratunkowy</t>
        </is>
      </c>
      <c r="O516" t="inlineStr">
        <is>
          <t>DARIUSZ NOWAK</t>
        </is>
      </c>
      <c r="P516" t="inlineStr">
        <is>
          <t>3878068</t>
        </is>
      </c>
      <c r="Q516" t="inlineStr">
        <is>
          <t> </t>
        </is>
      </c>
      <c r="R516" t="inlineStr">
        <is>
          <t>szpitalzakopane</t>
        </is>
      </c>
      <c r="S516" s="1" t="n">
        <v>46172.55069444444</v>
      </c>
      <c r="T516" t="n">
        <v>0</v>
      </c>
      <c r="U516" t="inlineStr">
        <is>
          <t>BUJALSKI TOMASZ</t>
        </is>
      </c>
    </row>
    <row r="517">
      <c r="A517" s="1" t="n">
        <v>46172</v>
      </c>
      <c r="B517" t="inlineStr">
        <is>
          <t>CN10612971</t>
        </is>
      </c>
      <c r="C517" t="inlineStr">
        <is>
          <t>JAKUB PĘKSA</t>
        </is>
      </c>
      <c r="D517" t="n">
        <v>242708791</v>
      </c>
      <c r="E517" s="1" t="n">
        <v>46172</v>
      </c>
      <c r="F517" t="inlineStr">
        <is>
          <t>CITO-CITO</t>
        </is>
      </c>
      <c r="G517" t="inlineStr">
        <is>
          <t>TK</t>
        </is>
      </c>
      <c r="H517" t="inlineStr">
        <is>
          <t>Badanie TK głowy bez wzmocnienia konstrastowego</t>
        </is>
      </c>
      <c r="I517" t="inlineStr">
        <is>
          <t>TK Zwykłe</t>
        </is>
      </c>
      <c r="J517" t="inlineStr">
        <is>
          <t>1 okolica anatomiczna</t>
        </is>
      </c>
      <c r="K517" t="inlineStr">
        <is>
          <t>Tomasz Bujalski</t>
        </is>
      </c>
      <c r="L517" t="inlineStr">
        <is>
          <t> </t>
        </is>
      </c>
      <c r="M517" t="inlineStr">
        <is>
          <t>SZPITAL POWIATOWY IM. DR TYTUSA CHAŁUBIŃSKIEGO W ZAKOPANEM</t>
        </is>
      </c>
      <c r="N517" t="inlineStr">
        <is>
          <t>Szpitalny Oddział Ratunkowy</t>
        </is>
      </c>
      <c r="O517" t="inlineStr">
        <is>
          <t>DARIUSZ NOWAK</t>
        </is>
      </c>
      <c r="P517" t="inlineStr">
        <is>
          <t>3878068</t>
        </is>
      </c>
      <c r="Q517" t="inlineStr">
        <is>
          <t> </t>
        </is>
      </c>
      <c r="R517" t="inlineStr">
        <is>
          <t>szpitalzakopane</t>
        </is>
      </c>
      <c r="S517" s="1" t="n">
        <v>46172.57291666666</v>
      </c>
      <c r="T517" t="n">
        <v>0</v>
      </c>
      <c r="U517" t="inlineStr">
        <is>
          <t>BUJALSKI TOMASZ</t>
        </is>
      </c>
    </row>
    <row r="518">
      <c r="A518" s="1" t="n">
        <v>46152</v>
      </c>
      <c r="B518" t="inlineStr">
        <is>
          <t>TK/26/5987</t>
        </is>
      </c>
      <c r="C518" t="inlineStr">
        <is>
          <t>Zofia Fauszowicz</t>
        </is>
      </c>
      <c r="D518" t="n">
        <v>40033001083</v>
      </c>
      <c r="E518" s="1" t="n">
        <v>46152</v>
      </c>
      <c r="F518" t="inlineStr">
        <is>
          <t>Bardzo pilny</t>
        </is>
      </c>
      <c r="G518" t="inlineStr">
        <is>
          <t>TK</t>
        </is>
      </c>
      <c r="H518" t="inlineStr">
        <is>
          <t>TK - klatki piersiowej</t>
        </is>
      </c>
      <c r="I518" t="inlineStr">
        <is>
          <t>TK Onkologia</t>
        </is>
      </c>
      <c r="J518" t="inlineStr">
        <is>
          <t>1 okolica anatomiczna</t>
        </is>
      </c>
      <c r="K518" t="inlineStr">
        <is>
          <t>Tomasz Bujalski</t>
        </is>
      </c>
      <c r="L518" t="inlineStr">
        <is>
          <t> </t>
        </is>
      </c>
      <c r="M518" t="inlineStr">
        <is>
          <t>Szpital Powiatowy w Zawierciu</t>
        </is>
      </c>
      <c r="N518" t="inlineStr">
        <is>
          <t>Oddział Chirurgii Ogólnej</t>
        </is>
      </c>
      <c r="O518" t="inlineStr">
        <is>
          <t>Oksana Halyshyn</t>
        </is>
      </c>
      <c r="P518" t="n">
        <v>4608882</v>
      </c>
      <c r="Q518" t="inlineStr">
        <is>
          <t>K25.0</t>
        </is>
      </c>
      <c r="R518" t="inlineStr">
        <is>
          <t>szpitalzawiercie</t>
        </is>
      </c>
      <c r="S518" s="1" t="n">
        <v>46152.55972222222</v>
      </c>
      <c r="T518" t="n">
        <v>0</v>
      </c>
      <c r="U518" t="inlineStr">
        <is>
          <t>BUJALSKI TOMASZ</t>
        </is>
      </c>
    </row>
    <row r="519">
      <c r="A519" s="1" t="n">
        <v>46159</v>
      </c>
      <c r="B519" t="inlineStr">
        <is>
          <t>TK/26/6325</t>
        </is>
      </c>
      <c r="C519" t="inlineStr">
        <is>
          <t>Robert KOZERSKI</t>
        </is>
      </c>
      <c r="D519" t="n">
        <v>75111508837</v>
      </c>
      <c r="E519" s="1" t="n">
        <v>46159</v>
      </c>
      <c r="F519" t="inlineStr">
        <is>
          <t>Bardzo pilny</t>
        </is>
      </c>
      <c r="G519" t="inlineStr">
        <is>
          <t>TK</t>
        </is>
      </c>
      <c r="H519" t="inlineStr">
        <is>
          <t>TK - jamy brzusznej i miednicy bez i z kontrastem</t>
        </is>
      </c>
      <c r="I519" t="inlineStr">
        <is>
          <t>TK Zwykłe</t>
        </is>
      </c>
      <c r="J519" t="inlineStr">
        <is>
          <t>2 okolice anatomiczne</t>
        </is>
      </c>
      <c r="K519" t="inlineStr">
        <is>
          <t>Tomasz Bujalski</t>
        </is>
      </c>
      <c r="L519" t="inlineStr">
        <is>
          <t> </t>
        </is>
      </c>
      <c r="M519" t="inlineStr">
        <is>
          <t>Szpital Powiatowy w Zawierciu</t>
        </is>
      </c>
      <c r="N519" t="inlineStr">
        <is>
          <t>Szpitalny Oddział Ratunkowy SOR</t>
        </is>
      </c>
      <c r="O519" t="inlineStr">
        <is>
          <t>Fedir LYTVYN</t>
        </is>
      </c>
      <c r="P519" t="n">
        <v>4304044</v>
      </c>
      <c r="Q519" t="inlineStr">
        <is>
          <t>R11</t>
        </is>
      </c>
      <c r="R519" t="inlineStr">
        <is>
          <t>szpitalzawiercie</t>
        </is>
      </c>
      <c r="S519" s="1" t="n">
        <v>46159.49375</v>
      </c>
      <c r="T519" t="n">
        <v>0</v>
      </c>
      <c r="U519" t="inlineStr">
        <is>
          <t>BUJALSKI TOMASZ</t>
        </is>
      </c>
    </row>
    <row r="520">
      <c r="A520" s="1" t="n">
        <v>46155</v>
      </c>
      <c r="B520" t="inlineStr">
        <is>
          <t>479761_2322</t>
        </is>
      </c>
      <c r="C520" t="inlineStr">
        <is>
          <t>Barbara Gruchowska</t>
        </is>
      </c>
      <c r="D520" t="n">
        <v>46020806507</v>
      </c>
      <c r="E520" s="1" t="n">
        <v>46155</v>
      </c>
      <c r="F520" t="inlineStr">
        <is>
          <t>CITO-CITO</t>
        </is>
      </c>
      <c r="G520" t="inlineStr">
        <is>
          <t>TK</t>
        </is>
      </c>
      <c r="H520" t="inlineStr">
        <is>
          <t>TK Głowa bez wzmocnienia kontrastowego</t>
        </is>
      </c>
      <c r="I520" t="inlineStr">
        <is>
          <t>TK Zwykłe</t>
        </is>
      </c>
      <c r="J520" t="inlineStr">
        <is>
          <t>1 okolica anatomiczna</t>
        </is>
      </c>
      <c r="K520" t="inlineStr">
        <is>
          <t>Tomasz Bujalski</t>
        </is>
      </c>
      <c r="L520" t="inlineStr">
        <is>
          <t> </t>
        </is>
      </c>
      <c r="M520" t="inlineStr">
        <is>
          <t>7 SZPITAL MARYNARKI WOJENNEJ Z PRZYCHODNIĄ SAMODZIELNY PUBLICZNY ZAKŁAD OPIEKI ZDROWOTNEJ IMIENIA KONTRADMIRAŁA PROFESORA WIESŁAWA ŁASIŃSKIEGO W GDAŃSKU</t>
        </is>
      </c>
      <c r="N520" t="inlineStr">
        <is>
          <t>Izba Przyjęć Szpitala</t>
        </is>
      </c>
      <c r="O520" t="inlineStr">
        <is>
          <t>Krzysztof Dziewiatowski</t>
        </is>
      </c>
      <c r="P520" t="inlineStr">
        <is>
          <t>5476195</t>
        </is>
      </c>
      <c r="Q520" t="inlineStr">
        <is>
          <t> </t>
        </is>
      </c>
      <c r="R520" t="inlineStr">
        <is>
          <t>td7szmw</t>
        </is>
      </c>
      <c r="S520" s="1" t="n">
        <v>46155.75763888889</v>
      </c>
      <c r="T520" t="n">
        <v>0</v>
      </c>
      <c r="U520" t="inlineStr">
        <is>
          <t>BUJALSKI TOMASZ</t>
        </is>
      </c>
    </row>
    <row r="521">
      <c r="A521" s="1" t="n">
        <v>46169</v>
      </c>
      <c r="B521" t="inlineStr">
        <is>
          <t>482203_2322</t>
        </is>
      </c>
      <c r="C521" t="inlineStr">
        <is>
          <t>Roman Zrój</t>
        </is>
      </c>
      <c r="D521" t="n">
        <v>50042205099</v>
      </c>
      <c r="E521" s="1" t="n">
        <v>46169</v>
      </c>
      <c r="F521" t="inlineStr">
        <is>
          <t>CITO-UDAR</t>
        </is>
      </c>
      <c r="G521" t="inlineStr">
        <is>
          <t>TK</t>
        </is>
      </c>
      <c r="H521" t="inlineStr">
        <is>
          <t>TK Głowa bez wzmocnienia kontrastowego</t>
        </is>
      </c>
      <c r="I521" t="inlineStr">
        <is>
          <t>TK Angiografia</t>
        </is>
      </c>
      <c r="J521" t="inlineStr">
        <is>
          <t>3 okolice anatomiczne</t>
        </is>
      </c>
      <c r="K521" t="inlineStr">
        <is>
          <t>Tomasz Bujalski</t>
        </is>
      </c>
      <c r="L521" t="inlineStr">
        <is>
          <t> </t>
        </is>
      </c>
      <c r="M521" t="inlineStr">
        <is>
          <t>7 SZPITAL MARYNARKI WOJENNEJ Z PRZYCHODNIĄ SAMODZIELNY PUBLICZNY ZAKŁAD OPIEKI ZDROWOTNEJ IMIENIA KONTRADMIRAŁA PROFESORA WIESŁAWA ŁASIŃSKIEGO W GDAŃSKU</t>
        </is>
      </c>
      <c r="N521" t="inlineStr">
        <is>
          <t>Izba Przyjęć Szpitala</t>
        </is>
      </c>
      <c r="O521" t="inlineStr">
        <is>
          <t>Krzysztof Dziewiatowski</t>
        </is>
      </c>
      <c r="P521" t="inlineStr">
        <is>
          <t>5476195</t>
        </is>
      </c>
      <c r="Q521" t="inlineStr">
        <is>
          <t> </t>
        </is>
      </c>
      <c r="R521" t="inlineStr">
        <is>
          <t>td7szmw</t>
        </is>
      </c>
      <c r="S521" s="1" t="n">
        <v>46169.77777777778</v>
      </c>
      <c r="T521" t="n">
        <v>0</v>
      </c>
      <c r="U521" t="inlineStr">
        <is>
          <t>BUJALSKI TOMASZ</t>
        </is>
      </c>
    </row>
    <row r="522">
      <c r="A522" s="1" t="n">
        <v>46171</v>
      </c>
      <c r="B522" t="inlineStr">
        <is>
          <t>460478_2525</t>
        </is>
      </c>
      <c r="C522" t="inlineStr">
        <is>
          <t>Dobromira Ruczyńska</t>
        </is>
      </c>
      <c r="D522" t="n">
        <v>59031514088</v>
      </c>
      <c r="E522" s="1" t="n">
        <v>46133</v>
      </c>
      <c r="F522" t="inlineStr">
        <is>
          <t>Planowy</t>
        </is>
      </c>
      <c r="G522" t="inlineStr">
        <is>
          <t>MR</t>
        </is>
      </c>
      <c r="H522" t="inlineStr">
        <is>
          <t>RM jamy brzusznej lub miednicy małej bez i z kontrastem</t>
        </is>
      </c>
      <c r="I522" t="inlineStr">
        <is>
          <t>MR Inne - wtym prostata, miednica, jama brzuszna tkanki miekkie</t>
        </is>
      </c>
      <c r="J522" t="inlineStr">
        <is>
          <t>1 okolica anatomiczna</t>
        </is>
      </c>
      <c r="K522" t="inlineStr">
        <is>
          <t>Tomasz Bujalski</t>
        </is>
      </c>
      <c r="L522" t="inlineStr">
        <is>
          <t> </t>
        </is>
      </c>
      <c r="M522" t="inlineStr">
        <is>
          <t>7 SZPITAL MARYNARKI WOJENNEJ Z PRZYCHODNIĄ SAMODZIELNY PUBLICZNY ZAKŁAD OPIEKI ZDROWOTNEJ IMIENIA KONTRADMIRAŁA PROFESORA WIESŁAWA ŁASIŃSKIEGO W GDAŃSKU</t>
        </is>
      </c>
      <c r="N522" t="inlineStr">
        <is>
          <t>Poradnia Neurologiczna</t>
        </is>
      </c>
      <c r="O522" t="inlineStr">
        <is>
          <t>Aleksandra Majewska</t>
        </is>
      </c>
      <c r="P522" t="inlineStr">
        <is>
          <t>3321350</t>
        </is>
      </c>
      <c r="Q522" t="inlineStr">
        <is>
          <t>M54.5</t>
        </is>
      </c>
      <c r="R522" t="inlineStr">
        <is>
          <t>td7szmw</t>
        </is>
      </c>
      <c r="S522" s="1" t="n">
        <v>46167.39097222222</v>
      </c>
      <c r="T522" t="n">
        <v>0</v>
      </c>
      <c r="U522" t="inlineStr">
        <is>
          <t>BUJALSKI TOMASZ</t>
        </is>
      </c>
    </row>
    <row r="523">
      <c r="A523" s="1" t="n">
        <v>46153</v>
      </c>
      <c r="B523" t="n">
        <v>86965081</v>
      </c>
      <c r="C523" t="inlineStr">
        <is>
          <t>HENRYK CIASTEK</t>
        </is>
      </c>
      <c r="D523" t="n">
        <v>47021101158</v>
      </c>
      <c r="E523" s="1" t="n">
        <v>46153</v>
      </c>
      <c r="F523" t="inlineStr">
        <is>
          <t>CITO-CITO</t>
        </is>
      </c>
      <c r="G523" t="inlineStr">
        <is>
          <t>TK</t>
        </is>
      </c>
      <c r="H523" t="inlineStr">
        <is>
          <t>K.TK MÓZGOWIA</t>
        </is>
      </c>
      <c r="I523" t="inlineStr">
        <is>
          <t>TK Zwykłe</t>
        </is>
      </c>
      <c r="J523" t="inlineStr">
        <is>
          <t>1 okolica anatomiczna</t>
        </is>
      </c>
      <c r="K523" t="inlineStr">
        <is>
          <t>Tomasz Bujalski</t>
        </is>
      </c>
      <c r="L523" t="inlineStr">
        <is>
          <t> </t>
        </is>
      </c>
      <c r="M523" t="inlineStr">
        <is>
          <t>SCANMED SPÓŁKA AKCYJNA</t>
        </is>
      </c>
      <c r="N523" t="inlineStr">
        <is>
          <t>74355</t>
        </is>
      </c>
      <c r="O523" t="inlineStr">
        <is>
          <t>KATARZYNA MISZCZUK</t>
        </is>
      </c>
      <c r="P523" t="n">
        <v>1186866</v>
      </c>
      <c r="Q523" t="inlineStr">
        <is>
          <t>I46.0</t>
        </is>
      </c>
      <c r="R523" t="inlineStr">
        <is>
          <t>tdblachownia</t>
        </is>
      </c>
      <c r="S523" s="1" t="n">
        <v>46153.44236111111</v>
      </c>
      <c r="T523" t="n">
        <v>0</v>
      </c>
      <c r="U523" t="inlineStr">
        <is>
          <t>BUJALSKI TOMASZ</t>
        </is>
      </c>
    </row>
    <row r="524">
      <c r="A524" s="1" t="n">
        <v>46158</v>
      </c>
      <c r="B524" t="n">
        <v>292335962</v>
      </c>
      <c r="C524" t="inlineStr">
        <is>
          <t>MAŁGORZATA WOJEWÓDZKA</t>
        </is>
      </c>
      <c r="D524" t="n">
        <v>53122601705</v>
      </c>
      <c r="E524" s="1" t="n">
        <v>46158</v>
      </c>
      <c r="F524" t="inlineStr">
        <is>
          <t>CITO-CITO</t>
        </is>
      </c>
      <c r="G524" t="inlineStr">
        <is>
          <t>TK</t>
        </is>
      </c>
      <c r="H524" t="inlineStr">
        <is>
          <t>TK głowy</t>
        </is>
      </c>
      <c r="I524" t="inlineStr">
        <is>
          <t>TK Onkologia</t>
        </is>
      </c>
      <c r="J524" t="inlineStr">
        <is>
          <t>1 okolica anatomiczna</t>
        </is>
      </c>
      <c r="K524" t="inlineStr">
        <is>
          <t>Tomasz Bujalski</t>
        </is>
      </c>
      <c r="L524" t="inlineStr">
        <is>
          <t> </t>
        </is>
      </c>
      <c r="M524" t="inlineStr">
        <is>
          <t> </t>
        </is>
      </c>
      <c r="N524" t="inlineStr">
        <is>
          <t> </t>
        </is>
      </c>
      <c r="O524" t="inlineStr">
        <is>
          <t> </t>
        </is>
      </c>
      <c r="P524" t="inlineStr">
        <is>
          <t> </t>
        </is>
      </c>
      <c r="Q524" t="inlineStr">
        <is>
          <t> </t>
        </is>
      </c>
      <c r="R524" t="inlineStr">
        <is>
          <t>tdipin</t>
        </is>
      </c>
      <c r="S524" s="1" t="n">
        <v>46158.55416666667</v>
      </c>
      <c r="T524" t="n">
        <v>0</v>
      </c>
      <c r="U524" t="inlineStr">
        <is>
          <t>BUJALSKI TOMASZ</t>
        </is>
      </c>
    </row>
    <row r="525">
      <c r="A525" s="1" t="n">
        <v>46164</v>
      </c>
      <c r="B525" t="inlineStr">
        <is>
          <t>83/CT/2026</t>
        </is>
      </c>
      <c r="C525" t="inlineStr">
        <is>
          <t>Kazimiera Misiak</t>
        </is>
      </c>
      <c r="D525" t="n">
        <v>47011715569</v>
      </c>
      <c r="E525" s="1" t="n">
        <v>46162</v>
      </c>
      <c r="F525" t="inlineStr">
        <is>
          <t>CITO-CITO</t>
        </is>
      </c>
      <c r="G525" t="inlineStr">
        <is>
          <t>TK</t>
        </is>
      </c>
      <c r="H525" t="inlineStr">
        <is>
          <t>TK - klatki piersiowej i jamy brzusznej bez K</t>
        </is>
      </c>
      <c r="I525" t="inlineStr">
        <is>
          <t>TK Onkologia</t>
        </is>
      </c>
      <c r="J525" t="inlineStr">
        <is>
          <t>3 okolice anatomiczne</t>
        </is>
      </c>
      <c r="K525" t="inlineStr">
        <is>
          <t>Tomasz Bujalski</t>
        </is>
      </c>
      <c r="L525" t="inlineStr">
        <is>
          <t> </t>
        </is>
      </c>
      <c r="M525" t="inlineStr">
        <is>
          <t>SAMODZIELNY PUBLICZNY ZESPÓŁ OPIEKI ZDROWOTNEJ W KOLBUSZOWEJ</t>
        </is>
      </c>
      <c r="N525" t="inlineStr">
        <is>
          <t>Oddział chorób wewnętrznych</t>
        </is>
      </c>
      <c r="O525" t="inlineStr">
        <is>
          <t>Klaudia Kontek</t>
        </is>
      </c>
      <c r="P525" t="n">
        <v>3899904</v>
      </c>
      <c r="Q525" t="inlineStr">
        <is>
          <t>A09</t>
        </is>
      </c>
      <c r="R525" t="inlineStr">
        <is>
          <t>tdkolbuszowa</t>
        </is>
      </c>
      <c r="S525" s="1" t="n">
        <v>46164.24861111111</v>
      </c>
      <c r="T525" t="n">
        <v>0</v>
      </c>
      <c r="U525" t="inlineStr">
        <is>
          <t>BUJALSKI TOMASZ</t>
        </is>
      </c>
    </row>
    <row r="526">
      <c r="A526" s="1" t="n">
        <v>46153</v>
      </c>
      <c r="B526" t="inlineStr">
        <is>
          <t>910821639S</t>
        </is>
      </c>
      <c r="C526" t="inlineStr">
        <is>
          <t>JOZEF JAN GORGOSZ</t>
        </is>
      </c>
      <c r="D526" t="inlineStr">
        <is>
          <t>44041302956</t>
        </is>
      </c>
      <c r="E526" s="1" t="n">
        <v>46142</v>
      </c>
      <c r="F526" t="inlineStr">
        <is>
          <t>Planowy</t>
        </is>
      </c>
      <c r="G526" t="inlineStr">
        <is>
          <t>TK</t>
        </is>
      </c>
      <c r="H526" t="inlineStr">
        <is>
          <t>TK klatki piersiowej z kontrastem (onko.)</t>
        </is>
      </c>
      <c r="I526" t="inlineStr">
        <is>
          <t>TK Onkologia</t>
        </is>
      </c>
      <c r="J526" t="inlineStr">
        <is>
          <t>1 okolica anatomiczna</t>
        </is>
      </c>
      <c r="K526" t="inlineStr">
        <is>
          <t>Tomasz Bujalski</t>
        </is>
      </c>
      <c r="L526" t="inlineStr">
        <is>
          <t> </t>
        </is>
      </c>
      <c r="M526" t="inlineStr">
        <is>
          <t> </t>
        </is>
      </c>
      <c r="N526" t="inlineStr">
        <is>
          <t> </t>
        </is>
      </c>
      <c r="O526" t="inlineStr">
        <is>
          <t> </t>
        </is>
      </c>
      <c r="P526" t="inlineStr">
        <is>
          <t> </t>
        </is>
      </c>
      <c r="Q526" t="inlineStr">
        <is>
          <t> </t>
        </is>
      </c>
      <c r="R526" t="inlineStr">
        <is>
          <t>tdksskrakow</t>
        </is>
      </c>
      <c r="S526" s="1" t="n">
        <v>46143.77222222222</v>
      </c>
      <c r="T526" t="n">
        <v>1</v>
      </c>
      <c r="U526" t="inlineStr">
        <is>
          <t>BUJALSKI TOMASZ</t>
        </is>
      </c>
    </row>
    <row r="527">
      <c r="A527" s="1" t="n">
        <v>46153</v>
      </c>
      <c r="B527" t="inlineStr">
        <is>
          <t>940674542S</t>
        </is>
      </c>
      <c r="C527" t="inlineStr">
        <is>
          <t>STANISLAW SZUBA</t>
        </is>
      </c>
      <c r="D527" t="inlineStr">
        <is>
          <t>62080810135</t>
        </is>
      </c>
      <c r="E527" s="1" t="n">
        <v>46150</v>
      </c>
      <c r="F527" t="inlineStr">
        <is>
          <t>Pilny</t>
        </is>
      </c>
      <c r="G527" t="inlineStr">
        <is>
          <t>TK</t>
        </is>
      </c>
      <c r="H527" t="inlineStr">
        <is>
          <t>TK angio tt. szyjnych i tt. mózgowych z kontrastem</t>
        </is>
      </c>
      <c r="I527" t="inlineStr">
        <is>
          <t>TK Angiografia</t>
        </is>
      </c>
      <c r="J527" t="inlineStr">
        <is>
          <t>2 okolice anatomiczne</t>
        </is>
      </c>
      <c r="K527" t="inlineStr">
        <is>
          <t>Tomasz Bujalski</t>
        </is>
      </c>
      <c r="L527" t="inlineStr">
        <is>
          <t> </t>
        </is>
      </c>
      <c r="M527" t="inlineStr">
        <is>
          <t> </t>
        </is>
      </c>
      <c r="N527" t="inlineStr">
        <is>
          <t> </t>
        </is>
      </c>
      <c r="O527" t="inlineStr">
        <is>
          <t> </t>
        </is>
      </c>
      <c r="P527" t="inlineStr">
        <is>
          <t> </t>
        </is>
      </c>
      <c r="Q527" t="inlineStr">
        <is>
          <t> </t>
        </is>
      </c>
      <c r="R527" t="inlineStr">
        <is>
          <t>tdksskrakow</t>
        </is>
      </c>
      <c r="S527" s="1" t="n">
        <v>46150.7875</v>
      </c>
      <c r="T527" t="n">
        <v>0</v>
      </c>
      <c r="U527" t="inlineStr">
        <is>
          <t>BUJALSKI TOMASZ</t>
        </is>
      </c>
    </row>
    <row r="528">
      <c r="A528" s="1" t="n">
        <v>46156</v>
      </c>
      <c r="B528" t="inlineStr">
        <is>
          <t>942629199S</t>
        </is>
      </c>
      <c r="C528" t="inlineStr">
        <is>
          <t>JANINA RYDYGIER</t>
        </is>
      </c>
      <c r="D528" t="inlineStr">
        <is>
          <t>38032002006</t>
        </is>
      </c>
      <c r="E528" s="1" t="n">
        <v>46156</v>
      </c>
      <c r="F528" t="inlineStr">
        <is>
          <t>CITO-CITO</t>
        </is>
      </c>
      <c r="G528" t="inlineStr">
        <is>
          <t>TK</t>
        </is>
      </c>
      <c r="H528" t="inlineStr">
        <is>
          <t>TK angio tętnic szyjnych</t>
        </is>
      </c>
      <c r="I528" t="inlineStr">
        <is>
          <t>TK Angiografia</t>
        </is>
      </c>
      <c r="J528" t="inlineStr">
        <is>
          <t>1 okolica anatomiczna</t>
        </is>
      </c>
      <c r="K528" t="inlineStr">
        <is>
          <t>Tomasz Bujalski</t>
        </is>
      </c>
      <c r="L528" t="inlineStr">
        <is>
          <t> </t>
        </is>
      </c>
      <c r="M528" t="inlineStr">
        <is>
          <t> </t>
        </is>
      </c>
      <c r="N528" t="inlineStr">
        <is>
          <t> </t>
        </is>
      </c>
      <c r="O528" t="inlineStr">
        <is>
          <t> </t>
        </is>
      </c>
      <c r="P528" t="inlineStr">
        <is>
          <t> </t>
        </is>
      </c>
      <c r="Q528" t="inlineStr">
        <is>
          <t> </t>
        </is>
      </c>
      <c r="R528" t="inlineStr">
        <is>
          <t>tdksskrakow</t>
        </is>
      </c>
      <c r="S528" s="1" t="n">
        <v>46156.36527777778</v>
      </c>
      <c r="T528" t="n">
        <v>0</v>
      </c>
      <c r="U528" t="inlineStr">
        <is>
          <t>BUJALSKI TOMASZ</t>
        </is>
      </c>
    </row>
    <row r="529">
      <c r="A529" s="1" t="n">
        <v>46159</v>
      </c>
      <c r="B529" t="inlineStr">
        <is>
          <t>943600677S</t>
        </is>
      </c>
      <c r="C529" t="inlineStr">
        <is>
          <t>ARTUR SHOSTENKO</t>
        </is>
      </c>
      <c r="D529" t="inlineStr">
        <is>
          <t>25281300915</t>
        </is>
      </c>
      <c r="E529" s="1" t="n">
        <v>46159</v>
      </c>
      <c r="F529" t="inlineStr">
        <is>
          <t>CITO-UDAR</t>
        </is>
      </c>
      <c r="G529" t="inlineStr">
        <is>
          <t>TK</t>
        </is>
      </c>
      <c r="H529" t="inlineStr">
        <is>
          <t>TK głowy</t>
        </is>
      </c>
      <c r="I529" t="inlineStr">
        <is>
          <t>TK Onkologia</t>
        </is>
      </c>
      <c r="J529" t="inlineStr">
        <is>
          <t>1 okolica anatomiczna</t>
        </is>
      </c>
      <c r="K529" t="inlineStr">
        <is>
          <t>Tomasz Bujalski</t>
        </is>
      </c>
      <c r="L529" t="inlineStr">
        <is>
          <t> </t>
        </is>
      </c>
      <c r="M529" t="inlineStr">
        <is>
          <t> </t>
        </is>
      </c>
      <c r="N529" t="inlineStr">
        <is>
          <t> </t>
        </is>
      </c>
      <c r="O529" t="inlineStr">
        <is>
          <t> </t>
        </is>
      </c>
      <c r="P529" t="inlineStr">
        <is>
          <t> </t>
        </is>
      </c>
      <c r="Q529" t="inlineStr">
        <is>
          <t> </t>
        </is>
      </c>
      <c r="R529" t="inlineStr">
        <is>
          <t>tdksskrakow</t>
        </is>
      </c>
      <c r="S529" s="1" t="n">
        <v>46159.50555555556</v>
      </c>
      <c r="T529" t="n">
        <v>0</v>
      </c>
      <c r="U529" t="inlineStr">
        <is>
          <t>BUJALSKI TOMASZ</t>
        </is>
      </c>
    </row>
    <row r="530">
      <c r="A530" s="1" t="n">
        <v>46162</v>
      </c>
      <c r="B530" t="inlineStr">
        <is>
          <t>944922006A</t>
        </is>
      </c>
      <c r="C530" t="inlineStr">
        <is>
          <t>TADEUSZ MGLEJ</t>
        </is>
      </c>
      <c r="D530" t="inlineStr">
        <is>
          <t>44091105615</t>
        </is>
      </c>
      <c r="E530" s="1" t="n">
        <v>46162</v>
      </c>
      <c r="F530" t="inlineStr">
        <is>
          <t>CITO-CITO</t>
        </is>
      </c>
      <c r="G530" t="inlineStr">
        <is>
          <t>TK</t>
        </is>
      </c>
      <c r="H530" t="inlineStr">
        <is>
          <t>TK HRCT</t>
        </is>
      </c>
      <c r="I530" t="inlineStr">
        <is>
          <t>TK Onkologia</t>
        </is>
      </c>
      <c r="J530" t="inlineStr">
        <is>
          <t>1 okolica anatomiczna</t>
        </is>
      </c>
      <c r="K530" t="inlineStr">
        <is>
          <t>Tomasz Bujalski</t>
        </is>
      </c>
      <c r="L530" t="inlineStr">
        <is>
          <t> </t>
        </is>
      </c>
      <c r="M530" t="inlineStr">
        <is>
          <t> </t>
        </is>
      </c>
      <c r="N530" t="inlineStr">
        <is>
          <t> </t>
        </is>
      </c>
      <c r="O530" t="inlineStr">
        <is>
          <t> </t>
        </is>
      </c>
      <c r="P530" t="inlineStr">
        <is>
          <t> </t>
        </is>
      </c>
      <c r="Q530" t="inlineStr">
        <is>
          <t> </t>
        </is>
      </c>
      <c r="R530" t="inlineStr">
        <is>
          <t>tdksskrakow</t>
        </is>
      </c>
      <c r="S530" s="1" t="n">
        <v>46162.51041666666</v>
      </c>
      <c r="T530" t="n">
        <v>1</v>
      </c>
      <c r="U530" t="inlineStr">
        <is>
          <t>BUJALSKI TOMASZ</t>
        </is>
      </c>
    </row>
    <row r="531">
      <c r="A531" s="1" t="n">
        <v>46165</v>
      </c>
      <c r="B531" t="inlineStr">
        <is>
          <t>946017909S</t>
        </is>
      </c>
      <c r="C531" t="inlineStr">
        <is>
          <t>EMILIA SLYSZ</t>
        </is>
      </c>
      <c r="D531" t="inlineStr">
        <is>
          <t>36041705204</t>
        </is>
      </c>
      <c r="E531" s="1" t="n">
        <v>46165</v>
      </c>
      <c r="F531" t="inlineStr">
        <is>
          <t>CITO-UDAR</t>
        </is>
      </c>
      <c r="G531" t="inlineStr">
        <is>
          <t>TK</t>
        </is>
      </c>
      <c r="H531" t="inlineStr">
        <is>
          <t>TK angio tt. szyjnych i tt. mózgowych z kontrastem</t>
        </is>
      </c>
      <c r="I531" t="inlineStr">
        <is>
          <t>TK Angiografia</t>
        </is>
      </c>
      <c r="J531" t="inlineStr">
        <is>
          <t>2 okolice anatomiczne</t>
        </is>
      </c>
      <c r="K531" t="inlineStr">
        <is>
          <t>Tomasz Bujalski</t>
        </is>
      </c>
      <c r="L531" t="inlineStr">
        <is>
          <t> </t>
        </is>
      </c>
      <c r="M531" t="inlineStr">
        <is>
          <t> </t>
        </is>
      </c>
      <c r="N531" t="inlineStr">
        <is>
          <t> </t>
        </is>
      </c>
      <c r="O531" t="inlineStr">
        <is>
          <t> </t>
        </is>
      </c>
      <c r="P531" t="inlineStr">
        <is>
          <t> </t>
        </is>
      </c>
      <c r="Q531" t="inlineStr">
        <is>
          <t> </t>
        </is>
      </c>
      <c r="R531" t="inlineStr">
        <is>
          <t>tdksskrakow</t>
        </is>
      </c>
      <c r="S531" s="1" t="n">
        <v>46165.53333333333</v>
      </c>
      <c r="T531" t="n">
        <v>0</v>
      </c>
      <c r="U531" t="inlineStr">
        <is>
          <t>BUJALSKI TOMASZ</t>
        </is>
      </c>
    </row>
    <row r="532">
      <c r="A532" s="1" t="n">
        <v>46169</v>
      </c>
      <c r="B532" t="inlineStr">
        <is>
          <t>944329868A</t>
        </is>
      </c>
      <c r="C532" t="inlineStr">
        <is>
          <t>JOZEF KAMINSKI</t>
        </is>
      </c>
      <c r="D532" t="inlineStr">
        <is>
          <t>58072906630</t>
        </is>
      </c>
      <c r="E532" s="1" t="n">
        <v>46169</v>
      </c>
      <c r="F532" t="inlineStr">
        <is>
          <t>CITO-CITO</t>
        </is>
      </c>
      <c r="G532" t="inlineStr">
        <is>
          <t>TK</t>
        </is>
      </c>
      <c r="H532" t="inlineStr">
        <is>
          <t>TK klatki piersiowej i j.brzusznej z kontrastem</t>
        </is>
      </c>
      <c r="I532" t="inlineStr">
        <is>
          <t>TK Zwykłe</t>
        </is>
      </c>
      <c r="J532" t="inlineStr">
        <is>
          <t>2 okolice anatomiczne</t>
        </is>
      </c>
      <c r="K532" t="inlineStr">
        <is>
          <t>Tomasz Bujalski</t>
        </is>
      </c>
      <c r="L532" t="inlineStr">
        <is>
          <t> </t>
        </is>
      </c>
      <c r="M532" t="inlineStr">
        <is>
          <t> </t>
        </is>
      </c>
      <c r="N532" t="inlineStr">
        <is>
          <t> </t>
        </is>
      </c>
      <c r="O532" t="inlineStr">
        <is>
          <t> </t>
        </is>
      </c>
      <c r="P532" t="inlineStr">
        <is>
          <t> </t>
        </is>
      </c>
      <c r="Q532" t="inlineStr">
        <is>
          <t> </t>
        </is>
      </c>
      <c r="R532" t="inlineStr">
        <is>
          <t>tdksskrakow</t>
        </is>
      </c>
      <c r="S532" s="1" t="n">
        <v>46169.54513888889</v>
      </c>
      <c r="T532" t="n">
        <v>2</v>
      </c>
      <c r="U532" t="inlineStr">
        <is>
          <t>BUJALSKI TOMASZ</t>
        </is>
      </c>
    </row>
    <row r="533">
      <c r="A533" s="1" t="n">
        <v>46170</v>
      </c>
      <c r="B533" t="inlineStr">
        <is>
          <t>947384461S</t>
        </is>
      </c>
      <c r="C533" t="inlineStr">
        <is>
          <t>MARIA ANNA LAGOSZ</t>
        </is>
      </c>
      <c r="D533" t="inlineStr">
        <is>
          <t>50080905506</t>
        </is>
      </c>
      <c r="E533" s="1" t="n">
        <v>46169</v>
      </c>
      <c r="F533" t="inlineStr">
        <is>
          <t>Pilny</t>
        </is>
      </c>
      <c r="G533" t="inlineStr">
        <is>
          <t>TK</t>
        </is>
      </c>
      <c r="H533" t="inlineStr">
        <is>
          <t>TK angio tętnic szyjnych</t>
        </is>
      </c>
      <c r="I533" t="inlineStr">
        <is>
          <t>TK Angiografia</t>
        </is>
      </c>
      <c r="J533" t="inlineStr">
        <is>
          <t>1 okolica anatomiczna</t>
        </is>
      </c>
      <c r="K533" t="inlineStr">
        <is>
          <t>Tomasz Bujalski</t>
        </is>
      </c>
      <c r="L533" t="inlineStr">
        <is>
          <t> </t>
        </is>
      </c>
      <c r="M533" t="inlineStr">
        <is>
          <t> </t>
        </is>
      </c>
      <c r="N533" t="inlineStr">
        <is>
          <t> </t>
        </is>
      </c>
      <c r="O533" t="inlineStr">
        <is>
          <t> </t>
        </is>
      </c>
      <c r="P533" t="inlineStr">
        <is>
          <t> </t>
        </is>
      </c>
      <c r="Q533" t="inlineStr">
        <is>
          <t> </t>
        </is>
      </c>
      <c r="R533" t="inlineStr">
        <is>
          <t>tdksskrakow</t>
        </is>
      </c>
      <c r="S533" s="1" t="n">
        <v>46169.60069444445</v>
      </c>
      <c r="T533" t="n">
        <v>0</v>
      </c>
      <c r="U533" t="inlineStr">
        <is>
          <t>BUJALSKI TOMASZ</t>
        </is>
      </c>
    </row>
    <row r="534">
      <c r="A534" s="1" t="n">
        <v>46171</v>
      </c>
      <c r="B534" t="inlineStr">
        <is>
          <t>947716955S</t>
        </is>
      </c>
      <c r="C534" t="inlineStr">
        <is>
          <t>PIOTR SUGIER</t>
        </is>
      </c>
      <c r="D534" t="inlineStr">
        <is>
          <t>85031001932</t>
        </is>
      </c>
      <c r="E534" s="1" t="n">
        <v>46170</v>
      </c>
      <c r="F534" t="inlineStr">
        <is>
          <t>Pilny</t>
        </is>
      </c>
      <c r="G534" t="inlineStr">
        <is>
          <t>TK</t>
        </is>
      </c>
      <c r="H534" t="inlineStr">
        <is>
          <t>TK angio aorty piers. + aorty brz. + tt. biodrowych</t>
        </is>
      </c>
      <c r="I534" t="inlineStr">
        <is>
          <t>TK Angiografia</t>
        </is>
      </c>
      <c r="J534" t="inlineStr">
        <is>
          <t>3 okolice anatomiczne</t>
        </is>
      </c>
      <c r="K534" t="inlineStr">
        <is>
          <t>Tomasz Bujalski</t>
        </is>
      </c>
      <c r="L534" t="inlineStr">
        <is>
          <t> </t>
        </is>
      </c>
      <c r="M534" t="inlineStr">
        <is>
          <t> </t>
        </is>
      </c>
      <c r="N534" t="inlineStr">
        <is>
          <t> </t>
        </is>
      </c>
      <c r="O534" t="inlineStr">
        <is>
          <t> </t>
        </is>
      </c>
      <c r="P534" t="inlineStr">
        <is>
          <t> </t>
        </is>
      </c>
      <c r="Q534" t="inlineStr">
        <is>
          <t> </t>
        </is>
      </c>
      <c r="R534" t="inlineStr">
        <is>
          <t>tdksskrakow</t>
        </is>
      </c>
      <c r="S534" s="1" t="n">
        <v>46170.71944444445</v>
      </c>
      <c r="T534" t="n">
        <v>3</v>
      </c>
      <c r="U534" t="inlineStr">
        <is>
          <t>BUJALSKI TOMASZ</t>
        </is>
      </c>
    </row>
    <row r="535">
      <c r="A535" s="1" t="n">
        <v>46171</v>
      </c>
      <c r="B535" t="inlineStr">
        <is>
          <t>947742363S</t>
        </is>
      </c>
      <c r="C535" t="inlineStr">
        <is>
          <t>ANNA MURZYNOWSKA</t>
        </is>
      </c>
      <c r="D535" t="inlineStr">
        <is>
          <t>61052903024</t>
        </is>
      </c>
      <c r="E535" s="1" t="n">
        <v>46170</v>
      </c>
      <c r="F535" t="inlineStr">
        <is>
          <t>Pilny</t>
        </is>
      </c>
      <c r="G535" t="inlineStr">
        <is>
          <t>TK</t>
        </is>
      </c>
      <c r="H535" t="inlineStr">
        <is>
          <t>TK angio tętnic płucnych</t>
        </is>
      </c>
      <c r="I535" t="inlineStr">
        <is>
          <t>TK Angiografia</t>
        </is>
      </c>
      <c r="J535" t="inlineStr">
        <is>
          <t>1 okolica anatomiczna</t>
        </is>
      </c>
      <c r="K535" t="inlineStr">
        <is>
          <t>Tomasz Bujalski</t>
        </is>
      </c>
      <c r="L535" t="inlineStr">
        <is>
          <t> </t>
        </is>
      </c>
      <c r="M535" t="inlineStr">
        <is>
          <t> </t>
        </is>
      </c>
      <c r="N535" t="inlineStr">
        <is>
          <t> </t>
        </is>
      </c>
      <c r="O535" t="inlineStr">
        <is>
          <t> </t>
        </is>
      </c>
      <c r="P535" t="inlineStr">
        <is>
          <t> </t>
        </is>
      </c>
      <c r="Q535" t="inlineStr">
        <is>
          <t> </t>
        </is>
      </c>
      <c r="R535" t="inlineStr">
        <is>
          <t>tdksskrakow</t>
        </is>
      </c>
      <c r="S535" s="1" t="n">
        <v>46170.71944444445</v>
      </c>
      <c r="T535" t="n">
        <v>0</v>
      </c>
      <c r="U535" t="inlineStr">
        <is>
          <t>BUJALSKI TOMASZ</t>
        </is>
      </c>
    </row>
    <row r="536">
      <c r="A536" s="1" t="n">
        <v>46172</v>
      </c>
      <c r="B536" t="inlineStr">
        <is>
          <t>948597674S</t>
        </is>
      </c>
      <c r="C536" t="inlineStr">
        <is>
          <t>JOZEF JALOCHA</t>
        </is>
      </c>
      <c r="D536" t="inlineStr">
        <is>
          <t>69113011675</t>
        </is>
      </c>
      <c r="E536" s="1" t="n">
        <v>46172</v>
      </c>
      <c r="F536" t="inlineStr">
        <is>
          <t>CITO-CITO</t>
        </is>
      </c>
      <c r="G536" t="inlineStr">
        <is>
          <t>TK</t>
        </is>
      </c>
      <c r="H536" t="inlineStr">
        <is>
          <t>TK angio aorty piers. + aorty brz. + tt. biodrowych</t>
        </is>
      </c>
      <c r="I536" t="inlineStr">
        <is>
          <t>TK Angiografia</t>
        </is>
      </c>
      <c r="J536" t="inlineStr">
        <is>
          <t>3 okolice anatomiczne</t>
        </is>
      </c>
      <c r="K536" t="inlineStr">
        <is>
          <t>Tomasz Bujalski</t>
        </is>
      </c>
      <c r="L536" t="inlineStr">
        <is>
          <t> </t>
        </is>
      </c>
      <c r="M536" t="inlineStr">
        <is>
          <t> </t>
        </is>
      </c>
      <c r="N536" t="inlineStr">
        <is>
          <t> </t>
        </is>
      </c>
      <c r="O536" t="inlineStr">
        <is>
          <t> </t>
        </is>
      </c>
      <c r="P536" t="inlineStr">
        <is>
          <t> </t>
        </is>
      </c>
      <c r="Q536" t="inlineStr">
        <is>
          <t> </t>
        </is>
      </c>
      <c r="R536" t="inlineStr">
        <is>
          <t>tdksskrakow</t>
        </is>
      </c>
      <c r="S536" s="1" t="n">
        <v>46172.49236111111</v>
      </c>
      <c r="T536" t="n">
        <v>3</v>
      </c>
      <c r="U536" t="inlineStr">
        <is>
          <t>BUJALSKI TOMASZ</t>
        </is>
      </c>
    </row>
    <row r="537">
      <c r="A537" s="1" t="n">
        <v>46158</v>
      </c>
      <c r="B537" t="n">
        <v>142583</v>
      </c>
      <c r="C537" t="inlineStr">
        <is>
          <t>LENA JANICKA</t>
        </is>
      </c>
      <c r="D537" t="n">
        <v>13321311500</v>
      </c>
      <c r="E537" s="1" t="n">
        <v>46158</v>
      </c>
      <c r="F537" t="inlineStr">
        <is>
          <t>CITO-CITO</t>
        </is>
      </c>
      <c r="G537" t="inlineStr">
        <is>
          <t>TK</t>
        </is>
      </c>
      <c r="H537" t="inlineStr">
        <is>
          <t>TK głowy</t>
        </is>
      </c>
      <c r="I537" t="inlineStr">
        <is>
          <t>TK Onkologia</t>
        </is>
      </c>
      <c r="J537" t="inlineStr">
        <is>
          <t>1 okolica anatomiczna</t>
        </is>
      </c>
      <c r="K537" t="inlineStr">
        <is>
          <t>Tomasz Bujalski</t>
        </is>
      </c>
      <c r="L537" t="inlineStr">
        <is>
          <t> </t>
        </is>
      </c>
      <c r="M537" t="inlineStr">
        <is>
          <t> </t>
        </is>
      </c>
      <c r="N537" t="inlineStr">
        <is>
          <t> </t>
        </is>
      </c>
      <c r="O537" t="inlineStr">
        <is>
          <t> </t>
        </is>
      </c>
      <c r="P537" t="inlineStr">
        <is>
          <t> </t>
        </is>
      </c>
      <c r="Q537" t="inlineStr">
        <is>
          <t> </t>
        </is>
      </c>
      <c r="R537" t="inlineStr">
        <is>
          <t>tdmilicz</t>
        </is>
      </c>
      <c r="S537" s="1" t="n">
        <v>46158.66041666667</v>
      </c>
      <c r="T537" t="n">
        <v>0</v>
      </c>
      <c r="U537" t="inlineStr">
        <is>
          <t>BUJALSKI TOMASZ</t>
        </is>
      </c>
    </row>
    <row r="538">
      <c r="A538" s="1" t="n">
        <v>46168</v>
      </c>
      <c r="B538" t="inlineStr">
        <is>
          <t>CN6620987</t>
        </is>
      </c>
      <c r="C538" t="inlineStr">
        <is>
          <t>ELZBIETA WARCHOL</t>
        </is>
      </c>
      <c r="D538" t="n">
        <v>69042303164</v>
      </c>
      <c r="E538" s="1" t="n">
        <v>46156</v>
      </c>
      <c r="F538" t="inlineStr">
        <is>
          <t>Planowy</t>
        </is>
      </c>
      <c r="G538" t="inlineStr">
        <is>
          <t>MR</t>
        </is>
      </c>
      <c r="H538" t="inlineStr">
        <is>
          <t>MR jamy brzusznej z kontrastem</t>
        </is>
      </c>
      <c r="I538" t="inlineStr">
        <is>
          <t>MR Onkologia</t>
        </is>
      </c>
      <c r="J538" t="inlineStr">
        <is>
          <t>1 okolica anatomiczna</t>
        </is>
      </c>
      <c r="K538" t="inlineStr">
        <is>
          <t>Tomasz Bujalski</t>
        </is>
      </c>
      <c r="L538" t="inlineStr">
        <is>
          <t> </t>
        </is>
      </c>
      <c r="M538" t="inlineStr">
        <is>
          <t>Radomskie Centrum Onkologii</t>
        </is>
      </c>
      <c r="N538" t="inlineStr">
        <is>
          <t>Poradnia Onkologiczna</t>
        </is>
      </c>
      <c r="O538" t="inlineStr">
        <is>
          <t>Jakub  Bajer</t>
        </is>
      </c>
      <c r="P538" t="inlineStr">
        <is>
          <t>3312359</t>
        </is>
      </c>
      <c r="Q538" t="inlineStr">
        <is>
          <t>C54.8</t>
        </is>
      </c>
      <c r="R538" t="inlineStr">
        <is>
          <t>tdonkologiaradom</t>
        </is>
      </c>
      <c r="S538" s="1" t="n">
        <v>46157.28055555555</v>
      </c>
      <c r="T538" t="n">
        <v>1</v>
      </c>
      <c r="U538" t="inlineStr">
        <is>
          <t>BUJALSKI TOMASZ</t>
        </is>
      </c>
    </row>
    <row r="539">
      <c r="A539" s="1" t="n">
        <v>46168</v>
      </c>
      <c r="B539" t="inlineStr">
        <is>
          <t>CN6621018</t>
        </is>
      </c>
      <c r="C539" t="inlineStr">
        <is>
          <t>ELZBIETA WARCHOL</t>
        </is>
      </c>
      <c r="D539" t="n">
        <v>69042303164</v>
      </c>
      <c r="E539" s="1" t="n">
        <v>46163</v>
      </c>
      <c r="F539" t="inlineStr">
        <is>
          <t>Planowy</t>
        </is>
      </c>
      <c r="G539" t="inlineStr">
        <is>
          <t>MR</t>
        </is>
      </c>
      <c r="H539" t="inlineStr">
        <is>
          <t>MR miednicy z kontrastem (onko.)</t>
        </is>
      </c>
      <c r="I539" t="inlineStr">
        <is>
          <t>MR Onkologia</t>
        </is>
      </c>
      <c r="J539" t="inlineStr">
        <is>
          <t>1 okolica anatomiczna</t>
        </is>
      </c>
      <c r="K539" t="inlineStr">
        <is>
          <t>Tomasz Bujalski</t>
        </is>
      </c>
      <c r="L539" t="inlineStr">
        <is>
          <t> </t>
        </is>
      </c>
      <c r="M539" t="inlineStr">
        <is>
          <t>Radomskie Centrum Onkologii</t>
        </is>
      </c>
      <c r="N539" t="inlineStr">
        <is>
          <t>Poradnia Onkologiczna</t>
        </is>
      </c>
      <c r="O539" t="inlineStr">
        <is>
          <t>Jakub  Bajer</t>
        </is>
      </c>
      <c r="P539" t="inlineStr">
        <is>
          <t>3312359</t>
        </is>
      </c>
      <c r="Q539" t="inlineStr">
        <is>
          <t>C54.8</t>
        </is>
      </c>
      <c r="R539" t="inlineStr">
        <is>
          <t>tdonkologiaradom</t>
        </is>
      </c>
      <c r="S539" s="1" t="n">
        <v>46164.37916666667</v>
      </c>
      <c r="T539" t="n">
        <v>1</v>
      </c>
      <c r="U539" t="inlineStr">
        <is>
          <t>BUJALSKI TOMASZ</t>
        </is>
      </c>
    </row>
    <row r="540">
      <c r="A540" s="1" t="n">
        <v>46149</v>
      </c>
      <c r="B540" t="inlineStr">
        <is>
          <t>496231-1067215</t>
        </is>
      </c>
      <c r="C540" t="inlineStr">
        <is>
          <t>ANDRZEJ PŁATKOWSKI</t>
        </is>
      </c>
      <c r="D540" t="n">
        <v>74022602012</v>
      </c>
      <c r="E540" s="1" t="n">
        <v>46141</v>
      </c>
      <c r="F540" t="inlineStr">
        <is>
          <t>Pilny</t>
        </is>
      </c>
      <c r="G540" t="inlineStr">
        <is>
          <t>MR</t>
        </is>
      </c>
      <c r="H540" t="inlineStr">
        <is>
          <t>MR badanie jednej okolicy anatomicznej innej niż kręgosłupa bez wzmocnienia kontrastowego</t>
        </is>
      </c>
      <c r="I540" t="inlineStr">
        <is>
          <t>MR Inne - wtym prostata, miednica, jama brzuszna tkanki miekkie</t>
        </is>
      </c>
      <c r="J540" t="inlineStr">
        <is>
          <t>1 okolica anatomiczna</t>
        </is>
      </c>
      <c r="K540" t="inlineStr">
        <is>
          <t>Tomasz Bujalski</t>
        </is>
      </c>
      <c r="L540" t="inlineStr">
        <is>
          <t> </t>
        </is>
      </c>
      <c r="M540" t="inlineStr">
        <is>
          <t>Brak informacji o jednostce kierującej</t>
        </is>
      </c>
      <c r="N540" t="inlineStr">
        <is>
          <t> </t>
        </is>
      </c>
      <c r="O540" t="inlineStr">
        <is>
          <t>ARTUR ŻUCHOWSKI</t>
        </is>
      </c>
      <c r="P540" t="n">
        <v>5047073</v>
      </c>
      <c r="Q540" t="inlineStr">
        <is>
          <t> </t>
        </is>
      </c>
      <c r="R540" t="inlineStr">
        <is>
          <t>tdpionki</t>
        </is>
      </c>
      <c r="S540" s="1" t="n">
        <v>46141.45972222222</v>
      </c>
      <c r="T540" t="n">
        <v>1</v>
      </c>
      <c r="U540" t="inlineStr">
        <is>
          <t>BUJALSKI TOMASZ</t>
        </is>
      </c>
    </row>
    <row r="541">
      <c r="A541" s="1" t="n">
        <v>46151</v>
      </c>
      <c r="B541" t="inlineStr">
        <is>
          <t>INFINITT_PACS</t>
        </is>
      </c>
      <c r="C541" t="inlineStr">
        <is>
          <t>PAULINA LACH</t>
        </is>
      </c>
      <c r="D541" t="n">
        <v>87102805645</v>
      </c>
      <c r="E541" s="1" t="n">
        <v>46151</v>
      </c>
      <c r="F541" t="inlineStr">
        <is>
          <t>CITO-CITO</t>
        </is>
      </c>
      <c r="G541" t="inlineStr">
        <is>
          <t>TK</t>
        </is>
      </c>
      <c r="H541" t="inlineStr">
        <is>
          <t>TK j.brzusznej i miednicy</t>
        </is>
      </c>
      <c r="I541" t="inlineStr">
        <is>
          <t>TK Zwykłe</t>
        </is>
      </c>
      <c r="J541" t="inlineStr">
        <is>
          <t>2 okolice anatomiczne</t>
        </is>
      </c>
      <c r="K541" t="inlineStr">
        <is>
          <t>Tomasz Bujalski</t>
        </is>
      </c>
      <c r="L541" t="inlineStr">
        <is>
          <t> </t>
        </is>
      </c>
      <c r="M541" t="inlineStr">
        <is>
          <t> </t>
        </is>
      </c>
      <c r="N541" t="inlineStr">
        <is>
          <t> </t>
        </is>
      </c>
      <c r="O541" t="inlineStr">
        <is>
          <t> </t>
        </is>
      </c>
      <c r="P541" t="inlineStr">
        <is>
          <t> </t>
        </is>
      </c>
      <c r="Q541" t="inlineStr">
        <is>
          <t> </t>
        </is>
      </c>
      <c r="R541" t="inlineStr">
        <is>
          <t>tdpoludniowy</t>
        </is>
      </c>
      <c r="S541" s="1" t="n">
        <v>46151.64513888889</v>
      </c>
      <c r="T541" t="n">
        <v>0</v>
      </c>
      <c r="U541" t="inlineStr">
        <is>
          <t>BUJALSKI TOMASZ</t>
        </is>
      </c>
    </row>
    <row r="542">
      <c r="A542" s="1" t="n">
        <v>46155</v>
      </c>
      <c r="B542" t="inlineStr">
        <is>
          <t>INFINITT_PACS</t>
        </is>
      </c>
      <c r="C542" t="inlineStr">
        <is>
          <t>ROMAN LISOWSKI</t>
        </is>
      </c>
      <c r="D542" t="n">
        <v>60101302610</v>
      </c>
      <c r="E542" s="1" t="n">
        <v>46155</v>
      </c>
      <c r="F542" t="inlineStr">
        <is>
          <t>CITO-CITO</t>
        </is>
      </c>
      <c r="G542" t="inlineStr">
        <is>
          <t>TK</t>
        </is>
      </c>
      <c r="H542" t="inlineStr">
        <is>
          <t>TK j.brzusznej i miednicy</t>
        </is>
      </c>
      <c r="I542" t="inlineStr">
        <is>
          <t>TK Zwykłe</t>
        </is>
      </c>
      <c r="J542" t="inlineStr">
        <is>
          <t>2 okolice anatomiczne</t>
        </is>
      </c>
      <c r="K542" t="inlineStr">
        <is>
          <t>Tomasz Bujalski</t>
        </is>
      </c>
      <c r="L542" t="inlineStr">
        <is>
          <t> </t>
        </is>
      </c>
      <c r="M542" t="inlineStr">
        <is>
          <t> </t>
        </is>
      </c>
      <c r="N542" t="inlineStr">
        <is>
          <t> </t>
        </is>
      </c>
      <c r="O542" t="inlineStr">
        <is>
          <t> </t>
        </is>
      </c>
      <c r="P542" t="inlineStr">
        <is>
          <t> </t>
        </is>
      </c>
      <c r="Q542" t="inlineStr">
        <is>
          <t> </t>
        </is>
      </c>
      <c r="R542" t="inlineStr">
        <is>
          <t>tdpoludniowy</t>
        </is>
      </c>
      <c r="S542" s="1" t="n">
        <v>46155.56388888889</v>
      </c>
      <c r="T542" t="n">
        <v>0</v>
      </c>
      <c r="U542" t="inlineStr">
        <is>
          <t>BUJALSKI TOMASZ</t>
        </is>
      </c>
    </row>
    <row r="543">
      <c r="A543" s="1" t="n">
        <v>46149</v>
      </c>
      <c r="B543" t="n">
        <v>14278972</v>
      </c>
      <c r="C543" t="inlineStr">
        <is>
          <t>Oleksandr Kupriienko</t>
        </is>
      </c>
      <c r="D543" t="inlineStr">
        <is>
          <t>86073119816</t>
        </is>
      </c>
      <c r="E543" s="1" t="n">
        <v>46149</v>
      </c>
      <c r="F543" t="inlineStr">
        <is>
          <t>CITO-CITO</t>
        </is>
      </c>
      <c r="G543" t="inlineStr">
        <is>
          <t>TK</t>
        </is>
      </c>
      <c r="H543" t="inlineStr">
        <is>
          <t>TK Głowy i twarzoczaszki - bez kontrastu</t>
        </is>
      </c>
      <c r="I543" t="inlineStr">
        <is>
          <t>TK Zwykłe</t>
        </is>
      </c>
      <c r="J543" t="inlineStr">
        <is>
          <t>2 okolice anatomiczne</t>
        </is>
      </c>
      <c r="K543" t="inlineStr">
        <is>
          <t>Tomasz Bujalski</t>
        </is>
      </c>
      <c r="L543" t="inlineStr">
        <is>
          <t> </t>
        </is>
      </c>
      <c r="M543" t="inlineStr">
        <is>
          <t>SAMODZIELNY ZESPÓŁ PUBLICZNYCH ZAKŁADÓW LECZNICTWA OTWARTEGO WARSZAWA-MOKOTÓW</t>
        </is>
      </c>
      <c r="N543" t="inlineStr">
        <is>
          <t>SZPITALNY ODDZIAŁ RATUNKOWY (78206)</t>
        </is>
      </c>
      <c r="O543" t="inlineStr">
        <is>
          <t>Daniel Łuszczewski</t>
        </is>
      </c>
      <c r="P543" t="inlineStr">
        <is>
          <t>3507844</t>
        </is>
      </c>
      <c r="Q543" t="inlineStr">
        <is>
          <t>S01.2</t>
        </is>
      </c>
      <c r="R543" t="inlineStr">
        <is>
          <t>tdpraski</t>
        </is>
      </c>
      <c r="S543" s="1" t="n">
        <v>46149.13055555556</v>
      </c>
      <c r="T543" t="n">
        <v>0</v>
      </c>
      <c r="U543" t="inlineStr">
        <is>
          <t>BUJALSKI TOMASZ</t>
        </is>
      </c>
    </row>
    <row r="544">
      <c r="A544" s="1" t="n">
        <v>46151</v>
      </c>
      <c r="B544" t="n">
        <v>14305484</v>
      </c>
      <c r="C544" t="inlineStr">
        <is>
          <t>Anna Andrzejewska</t>
        </is>
      </c>
      <c r="D544" t="inlineStr">
        <is>
          <t>72070302106</t>
        </is>
      </c>
      <c r="E544" s="1" t="n">
        <v>46151</v>
      </c>
      <c r="F544" t="inlineStr">
        <is>
          <t>CITO-CITO</t>
        </is>
      </c>
      <c r="G544" t="inlineStr">
        <is>
          <t>TK</t>
        </is>
      </c>
      <c r="H544" t="inlineStr">
        <is>
          <t>TK jamy brzusznej bez kontrastu - kamica układu moczowego</t>
        </is>
      </c>
      <c r="I544" t="inlineStr">
        <is>
          <t>TK Zwykłe</t>
        </is>
      </c>
      <c r="J544" t="inlineStr">
        <is>
          <t>2 okolice anatomiczne</t>
        </is>
      </c>
      <c r="K544" t="inlineStr">
        <is>
          <t>Tomasz Bujalski</t>
        </is>
      </c>
      <c r="L544" t="inlineStr">
        <is>
          <t> </t>
        </is>
      </c>
      <c r="M544" t="inlineStr">
        <is>
          <t>SAMODZIELNY ZESPÓŁ PUBLICZNYCH ZAKŁADÓW LECZNICTWA OTWARTEGO WARSZAWA-MOKOTÓW</t>
        </is>
      </c>
      <c r="N544" t="inlineStr">
        <is>
          <t>SZPITALNY ODDZIAŁ RATUNKOWY (78206)</t>
        </is>
      </c>
      <c r="O544" t="inlineStr">
        <is>
          <t>Aleksandra Gronowska</t>
        </is>
      </c>
      <c r="P544" t="inlineStr">
        <is>
          <t>4584258</t>
        </is>
      </c>
      <c r="Q544" t="inlineStr">
        <is>
          <t>N17.9</t>
        </is>
      </c>
      <c r="R544" t="inlineStr">
        <is>
          <t>tdpraski</t>
        </is>
      </c>
      <c r="S544" s="1" t="n">
        <v>46151.62569444445</v>
      </c>
      <c r="T544" t="n">
        <v>0</v>
      </c>
      <c r="U544" t="inlineStr">
        <is>
          <t>BUJALSKI TOMASZ</t>
        </is>
      </c>
    </row>
    <row r="545">
      <c r="A545" s="1" t="n">
        <v>46159</v>
      </c>
      <c r="B545" t="n">
        <v>14377909</v>
      </c>
      <c r="C545" t="inlineStr">
        <is>
          <t>Łukasz Maluszczak</t>
        </is>
      </c>
      <c r="D545" t="inlineStr">
        <is>
          <t>84090611234</t>
        </is>
      </c>
      <c r="E545" s="1" t="n">
        <v>46159</v>
      </c>
      <c r="F545" t="inlineStr">
        <is>
          <t>CITO-CITO</t>
        </is>
      </c>
      <c r="G545" t="inlineStr">
        <is>
          <t>TK</t>
        </is>
      </c>
      <c r="H545" t="inlineStr">
        <is>
          <t>TK jamy brzusznej i miednicy mniejszej - bez kontrastu</t>
        </is>
      </c>
      <c r="I545" t="inlineStr">
        <is>
          <t>TK Zwykłe</t>
        </is>
      </c>
      <c r="J545" t="inlineStr">
        <is>
          <t>2 okolice anatomiczne</t>
        </is>
      </c>
      <c r="K545" t="inlineStr">
        <is>
          <t>Tomasz Bujalski</t>
        </is>
      </c>
      <c r="L545" t="inlineStr">
        <is>
          <t> </t>
        </is>
      </c>
      <c r="M545" t="inlineStr">
        <is>
          <t>SAMODZIELNY ZESPÓŁ PUBLICZNYCH ZAKŁADÓW LECZNICTWA OTWARTEGO WARSZAWA-MOKOTÓW</t>
        </is>
      </c>
      <c r="N545" t="inlineStr">
        <is>
          <t>SZPITALNY ODDZIAŁ RATUNKOWY (78206)</t>
        </is>
      </c>
      <c r="O545" t="inlineStr">
        <is>
          <t>Elena Ivanova</t>
        </is>
      </c>
      <c r="P545" t="inlineStr">
        <is>
          <t>3864291</t>
        </is>
      </c>
      <c r="Q545" t="inlineStr">
        <is>
          <t>R10</t>
        </is>
      </c>
      <c r="R545" t="inlineStr">
        <is>
          <t>tdpraski</t>
        </is>
      </c>
      <c r="S545" s="1" t="n">
        <v>46159.45069444444</v>
      </c>
      <c r="T545" t="n">
        <v>0</v>
      </c>
      <c r="U545" t="inlineStr">
        <is>
          <t>BUJALSKI TOMASZ</t>
        </is>
      </c>
    </row>
    <row r="546">
      <c r="A546" s="1" t="n">
        <v>46159</v>
      </c>
      <c r="B546" t="n">
        <v>14377972</v>
      </c>
      <c r="C546" t="inlineStr">
        <is>
          <t>ZENON MATRAS</t>
        </is>
      </c>
      <c r="D546" t="inlineStr">
        <is>
          <t>65081207571</t>
        </is>
      </c>
      <c r="E546" s="1" t="n">
        <v>46159</v>
      </c>
      <c r="F546" t="inlineStr">
        <is>
          <t>CITO-UDAR</t>
        </is>
      </c>
      <c r="G546" t="inlineStr">
        <is>
          <t>TK</t>
        </is>
      </c>
      <c r="H546" t="inlineStr">
        <is>
          <t>TK głowy bez kontrastu</t>
        </is>
      </c>
      <c r="I546" t="inlineStr">
        <is>
          <t>TK Zwykłe</t>
        </is>
      </c>
      <c r="J546" t="inlineStr">
        <is>
          <t>1 okolica anatomiczna</t>
        </is>
      </c>
      <c r="K546" t="inlineStr">
        <is>
          <t>Tomasz Bujalski</t>
        </is>
      </c>
      <c r="L546" t="inlineStr">
        <is>
          <t> </t>
        </is>
      </c>
      <c r="M546" t="inlineStr">
        <is>
          <t>SAMODZIELNY ZESPÓŁ PUBLICZNYCH ZAKŁADÓW LECZNICTWA OTWARTEGO WARSZAWA-MOKOTÓW</t>
        </is>
      </c>
      <c r="N546" t="inlineStr">
        <is>
          <t>SZPITALNY ODDZIAŁ RATUNKOWY (78206)</t>
        </is>
      </c>
      <c r="O546" t="inlineStr">
        <is>
          <t>Elena Ivanova</t>
        </is>
      </c>
      <c r="P546" t="inlineStr">
        <is>
          <t>3864291</t>
        </is>
      </c>
      <c r="Q546" t="inlineStr">
        <is>
          <t>I64</t>
        </is>
      </c>
      <c r="R546" t="inlineStr">
        <is>
          <t>tdpraski</t>
        </is>
      </c>
      <c r="S546" s="1" t="n">
        <v>46159.44375</v>
      </c>
      <c r="T546" t="n">
        <v>0</v>
      </c>
      <c r="U546" t="inlineStr">
        <is>
          <t>BUJALSKI TOMASZ</t>
        </is>
      </c>
    </row>
    <row r="547">
      <c r="A547" s="1" t="n">
        <v>46159</v>
      </c>
      <c r="B547" t="n">
        <v>14378084</v>
      </c>
      <c r="C547" t="inlineStr">
        <is>
          <t>Anastasiya Khramtsevich</t>
        </is>
      </c>
      <c r="D547" t="inlineStr">
        <is>
          <t>99122712346</t>
        </is>
      </c>
      <c r="E547" s="1" t="n">
        <v>46159</v>
      </c>
      <c r="F547" t="inlineStr">
        <is>
          <t>CITO-CITO</t>
        </is>
      </c>
      <c r="G547" t="inlineStr">
        <is>
          <t>TK</t>
        </is>
      </c>
      <c r="H547" t="inlineStr">
        <is>
          <t>TK stawu kolanowego bez kontrastu</t>
        </is>
      </c>
      <c r="I547" t="inlineStr">
        <is>
          <t>TK Zwykłe</t>
        </is>
      </c>
      <c r="J547" t="inlineStr">
        <is>
          <t>1 okolica anatomiczna</t>
        </is>
      </c>
      <c r="K547" t="inlineStr">
        <is>
          <t>Tomasz Bujalski</t>
        </is>
      </c>
      <c r="L547" t="inlineStr">
        <is>
          <t> </t>
        </is>
      </c>
      <c r="M547" t="inlineStr">
        <is>
          <t>SAMODZIELNY ZESPÓŁ PUBLICZNYCH ZAKŁADÓW LECZNICTWA OTWARTEGO WARSZAWA-MOKOTÓW</t>
        </is>
      </c>
      <c r="N547" t="inlineStr">
        <is>
          <t>SZPITALNY ODDZIAŁ RATUNKOWY (78206)</t>
        </is>
      </c>
      <c r="O547" t="inlineStr">
        <is>
          <t>Pavlo Lovchytskyi</t>
        </is>
      </c>
      <c r="P547" t="inlineStr">
        <is>
          <t>4487172</t>
        </is>
      </c>
      <c r="Q547" t="inlineStr">
        <is>
          <t>S83.6</t>
        </is>
      </c>
      <c r="R547" t="inlineStr">
        <is>
          <t>tdpraski</t>
        </is>
      </c>
      <c r="S547" s="1" t="n">
        <v>46159.48263888889</v>
      </c>
      <c r="T547" t="n">
        <v>0</v>
      </c>
      <c r="U547" t="inlineStr">
        <is>
          <t>BUJALSKI TOMASZ</t>
        </is>
      </c>
    </row>
    <row r="548">
      <c r="A548" s="1" t="n">
        <v>46161</v>
      </c>
      <c r="B548" t="n">
        <v>14394110</v>
      </c>
      <c r="C548" t="inlineStr">
        <is>
          <t>Ewa Kurowska</t>
        </is>
      </c>
      <c r="D548" t="inlineStr">
        <is>
          <t>71101200846</t>
        </is>
      </c>
      <c r="E548" s="1" t="n">
        <v>46161</v>
      </c>
      <c r="F548" t="inlineStr">
        <is>
          <t>CITO-CITO</t>
        </is>
      </c>
      <c r="G548" t="inlineStr">
        <is>
          <t>TK</t>
        </is>
      </c>
      <c r="H548" t="inlineStr">
        <is>
          <t>TK jamy brzusznej i miednicy mniejszej - bez kontrastu</t>
        </is>
      </c>
      <c r="I548" t="inlineStr">
        <is>
          <t>TK Zwykłe</t>
        </is>
      </c>
      <c r="J548" t="inlineStr">
        <is>
          <t>2 okolice anatomiczne</t>
        </is>
      </c>
      <c r="K548" t="inlineStr">
        <is>
          <t>Tomasz Bujalski</t>
        </is>
      </c>
      <c r="L548" t="inlineStr">
        <is>
          <t> </t>
        </is>
      </c>
      <c r="M548" t="inlineStr">
        <is>
          <t>Oddział Chirurgii Zachód</t>
        </is>
      </c>
      <c r="N548" t="inlineStr">
        <is>
          <t>Oddział Chirurgii Zachód</t>
        </is>
      </c>
      <c r="O548" t="inlineStr">
        <is>
          <t>Marcin Dobrowolski</t>
        </is>
      </c>
      <c r="P548" t="inlineStr">
        <is>
          <t>3759521</t>
        </is>
      </c>
      <c r="Q548" t="inlineStr">
        <is>
          <t>K56.7</t>
        </is>
      </c>
      <c r="R548" t="inlineStr">
        <is>
          <t>tdpraski</t>
        </is>
      </c>
      <c r="S548" s="1" t="n">
        <v>46161.30208333334</v>
      </c>
      <c r="T548" t="n">
        <v>0</v>
      </c>
      <c r="U548" t="inlineStr">
        <is>
          <t>BUJALSKI TOMASZ</t>
        </is>
      </c>
    </row>
    <row r="549">
      <c r="A549" s="1" t="n">
        <v>46168</v>
      </c>
      <c r="B549" t="n">
        <v>14466658</v>
      </c>
      <c r="C549" t="inlineStr">
        <is>
          <t>Krystyna Zasada</t>
        </is>
      </c>
      <c r="D549" t="inlineStr">
        <is>
          <t>48032309287</t>
        </is>
      </c>
      <c r="E549" s="1" t="n">
        <v>46168</v>
      </c>
      <c r="F549" t="inlineStr">
        <is>
          <t>CITO-CITO</t>
        </is>
      </c>
      <c r="G549" t="inlineStr">
        <is>
          <t>TK</t>
        </is>
      </c>
      <c r="H549" t="inlineStr">
        <is>
          <t>TK twarzoczaszki bez kontrastu</t>
        </is>
      </c>
      <c r="I549" t="inlineStr">
        <is>
          <t>TK Zwykłe</t>
        </is>
      </c>
      <c r="J549" t="inlineStr">
        <is>
          <t>1 okolica anatomiczna</t>
        </is>
      </c>
      <c r="K549" t="inlineStr">
        <is>
          <t>Tomasz Bujalski</t>
        </is>
      </c>
      <c r="L549" t="inlineStr">
        <is>
          <t> </t>
        </is>
      </c>
      <c r="M549" t="inlineStr">
        <is>
          <t>SAMODZIELNY ZESPÓŁ PUBLICZNYCH ZAKŁADÓW LECZNICTWA OTWARTEGO WARSZAWA-MOKOTÓW</t>
        </is>
      </c>
      <c r="N549" t="inlineStr">
        <is>
          <t>SZPITALNY ODDZIAŁ RATUNKOWY (78206)</t>
        </is>
      </c>
      <c r="O549" t="inlineStr">
        <is>
          <t>Kamil Kondracki</t>
        </is>
      </c>
      <c r="P549" t="inlineStr">
        <is>
          <t>3982102</t>
        </is>
      </c>
      <c r="Q549" t="inlineStr">
        <is>
          <t>I10</t>
        </is>
      </c>
      <c r="R549" t="inlineStr">
        <is>
          <t>tdpraski</t>
        </is>
      </c>
      <c r="S549" s="1" t="n">
        <v>46168.25625</v>
      </c>
      <c r="T549" t="n">
        <v>0</v>
      </c>
      <c r="U549" t="inlineStr">
        <is>
          <t>BUJALSKI TOMASZ</t>
        </is>
      </c>
    </row>
    <row r="550">
      <c r="A550" s="1" t="n">
        <v>46170</v>
      </c>
      <c r="B550" t="n">
        <v>14490053</v>
      </c>
      <c r="C550" t="inlineStr">
        <is>
          <t>Tomasz Gortat</t>
        </is>
      </c>
      <c r="D550" t="inlineStr">
        <is>
          <t>98060805653</t>
        </is>
      </c>
      <c r="E550" s="1" t="n">
        <v>46170</v>
      </c>
      <c r="F550" t="inlineStr">
        <is>
          <t>CITO-CITO</t>
        </is>
      </c>
      <c r="G550" t="inlineStr">
        <is>
          <t>TK</t>
        </is>
      </c>
      <c r="H550" t="inlineStr">
        <is>
          <t>TK jamy brzusznej bez kontrastu - kamica układu moczowego</t>
        </is>
      </c>
      <c r="I550" t="inlineStr">
        <is>
          <t>TK Zwykłe</t>
        </is>
      </c>
      <c r="J550" t="inlineStr">
        <is>
          <t>2 okolice anatomiczne</t>
        </is>
      </c>
      <c r="K550" t="inlineStr">
        <is>
          <t>Tomasz Bujalski</t>
        </is>
      </c>
      <c r="L550" t="inlineStr">
        <is>
          <t> </t>
        </is>
      </c>
      <c r="M550" t="inlineStr">
        <is>
          <t>SAMODZIELNY ZESPÓŁ PUBLICZNYCH ZAKŁADÓW LECZNICTWA OTWARTEGO WARSZAWA-MOKOTÓW</t>
        </is>
      </c>
      <c r="N550" t="inlineStr">
        <is>
          <t>SZPITALNY ODDZIAŁ RATUNKOWY (78206)</t>
        </is>
      </c>
      <c r="O550" t="inlineStr">
        <is>
          <t>Małgorzata Luckner</t>
        </is>
      </c>
      <c r="P550" t="inlineStr">
        <is>
          <t>3782860</t>
        </is>
      </c>
      <c r="Q550" t="inlineStr">
        <is>
          <t>N20</t>
        </is>
      </c>
      <c r="R550" t="inlineStr">
        <is>
          <t>tdpraski</t>
        </is>
      </c>
      <c r="S550" s="1" t="n">
        <v>46170.16736111111</v>
      </c>
      <c r="T550" t="n">
        <v>0</v>
      </c>
      <c r="U550" t="inlineStr">
        <is>
          <t>BUJALSKI TOMASZ</t>
        </is>
      </c>
    </row>
    <row r="551">
      <c r="A551" s="1" t="n">
        <v>46150</v>
      </c>
      <c r="B551" t="inlineStr">
        <is>
          <t>1754/TK/2026</t>
        </is>
      </c>
      <c r="C551" t="inlineStr">
        <is>
          <t>EUGENIUSZ WÓJTOWICZ</t>
        </is>
      </c>
      <c r="D551" t="n">
        <v>55091914312</v>
      </c>
      <c r="E551" s="1" t="n">
        <v>46149</v>
      </c>
      <c r="F551" t="inlineStr">
        <is>
          <t>Pilny</t>
        </is>
      </c>
      <c r="G551" t="inlineStr">
        <is>
          <t>TK</t>
        </is>
      </c>
      <c r="H551" t="inlineStr">
        <is>
          <t>TK brzucha z miednicą bez i z kontrastem</t>
        </is>
      </c>
      <c r="I551" t="inlineStr">
        <is>
          <t>TK Onkologia</t>
        </is>
      </c>
      <c r="J551" t="inlineStr">
        <is>
          <t>2 okolice anatomiczne</t>
        </is>
      </c>
      <c r="K551" t="inlineStr">
        <is>
          <t>Tomasz Bujalski</t>
        </is>
      </c>
      <c r="L551" t="inlineStr">
        <is>
          <t> </t>
        </is>
      </c>
      <c r="M551" t="inlineStr">
        <is>
          <t>Szpital Powiatowy w Pyrzycach</t>
        </is>
      </c>
      <c r="N551" t="inlineStr">
        <is>
          <t>Poradnia Chirurgii Ogólnej</t>
        </is>
      </c>
      <c r="O551" t="inlineStr">
        <is>
          <t>ANDRZEJ SOWIŃSKI</t>
        </is>
      </c>
      <c r="P551" t="inlineStr">
        <is>
          <t>8353531</t>
        </is>
      </c>
      <c r="Q551" t="inlineStr">
        <is>
          <t>C67</t>
        </is>
      </c>
      <c r="R551" t="inlineStr">
        <is>
          <t>tdpyrzyce</t>
        </is>
      </c>
      <c r="S551" s="1" t="n">
        <v>46149.57777777778</v>
      </c>
      <c r="T551" t="n">
        <v>0</v>
      </c>
      <c r="U551" t="inlineStr">
        <is>
          <t>BUJALSKI TOMASZ</t>
        </is>
      </c>
    </row>
    <row r="552">
      <c r="A552" s="1" t="n">
        <v>46153</v>
      </c>
      <c r="B552" t="inlineStr">
        <is>
          <t>1789/TK/2026</t>
        </is>
      </c>
      <c r="C552" t="inlineStr">
        <is>
          <t>EWELINA ŁOŚ</t>
        </is>
      </c>
      <c r="D552" t="n">
        <v>83041509468</v>
      </c>
      <c r="E552" s="1" t="n">
        <v>46153</v>
      </c>
      <c r="F552" t="inlineStr">
        <is>
          <t>CITO-CITO</t>
        </is>
      </c>
      <c r="G552" t="inlineStr">
        <is>
          <t>TK</t>
        </is>
      </c>
      <c r="H552" t="inlineStr">
        <is>
          <t>TK: badanie głowy  bez środka kontrastowego</t>
        </is>
      </c>
      <c r="I552" t="inlineStr">
        <is>
          <t>TK Zwykłe</t>
        </is>
      </c>
      <c r="J552" t="inlineStr">
        <is>
          <t>1 okolica anatomiczna</t>
        </is>
      </c>
      <c r="K552" t="inlineStr">
        <is>
          <t>Tomasz Bujalski</t>
        </is>
      </c>
      <c r="L552" t="inlineStr">
        <is>
          <t> </t>
        </is>
      </c>
      <c r="M552" t="inlineStr">
        <is>
          <t>"Szpital Powiatowy w Gryfinie" Spółka z ograniczoną odpowiedzialnością</t>
        </is>
      </c>
      <c r="N552" t="inlineStr">
        <is>
          <t>IZBA PRZYJĘĆ</t>
        </is>
      </c>
      <c r="O552" t="inlineStr">
        <is>
          <t>MAGDALENA PTASZYŃSKA</t>
        </is>
      </c>
      <c r="P552" t="inlineStr">
        <is>
          <t>3189521</t>
        </is>
      </c>
      <c r="Q552" t="inlineStr">
        <is>
          <t> </t>
        </is>
      </c>
      <c r="R552" t="inlineStr">
        <is>
          <t>tdpyrzyce</t>
        </is>
      </c>
      <c r="S552" s="1" t="n">
        <v>46153.26319444444</v>
      </c>
      <c r="T552" t="n">
        <v>0</v>
      </c>
      <c r="U552" t="inlineStr">
        <is>
          <t>BUJALSKI TOMASZ</t>
        </is>
      </c>
    </row>
    <row r="553">
      <c r="A553" s="1" t="n">
        <v>46163</v>
      </c>
      <c r="B553" t="inlineStr">
        <is>
          <t>1912/TK/2026</t>
        </is>
      </c>
      <c r="C553" t="inlineStr">
        <is>
          <t>EMILIA ROGOWSKA</t>
        </is>
      </c>
      <c r="D553" t="n">
        <v>48041911446</v>
      </c>
      <c r="E553" s="1" t="n">
        <v>46163</v>
      </c>
      <c r="F553" t="inlineStr">
        <is>
          <t>CITO-CITO</t>
        </is>
      </c>
      <c r="G553" t="inlineStr">
        <is>
          <t>TK</t>
        </is>
      </c>
      <c r="H553" t="inlineStr">
        <is>
          <t>TK: badanie głowy  bez środka kontrastowego</t>
        </is>
      </c>
      <c r="I553" t="inlineStr">
        <is>
          <t>TK Zwykłe</t>
        </is>
      </c>
      <c r="J553" t="inlineStr">
        <is>
          <t>1 okolica anatomiczna</t>
        </is>
      </c>
      <c r="K553" t="inlineStr">
        <is>
          <t>Tomasz Bujalski</t>
        </is>
      </c>
      <c r="L553" t="inlineStr">
        <is>
          <t> </t>
        </is>
      </c>
      <c r="M553" t="inlineStr">
        <is>
          <t>Szpital Powiatowy w Pyrzycach</t>
        </is>
      </c>
      <c r="N553" t="inlineStr">
        <is>
          <t>ODDZIAŁ CHORÓB WEWNĘTRZNYCH</t>
        </is>
      </c>
      <c r="O553" t="inlineStr">
        <is>
          <t>Małgorzata Kawecka</t>
        </is>
      </c>
      <c r="P553" t="inlineStr">
        <is>
          <t>5739187</t>
        </is>
      </c>
      <c r="Q553" t="inlineStr">
        <is>
          <t>R42</t>
        </is>
      </c>
      <c r="R553" t="inlineStr">
        <is>
          <t>tdpyrzyce</t>
        </is>
      </c>
      <c r="S553" s="1" t="n">
        <v>46163.39583333334</v>
      </c>
      <c r="T553" t="n">
        <v>0</v>
      </c>
      <c r="U553" t="inlineStr">
        <is>
          <t>BUJALSKI TOMASZ</t>
        </is>
      </c>
    </row>
    <row r="554">
      <c r="A554" s="1" t="n">
        <v>46164</v>
      </c>
      <c r="B554" t="inlineStr">
        <is>
          <t>1867/TK/2026</t>
        </is>
      </c>
      <c r="C554" t="inlineStr">
        <is>
          <t>GENOWEFA SIKORSKA</t>
        </is>
      </c>
      <c r="D554" t="n">
        <v>43040208386</v>
      </c>
      <c r="E554" s="1" t="n">
        <v>46160</v>
      </c>
      <c r="F554" t="inlineStr">
        <is>
          <t>Planowy</t>
        </is>
      </c>
      <c r="G554" t="inlineStr">
        <is>
          <t>TK</t>
        </is>
      </c>
      <c r="H554" t="inlineStr">
        <is>
          <t>TK klatki piersiowej bez i z kontrastem</t>
        </is>
      </c>
      <c r="I554" t="inlineStr">
        <is>
          <t>TK Zwykłe</t>
        </is>
      </c>
      <c r="J554" t="inlineStr">
        <is>
          <t>1 okolica anatomiczna</t>
        </is>
      </c>
      <c r="K554" t="inlineStr">
        <is>
          <t>Tomasz Bujalski</t>
        </is>
      </c>
      <c r="L554" t="inlineStr">
        <is>
          <t> </t>
        </is>
      </c>
      <c r="M554" t="inlineStr">
        <is>
          <t>JEDNOSTKA KIERUJACA ZEWN. 79</t>
        </is>
      </c>
      <c r="N554" t="inlineStr">
        <is>
          <t>PORADNIA LEKARZY POZ</t>
        </is>
      </c>
      <c r="O554" t="inlineStr">
        <is>
          <t>ROMANA TARNOWSKA</t>
        </is>
      </c>
      <c r="P554" t="inlineStr">
        <is>
          <t>8191976</t>
        </is>
      </c>
      <c r="Q554" t="inlineStr">
        <is>
          <t>I26.9</t>
        </is>
      </c>
      <c r="R554" t="inlineStr">
        <is>
          <t>tdpyrzyce</t>
        </is>
      </c>
      <c r="S554" s="1" t="n">
        <v>46163.43819444445</v>
      </c>
      <c r="T554" t="n">
        <v>1</v>
      </c>
      <c r="U554" t="inlineStr">
        <is>
          <t>BUJALSKI TOMASZ</t>
        </is>
      </c>
    </row>
    <row r="555">
      <c r="A555" s="1" t="n">
        <v>46165</v>
      </c>
      <c r="B555" t="inlineStr">
        <is>
          <t>1933/TK/2026</t>
        </is>
      </c>
      <c r="C555" t="inlineStr">
        <is>
          <t>ADAM GAWLAS</t>
        </is>
      </c>
      <c r="D555" t="n">
        <v>77042908876</v>
      </c>
      <c r="E555" s="1" t="n">
        <v>46165</v>
      </c>
      <c r="F555" t="inlineStr">
        <is>
          <t>CITO-CITO</t>
        </is>
      </c>
      <c r="G555" t="inlineStr">
        <is>
          <t>TK</t>
        </is>
      </c>
      <c r="H555" t="inlineStr">
        <is>
          <t>TK klatki piersiowej bez kontrastu</t>
        </is>
      </c>
      <c r="I555" t="inlineStr">
        <is>
          <t>TK Zwykłe</t>
        </is>
      </c>
      <c r="J555" t="inlineStr">
        <is>
          <t>1 okolica anatomiczna</t>
        </is>
      </c>
      <c r="K555" t="inlineStr">
        <is>
          <t>Tomasz Bujalski</t>
        </is>
      </c>
      <c r="L555" t="inlineStr">
        <is>
          <t> </t>
        </is>
      </c>
      <c r="M555" t="inlineStr">
        <is>
          <t>"Szpital Powiatowy w Gryfinie" Spółka z ograniczoną odpowiedzialnością</t>
        </is>
      </c>
      <c r="N555" t="inlineStr">
        <is>
          <t>Izba przyjęć</t>
        </is>
      </c>
      <c r="O555" t="inlineStr">
        <is>
          <t>DOMINIK KUBIŃSKI</t>
        </is>
      </c>
      <c r="P555" t="inlineStr">
        <is>
          <t>1484920</t>
        </is>
      </c>
      <c r="Q555" t="inlineStr">
        <is>
          <t> </t>
        </is>
      </c>
      <c r="R555" t="inlineStr">
        <is>
          <t>tdpyrzyce</t>
        </is>
      </c>
      <c r="S555" s="1" t="n">
        <v>46165.48055555556</v>
      </c>
      <c r="T555" t="n">
        <v>0</v>
      </c>
      <c r="U555" t="inlineStr">
        <is>
          <t>BUJALSKI TOMASZ</t>
        </is>
      </c>
    </row>
    <row r="556">
      <c r="A556" s="1" t="n">
        <v>46165</v>
      </c>
      <c r="B556" t="inlineStr">
        <is>
          <t>1935/TK/2026</t>
        </is>
      </c>
      <c r="C556" t="inlineStr">
        <is>
          <t>GRACJAN WÓJCIK</t>
        </is>
      </c>
      <c r="D556" t="n">
        <v>5252900038</v>
      </c>
      <c r="E556" s="1" t="n">
        <v>46165</v>
      </c>
      <c r="F556" t="inlineStr">
        <is>
          <t>CITO-CITO</t>
        </is>
      </c>
      <c r="G556" t="inlineStr">
        <is>
          <t>TK</t>
        </is>
      </c>
      <c r="H556" t="inlineStr">
        <is>
          <t>TK: badanie głowy  bez środka kontrastowego</t>
        </is>
      </c>
      <c r="I556" t="inlineStr">
        <is>
          <t>TK Zwykłe</t>
        </is>
      </c>
      <c r="J556" t="inlineStr">
        <is>
          <t>1 okolica anatomiczna</t>
        </is>
      </c>
      <c r="K556" t="inlineStr">
        <is>
          <t>Tomasz Bujalski</t>
        </is>
      </c>
      <c r="L556" t="inlineStr">
        <is>
          <t> </t>
        </is>
      </c>
      <c r="M556" t="inlineStr">
        <is>
          <t>Szpital Powiatowy w Pyrzycach</t>
        </is>
      </c>
      <c r="N556" t="inlineStr">
        <is>
          <t>IZBA PRZYJĘĆ</t>
        </is>
      </c>
      <c r="O556" t="inlineStr">
        <is>
          <t>Zenon Czeraszkiewicz</t>
        </is>
      </c>
      <c r="P556" t="inlineStr">
        <is>
          <t>4356593</t>
        </is>
      </c>
      <c r="Q556" t="inlineStr">
        <is>
          <t>S06.0</t>
        </is>
      </c>
      <c r="R556" t="inlineStr">
        <is>
          <t>tdpyrzyce</t>
        </is>
      </c>
      <c r="S556" s="1" t="n">
        <v>46165.68125</v>
      </c>
      <c r="T556" t="n">
        <v>0</v>
      </c>
      <c r="U556" t="inlineStr">
        <is>
          <t>BUJALSKI TOMASZ</t>
        </is>
      </c>
    </row>
    <row r="557">
      <c r="A557" s="1" t="n">
        <v>46165</v>
      </c>
      <c r="B557" t="inlineStr">
        <is>
          <t>1936/TK/2026</t>
        </is>
      </c>
      <c r="C557" t="inlineStr">
        <is>
          <t>GRACJAN WÓJCIK</t>
        </is>
      </c>
      <c r="D557" t="n">
        <v>5252900038</v>
      </c>
      <c r="E557" s="1" t="n">
        <v>46165</v>
      </c>
      <c r="F557" t="inlineStr">
        <is>
          <t>CITO-CITO</t>
        </is>
      </c>
      <c r="G557" t="inlineStr">
        <is>
          <t>TK</t>
        </is>
      </c>
      <c r="H557" t="inlineStr">
        <is>
          <t>TK kręgosłupa – odcinek szyjny</t>
        </is>
      </c>
      <c r="I557" t="inlineStr">
        <is>
          <t>TK Zwykłe</t>
        </is>
      </c>
      <c r="J557" t="inlineStr">
        <is>
          <t>1 okolica anatomiczna</t>
        </is>
      </c>
      <c r="K557" t="inlineStr">
        <is>
          <t>Tomasz Bujalski</t>
        </is>
      </c>
      <c r="L557" t="inlineStr">
        <is>
          <t> </t>
        </is>
      </c>
      <c r="M557" t="inlineStr">
        <is>
          <t>Szpital Powiatowy w Pyrzycach</t>
        </is>
      </c>
      <c r="N557" t="inlineStr">
        <is>
          <t>IZBA PRZYJĘĆ</t>
        </is>
      </c>
      <c r="O557" t="inlineStr">
        <is>
          <t>Zenon Czeraszkiewicz</t>
        </is>
      </c>
      <c r="P557" t="inlineStr">
        <is>
          <t>4356593</t>
        </is>
      </c>
      <c r="Q557" t="inlineStr">
        <is>
          <t>S06.0</t>
        </is>
      </c>
      <c r="R557" t="inlineStr">
        <is>
          <t>tdpyrzyce</t>
        </is>
      </c>
      <c r="S557" s="1" t="n">
        <v>46165.68194444444</v>
      </c>
      <c r="T557" t="n">
        <v>0</v>
      </c>
      <c r="U557" t="inlineStr">
        <is>
          <t>BUJALSKI TOMASZ</t>
        </is>
      </c>
    </row>
    <row r="558">
      <c r="A558" s="1" t="n">
        <v>46165</v>
      </c>
      <c r="B558" t="inlineStr">
        <is>
          <t>1937/TK/2026</t>
        </is>
      </c>
      <c r="C558" t="inlineStr">
        <is>
          <t>GRACJAN WÓJCIK</t>
        </is>
      </c>
      <c r="D558" t="n">
        <v>5252900038</v>
      </c>
      <c r="E558" s="1" t="n">
        <v>46165</v>
      </c>
      <c r="F558" t="inlineStr">
        <is>
          <t>CITO-CITO</t>
        </is>
      </c>
      <c r="G558" t="inlineStr">
        <is>
          <t>TK</t>
        </is>
      </c>
      <c r="H558" t="inlineStr">
        <is>
          <t>TK kręgosłupa – odcinek lędźwiowy</t>
        </is>
      </c>
      <c r="I558" t="inlineStr">
        <is>
          <t>TK Zwykłe</t>
        </is>
      </c>
      <c r="J558" t="inlineStr">
        <is>
          <t>1 okolica anatomiczna</t>
        </is>
      </c>
      <c r="K558" t="inlineStr">
        <is>
          <t>Tomasz Bujalski</t>
        </is>
      </c>
      <c r="L558" t="inlineStr">
        <is>
          <t> </t>
        </is>
      </c>
      <c r="M558" t="inlineStr">
        <is>
          <t>Szpital Powiatowy w Pyrzycach</t>
        </is>
      </c>
      <c r="N558" t="inlineStr">
        <is>
          <t>IZBA PRZYJĘĆ</t>
        </is>
      </c>
      <c r="O558" t="inlineStr">
        <is>
          <t>Zenon Czeraszkiewicz</t>
        </is>
      </c>
      <c r="P558" t="inlineStr">
        <is>
          <t>4356593</t>
        </is>
      </c>
      <c r="Q558" t="inlineStr">
        <is>
          <t>S06.0</t>
        </is>
      </c>
      <c r="R558" t="inlineStr">
        <is>
          <t>tdpyrzyce</t>
        </is>
      </c>
      <c r="S558" s="1" t="n">
        <v>46165.68055555555</v>
      </c>
      <c r="T558" t="n">
        <v>0</v>
      </c>
      <c r="U558" t="inlineStr">
        <is>
          <t>BUJALSKI TOMASZ</t>
        </is>
      </c>
    </row>
    <row r="559">
      <c r="A559" s="1" t="n">
        <v>46149</v>
      </c>
      <c r="B559" t="n">
        <v>1824033</v>
      </c>
      <c r="C559" t="inlineStr">
        <is>
          <t>ELZBIETA DYCZKOWSKA</t>
        </is>
      </c>
      <c r="D559" t="inlineStr">
        <is>
          <t>69091508268</t>
        </is>
      </c>
      <c r="E559" s="1" t="n">
        <v>46058</v>
      </c>
      <c r="F559" t="inlineStr">
        <is>
          <t>Planowy</t>
        </is>
      </c>
      <c r="G559" t="inlineStr">
        <is>
          <t>MR</t>
        </is>
      </c>
      <c r="H559" t="inlineStr">
        <is>
          <t>MR miednicy z kontrastem</t>
        </is>
      </c>
      <c r="I559" t="inlineStr">
        <is>
          <t>MR Onkologia</t>
        </is>
      </c>
      <c r="J559" t="inlineStr">
        <is>
          <t>1 okolica anatomiczna</t>
        </is>
      </c>
      <c r="K559" t="inlineStr">
        <is>
          <t>Tomasz Bujalski</t>
        </is>
      </c>
      <c r="L559" t="inlineStr">
        <is>
          <t> </t>
        </is>
      </c>
      <c r="M559" t="inlineStr">
        <is>
          <t> </t>
        </is>
      </c>
      <c r="N559" t="inlineStr">
        <is>
          <t> </t>
        </is>
      </c>
      <c r="O559" t="inlineStr">
        <is>
          <t> </t>
        </is>
      </c>
      <c r="P559" t="inlineStr">
        <is>
          <t> </t>
        </is>
      </c>
      <c r="Q559" t="inlineStr">
        <is>
          <t> </t>
        </is>
      </c>
      <c r="R559" t="inlineStr">
        <is>
          <t>tdscanmedpila</t>
        </is>
      </c>
      <c r="S559" s="1" t="n">
        <v>46127.37847222222</v>
      </c>
      <c r="T559" t="n">
        <v>1</v>
      </c>
      <c r="U559" t="inlineStr">
        <is>
          <t>BUJALSKI TOMASZ</t>
        </is>
      </c>
    </row>
    <row r="560">
      <c r="A560" s="1" t="n">
        <v>46153</v>
      </c>
      <c r="B560" t="n">
        <v>1940689</v>
      </c>
      <c r="C560" t="inlineStr">
        <is>
          <t>JOLANTA ZBIELSKA</t>
        </is>
      </c>
      <c r="D560" t="inlineStr">
        <is>
          <t>59031519205</t>
        </is>
      </c>
      <c r="E560" s="1" t="n">
        <v>46130</v>
      </c>
      <c r="F560" t="inlineStr">
        <is>
          <t>Planowy</t>
        </is>
      </c>
      <c r="G560" t="inlineStr">
        <is>
          <t>MR</t>
        </is>
      </c>
      <c r="H560" t="inlineStr">
        <is>
          <t>MR miednicy z kontrastem</t>
        </is>
      </c>
      <c r="I560" t="inlineStr">
        <is>
          <t>MR Onkologia</t>
        </is>
      </c>
      <c r="J560" t="inlineStr">
        <is>
          <t>1 okolica anatomiczna</t>
        </is>
      </c>
      <c r="K560" t="inlineStr">
        <is>
          <t>Tomasz Bujalski</t>
        </is>
      </c>
      <c r="L560" t="inlineStr">
        <is>
          <t> </t>
        </is>
      </c>
      <c r="M560" t="inlineStr">
        <is>
          <t> </t>
        </is>
      </c>
      <c r="N560" t="inlineStr">
        <is>
          <t> </t>
        </is>
      </c>
      <c r="O560" t="inlineStr">
        <is>
          <t> </t>
        </is>
      </c>
      <c r="P560" t="inlineStr">
        <is>
          <t> </t>
        </is>
      </c>
      <c r="Q560" t="inlineStr">
        <is>
          <t> </t>
        </is>
      </c>
      <c r="R560" t="inlineStr">
        <is>
          <t>tdscanmedpila</t>
        </is>
      </c>
      <c r="S560" s="1" t="n">
        <v>46132.49027777778</v>
      </c>
      <c r="T560" t="n">
        <v>0</v>
      </c>
      <c r="U560" t="inlineStr">
        <is>
          <t>BUJALSKI TOMASZ</t>
        </is>
      </c>
    </row>
    <row r="561">
      <c r="A561" s="1" t="n">
        <v>46162</v>
      </c>
      <c r="B561" t="n">
        <v>1896867</v>
      </c>
      <c r="C561" t="inlineStr">
        <is>
          <t>WIESLAWA WIESIOLEK</t>
        </is>
      </c>
      <c r="D561" t="inlineStr">
        <is>
          <t>PACS-1903544590</t>
        </is>
      </c>
      <c r="E561" s="1" t="n">
        <v>46142</v>
      </c>
      <c r="F561" t="inlineStr">
        <is>
          <t>Planowy</t>
        </is>
      </c>
      <c r="G561" t="inlineStr">
        <is>
          <t>TK</t>
        </is>
      </c>
      <c r="H561" t="inlineStr">
        <is>
          <t>TK klatki piersiowej z kontrastem</t>
        </is>
      </c>
      <c r="I561" t="inlineStr">
        <is>
          <t>TK Zwykłe</t>
        </is>
      </c>
      <c r="J561" t="inlineStr">
        <is>
          <t>1 okolica anatomiczna</t>
        </is>
      </c>
      <c r="K561" t="inlineStr">
        <is>
          <t>Tomasz Bujalski</t>
        </is>
      </c>
      <c r="L561" t="inlineStr">
        <is>
          <t> </t>
        </is>
      </c>
      <c r="M561" t="inlineStr">
        <is>
          <t> </t>
        </is>
      </c>
      <c r="N561" t="inlineStr">
        <is>
          <t> </t>
        </is>
      </c>
      <c r="O561" t="inlineStr">
        <is>
          <t> </t>
        </is>
      </c>
      <c r="P561" t="inlineStr">
        <is>
          <t> </t>
        </is>
      </c>
      <c r="Q561" t="inlineStr">
        <is>
          <t> </t>
        </is>
      </c>
      <c r="R561" t="inlineStr">
        <is>
          <t>tdscanmedpila</t>
        </is>
      </c>
      <c r="S561" s="1" t="n">
        <v>46154.45069444444</v>
      </c>
      <c r="T561" t="n">
        <v>1</v>
      </c>
      <c r="U561" t="inlineStr">
        <is>
          <t>BUJALSKI TOMASZ</t>
        </is>
      </c>
    </row>
    <row r="562">
      <c r="A562" s="1" t="n">
        <v>46163</v>
      </c>
      <c r="B562" t="n">
        <v>1946987</v>
      </c>
      <c r="C562" t="inlineStr">
        <is>
          <t>ALICJA JASZEWSKA</t>
        </is>
      </c>
      <c r="D562" t="inlineStr">
        <is>
          <t>68022702582</t>
        </is>
      </c>
      <c r="E562" s="1" t="n">
        <v>46162</v>
      </c>
      <c r="F562" t="inlineStr">
        <is>
          <t>Planowy</t>
        </is>
      </c>
      <c r="G562" t="inlineStr">
        <is>
          <t>TK</t>
        </is>
      </c>
      <c r="H562" t="inlineStr">
        <is>
          <t>TK klatki piersiowej z kontrastem</t>
        </is>
      </c>
      <c r="I562" t="inlineStr">
        <is>
          <t>TK Onkologia</t>
        </is>
      </c>
      <c r="J562" t="inlineStr">
        <is>
          <t>1 okolica anatomiczna</t>
        </is>
      </c>
      <c r="K562" t="inlineStr">
        <is>
          <t>Tomasz Bujalski</t>
        </is>
      </c>
      <c r="L562" t="inlineStr">
        <is>
          <t> </t>
        </is>
      </c>
      <c r="M562" t="inlineStr">
        <is>
          <t> </t>
        </is>
      </c>
      <c r="N562" t="inlineStr">
        <is>
          <t> </t>
        </is>
      </c>
      <c r="O562" t="inlineStr">
        <is>
          <t> </t>
        </is>
      </c>
      <c r="P562" t="inlineStr">
        <is>
          <t> </t>
        </is>
      </c>
      <c r="Q562" t="inlineStr">
        <is>
          <t> </t>
        </is>
      </c>
      <c r="R562" t="inlineStr">
        <is>
          <t>tdscanmedpila</t>
        </is>
      </c>
      <c r="S562" s="1" t="n">
        <v>46162.51041666666</v>
      </c>
      <c r="T562" t="n">
        <v>0</v>
      </c>
      <c r="U562" t="inlineStr">
        <is>
          <t>BUJALSKI TOMASZ</t>
        </is>
      </c>
    </row>
    <row r="563">
      <c r="A563" s="1" t="n">
        <v>46164</v>
      </c>
      <c r="B563" t="n">
        <v>1941083</v>
      </c>
      <c r="C563" t="inlineStr">
        <is>
          <t>LUCYNA NAWROT</t>
        </is>
      </c>
      <c r="D563" t="inlineStr">
        <is>
          <t>71052002128</t>
        </is>
      </c>
      <c r="E563" s="1" t="n">
        <v>46140</v>
      </c>
      <c r="F563" t="inlineStr">
        <is>
          <t>Planowy</t>
        </is>
      </c>
      <c r="G563" t="inlineStr">
        <is>
          <t>MR</t>
        </is>
      </c>
      <c r="H563" t="inlineStr">
        <is>
          <t>MR jamy brzusznej z kontrastem</t>
        </is>
      </c>
      <c r="I563" t="inlineStr">
        <is>
          <t>MR Onkologia</t>
        </is>
      </c>
      <c r="J563" t="inlineStr">
        <is>
          <t>1 okolica anatomiczna</t>
        </is>
      </c>
      <c r="K563" t="inlineStr">
        <is>
          <t>Tomasz Bujalski</t>
        </is>
      </c>
      <c r="L563" t="inlineStr">
        <is>
          <t> </t>
        </is>
      </c>
      <c r="M563" t="inlineStr">
        <is>
          <t> </t>
        </is>
      </c>
      <c r="N563" t="inlineStr">
        <is>
          <t> </t>
        </is>
      </c>
      <c r="O563" t="inlineStr">
        <is>
          <t> </t>
        </is>
      </c>
      <c r="P563" t="inlineStr">
        <is>
          <t> </t>
        </is>
      </c>
      <c r="Q563" t="inlineStr">
        <is>
          <t> </t>
        </is>
      </c>
      <c r="R563" t="inlineStr">
        <is>
          <t>tdscanmedpila</t>
        </is>
      </c>
      <c r="S563" s="1" t="n">
        <v>46153.29861111111</v>
      </c>
      <c r="T563" t="n">
        <v>1</v>
      </c>
      <c r="U563" t="inlineStr">
        <is>
          <t>BUJALSKI TOMASZ</t>
        </is>
      </c>
    </row>
    <row r="564">
      <c r="A564" s="1" t="n">
        <v>46172</v>
      </c>
      <c r="B564" t="n">
        <v>3217010</v>
      </c>
      <c r="C564" t="inlineStr">
        <is>
          <t>IRENA KURSZEWSKA</t>
        </is>
      </c>
      <c r="D564" t="n">
        <v>52070908809</v>
      </c>
      <c r="E564" s="1" t="n">
        <v>46172</v>
      </c>
      <c r="F564" t="inlineStr">
        <is>
          <t>CITO-CITO</t>
        </is>
      </c>
      <c r="G564" t="inlineStr">
        <is>
          <t>TK</t>
        </is>
      </c>
      <c r="H564" t="inlineStr">
        <is>
          <t>TK głowy bez kontrastu</t>
        </is>
      </c>
      <c r="I564" t="inlineStr">
        <is>
          <t>TK Zwykłe</t>
        </is>
      </c>
      <c r="J564" t="inlineStr">
        <is>
          <t>2 okolice anatomiczne</t>
        </is>
      </c>
      <c r="K564" t="inlineStr">
        <is>
          <t>Tomasz Bujalski</t>
        </is>
      </c>
      <c r="L564" t="inlineStr">
        <is>
          <t> </t>
        </is>
      </c>
      <c r="M564" t="inlineStr">
        <is>
          <t>Brak informacji o jednostce kierującej</t>
        </is>
      </c>
      <c r="N564" t="inlineStr">
        <is>
          <t>009</t>
        </is>
      </c>
      <c r="O564" t="inlineStr">
        <is>
          <t>TOMASZ MAREK</t>
        </is>
      </c>
      <c r="P564" t="inlineStr">
        <is>
          <t>2304772</t>
        </is>
      </c>
      <c r="Q564" t="inlineStr">
        <is>
          <t>S00</t>
        </is>
      </c>
      <c r="R564" t="inlineStr">
        <is>
          <t>tdsmswinoujscie</t>
        </is>
      </c>
      <c r="S564" s="1" t="n">
        <v>46172.57222222222</v>
      </c>
      <c r="T564" t="n">
        <v>0</v>
      </c>
      <c r="U564" t="inlineStr">
        <is>
          <t>BUJALSKI TOMASZ</t>
        </is>
      </c>
    </row>
    <row r="565">
      <c r="A565" s="1" t="n">
        <v>46171</v>
      </c>
      <c r="B565" t="inlineStr">
        <is>
          <t>232/CTk/2026</t>
        </is>
      </c>
      <c r="C565" t="inlineStr">
        <is>
          <t>FRANZ RISSE</t>
        </is>
      </c>
      <c r="D565" t="n">
        <v>35120811199</v>
      </c>
      <c r="E565" s="1" t="n">
        <v>46161</v>
      </c>
      <c r="F565" t="inlineStr">
        <is>
          <t>Planowy</t>
        </is>
      </c>
      <c r="G565" t="inlineStr">
        <is>
          <t>TK</t>
        </is>
      </c>
      <c r="H565" t="inlineStr">
        <is>
          <t>Badanie KT: Szyja</t>
        </is>
      </c>
      <c r="I565" t="inlineStr">
        <is>
          <t>TK Zwykłe</t>
        </is>
      </c>
      <c r="J565" t="inlineStr">
        <is>
          <t>1 okolica anatomiczna</t>
        </is>
      </c>
      <c r="K565" t="inlineStr">
        <is>
          <t>Tomasz Bujalski</t>
        </is>
      </c>
      <c r="L565" t="inlineStr">
        <is>
          <t> </t>
        </is>
      </c>
      <c r="M565" t="inlineStr">
        <is>
          <t>Brak informacji o jednostce kierującej</t>
        </is>
      </c>
      <c r="N565" t="inlineStr">
        <is>
          <t> </t>
        </is>
      </c>
      <c r="O565" t="inlineStr">
        <is>
          <t>Hanna Garstka-Mazik</t>
        </is>
      </c>
      <c r="P565" t="n">
        <v>1861191</v>
      </c>
      <c r="Q565" t="inlineStr">
        <is>
          <t>J37</t>
        </is>
      </c>
      <c r="R565" t="inlineStr">
        <is>
          <t>tdspectrum</t>
        </is>
      </c>
      <c r="S565" s="1" t="n">
        <v>46171.42222222222</v>
      </c>
      <c r="T565" t="n">
        <v>0</v>
      </c>
      <c r="U565" t="inlineStr">
        <is>
          <t>BUJALSKI TOMASZ</t>
        </is>
      </c>
    </row>
    <row r="566">
      <c r="A566" s="1" t="n">
        <v>46149</v>
      </c>
      <c r="B566" t="inlineStr">
        <is>
          <t>109396_744</t>
        </is>
      </c>
      <c r="C566" t="inlineStr">
        <is>
          <t>Zdzisław Sowiński</t>
        </is>
      </c>
      <c r="D566" t="n">
        <v>62011111511</v>
      </c>
      <c r="E566" s="1" t="n">
        <v>46149</v>
      </c>
      <c r="F566" t="inlineStr">
        <is>
          <t>CITO-CITO</t>
        </is>
      </c>
      <c r="G566" t="inlineStr">
        <is>
          <t>TK</t>
        </is>
      </c>
      <c r="H566" t="inlineStr">
        <is>
          <t>Angiografia TK, tętnice płucne</t>
        </is>
      </c>
      <c r="I566" t="inlineStr">
        <is>
          <t>TK Angiografia</t>
        </is>
      </c>
      <c r="J566" t="inlineStr">
        <is>
          <t>1 okolica anatomiczna</t>
        </is>
      </c>
      <c r="K566" t="inlineStr">
        <is>
          <t>Tomasz Bujalski</t>
        </is>
      </c>
      <c r="L566" t="inlineStr">
        <is>
          <t> </t>
        </is>
      </c>
      <c r="M566" t="inlineStr">
        <is>
          <t>SAMODZIELNY PUBLICZNY ZAKŁAD OPIEKI ZDROWOTNEJ W KOLE</t>
        </is>
      </c>
      <c r="N566" t="inlineStr">
        <is>
          <t xml:space="preserve">Oddział  wewnętrzny </t>
        </is>
      </c>
      <c r="O566" t="inlineStr">
        <is>
          <t>Arkadiusz Ostrowski</t>
        </is>
      </c>
      <c r="P566" t="n">
        <v>8569174</v>
      </c>
      <c r="Q566" t="inlineStr">
        <is>
          <t> </t>
        </is>
      </c>
      <c r="R566" t="inlineStr">
        <is>
          <t>tdspzozkolo</t>
        </is>
      </c>
      <c r="S566" s="1" t="n">
        <v>46149.39583333334</v>
      </c>
      <c r="T566" t="n">
        <v>0</v>
      </c>
      <c r="U566" t="inlineStr">
        <is>
          <t>BUJALSKI TOMASZ</t>
        </is>
      </c>
    </row>
    <row r="567">
      <c r="A567" s="1" t="n">
        <v>46150</v>
      </c>
      <c r="B567" t="inlineStr">
        <is>
          <t>109600_729</t>
        </is>
      </c>
      <c r="C567" t="inlineStr">
        <is>
          <t>Emilia Górska</t>
        </is>
      </c>
      <c r="D567" t="n">
        <v>31061910883</v>
      </c>
      <c r="E567" s="1" t="n">
        <v>46150</v>
      </c>
      <c r="F567" t="inlineStr">
        <is>
          <t>CITO-CITO</t>
        </is>
      </c>
      <c r="G567" t="inlineStr">
        <is>
          <t>TK</t>
        </is>
      </c>
      <c r="H567" t="inlineStr">
        <is>
          <t>TK, głowa - mózgowie - badanie bez kontrastu</t>
        </is>
      </c>
      <c r="I567" t="inlineStr">
        <is>
          <t>TK Zwykłe</t>
        </is>
      </c>
      <c r="J567" t="inlineStr">
        <is>
          <t>1 okolica anatomiczna</t>
        </is>
      </c>
      <c r="K567" t="inlineStr">
        <is>
          <t>Tomasz Bujalski</t>
        </is>
      </c>
      <c r="L567" t="inlineStr">
        <is>
          <t> </t>
        </is>
      </c>
      <c r="M567" t="inlineStr">
        <is>
          <t>SAMODZIELNY PUBLICZNY ZAKŁAD OPIEKI ZDROWOTNEJ W KOLE</t>
        </is>
      </c>
      <c r="N567" t="inlineStr">
        <is>
          <t xml:space="preserve">Oddział  wewnętrzny </t>
        </is>
      </c>
      <c r="O567" t="inlineStr">
        <is>
          <t>Arkadiusz Ostrowski</t>
        </is>
      </c>
      <c r="P567" t="n">
        <v>8569174</v>
      </c>
      <c r="Q567" t="inlineStr">
        <is>
          <t> </t>
        </is>
      </c>
      <c r="R567" t="inlineStr">
        <is>
          <t>tdspzozkolo</t>
        </is>
      </c>
      <c r="S567" s="1" t="n">
        <v>46150.42569444444</v>
      </c>
      <c r="T567" t="n">
        <v>0</v>
      </c>
      <c r="U567" t="inlineStr">
        <is>
          <t>BUJALSKI TOMASZ</t>
        </is>
      </c>
    </row>
    <row r="568">
      <c r="A568" s="1" t="n">
        <v>46151</v>
      </c>
      <c r="B568" t="inlineStr">
        <is>
          <t>109655_755</t>
        </is>
      </c>
      <c r="C568" t="inlineStr">
        <is>
          <t>Władysław Pietrzak</t>
        </is>
      </c>
      <c r="D568" t="n">
        <v>46111010455</v>
      </c>
      <c r="E568" s="1" t="n">
        <v>46151</v>
      </c>
      <c r="F568" t="inlineStr">
        <is>
          <t>CITO-CITO</t>
        </is>
      </c>
      <c r="G568" t="inlineStr">
        <is>
          <t>TK</t>
        </is>
      </c>
      <c r="H568" t="inlineStr">
        <is>
          <t>TK, jama brzuszna i miednica - badanie bez kontrastu</t>
        </is>
      </c>
      <c r="I568" t="inlineStr">
        <is>
          <t>TK Zwykłe</t>
        </is>
      </c>
      <c r="J568" t="inlineStr">
        <is>
          <t>2 okolice anatomiczne</t>
        </is>
      </c>
      <c r="K568" t="inlineStr">
        <is>
          <t>Tomasz Bujalski</t>
        </is>
      </c>
      <c r="L568" t="inlineStr">
        <is>
          <t> </t>
        </is>
      </c>
      <c r="M568" t="inlineStr">
        <is>
          <t>SAMODZIELNY PUBLICZNY ZAKŁAD OPIEKI ZDROWOTNEJ W KOLE</t>
        </is>
      </c>
      <c r="N568" t="inlineStr">
        <is>
          <t xml:space="preserve">Oddział  wewnętrzny </t>
        </is>
      </c>
      <c r="O568" t="inlineStr">
        <is>
          <t>Iryna Lavava</t>
        </is>
      </c>
      <c r="P568" t="n">
        <v>4355279</v>
      </c>
      <c r="Q568" t="inlineStr">
        <is>
          <t> </t>
        </is>
      </c>
      <c r="R568" t="inlineStr">
        <is>
          <t>tdspzozkolo</t>
        </is>
      </c>
      <c r="S568" s="1" t="n">
        <v>46151.55625</v>
      </c>
      <c r="T568" t="n">
        <v>0</v>
      </c>
      <c r="U568" t="inlineStr">
        <is>
          <t>BUJALSKI TOMASZ</t>
        </is>
      </c>
    </row>
    <row r="569">
      <c r="A569" s="1" t="n">
        <v>46155</v>
      </c>
      <c r="B569" t="inlineStr">
        <is>
          <t>110027_729</t>
        </is>
      </c>
      <c r="C569" t="inlineStr">
        <is>
          <t>Karol Starosta</t>
        </is>
      </c>
      <c r="D569" t="n">
        <v>55110115474</v>
      </c>
      <c r="E569" s="1" t="n">
        <v>46155</v>
      </c>
      <c r="F569" t="inlineStr">
        <is>
          <t>CITO-CITO</t>
        </is>
      </c>
      <c r="G569" t="inlineStr">
        <is>
          <t>TK</t>
        </is>
      </c>
      <c r="H569" t="inlineStr">
        <is>
          <t>TK, głowa - mózgowie - badanie bez kontrastu</t>
        </is>
      </c>
      <c r="I569" t="inlineStr">
        <is>
          <t>TK Zwykłe</t>
        </is>
      </c>
      <c r="J569" t="inlineStr">
        <is>
          <t>1 okolica anatomiczna</t>
        </is>
      </c>
      <c r="K569" t="inlineStr">
        <is>
          <t>Tomasz Bujalski</t>
        </is>
      </c>
      <c r="L569" t="inlineStr">
        <is>
          <t> </t>
        </is>
      </c>
      <c r="M569" t="inlineStr">
        <is>
          <t>SAMODZIELNY PUBLICZNY ZAKŁAD OPIEKI ZDROWOTNEJ W KOLE</t>
        </is>
      </c>
      <c r="N569" t="inlineStr">
        <is>
          <t>Izba  przyjęć</t>
        </is>
      </c>
      <c r="O569" t="inlineStr">
        <is>
          <t>Jarosław Jędraszek</t>
        </is>
      </c>
      <c r="P569" t="n">
        <v>4555286</v>
      </c>
      <c r="Q569" t="inlineStr">
        <is>
          <t> </t>
        </is>
      </c>
      <c r="R569" t="inlineStr">
        <is>
          <t>tdspzozkolo</t>
        </is>
      </c>
      <c r="S569" s="1" t="n">
        <v>46155.54930555556</v>
      </c>
      <c r="T569" t="n">
        <v>0</v>
      </c>
      <c r="U569" t="inlineStr">
        <is>
          <t>BUJALSKI TOMASZ</t>
        </is>
      </c>
    </row>
    <row r="570">
      <c r="A570" s="1" t="n">
        <v>46156</v>
      </c>
      <c r="B570" t="inlineStr">
        <is>
          <t>110074_756</t>
        </is>
      </c>
      <c r="C570" t="inlineStr">
        <is>
          <t>Alicja Gąsiorowska</t>
        </is>
      </c>
      <c r="D570" t="n">
        <v>64100503522</v>
      </c>
      <c r="E570" s="1" t="n">
        <v>46156</v>
      </c>
      <c r="F570" t="inlineStr">
        <is>
          <t>CITO-CITO</t>
        </is>
      </c>
      <c r="G570" t="inlineStr">
        <is>
          <t>TK</t>
        </is>
      </c>
      <c r="H570" t="inlineStr">
        <is>
          <t>TK, jama brzuszna i miednica - badanie bez kontrastu i z kontrastem</t>
        </is>
      </c>
      <c r="I570" t="inlineStr">
        <is>
          <t>TK Zwykłe</t>
        </is>
      </c>
      <c r="J570" t="inlineStr">
        <is>
          <t>2 okolice anatomiczne</t>
        </is>
      </c>
      <c r="K570" t="inlineStr">
        <is>
          <t>Tomasz Bujalski</t>
        </is>
      </c>
      <c r="L570" t="inlineStr">
        <is>
          <t> </t>
        </is>
      </c>
      <c r="M570" t="inlineStr">
        <is>
          <t>SAMODZIELNY PUBLICZNY ZAKŁAD OPIEKI ZDROWOTNEJ W KOLE</t>
        </is>
      </c>
      <c r="N570" t="inlineStr">
        <is>
          <t xml:space="preserve">Oddział  chirurgii </t>
        </is>
      </c>
      <c r="O570" t="inlineStr">
        <is>
          <t>Ulyana Hudkova</t>
        </is>
      </c>
      <c r="P570" t="n">
        <v>4631272</v>
      </c>
      <c r="Q570" t="inlineStr">
        <is>
          <t> </t>
        </is>
      </c>
      <c r="R570" t="inlineStr">
        <is>
          <t>tdspzozkolo</t>
        </is>
      </c>
      <c r="S570" s="1" t="n">
        <v>46156.37152777778</v>
      </c>
      <c r="T570" t="n">
        <v>0</v>
      </c>
      <c r="U570" t="inlineStr">
        <is>
          <t>BUJALSKI TOMASZ</t>
        </is>
      </c>
    </row>
    <row r="571">
      <c r="A571" s="1" t="n">
        <v>46158</v>
      </c>
      <c r="B571" t="inlineStr">
        <is>
          <t>110341_729</t>
        </is>
      </c>
      <c r="C571" t="inlineStr">
        <is>
          <t>Emilia Radecka</t>
        </is>
      </c>
      <c r="D571" t="n">
        <v>80022009346</v>
      </c>
      <c r="E571" s="1" t="n">
        <v>46158</v>
      </c>
      <c r="F571" t="inlineStr">
        <is>
          <t>CITO-CITO</t>
        </is>
      </c>
      <c r="G571" t="inlineStr">
        <is>
          <t>TK</t>
        </is>
      </c>
      <c r="H571" t="inlineStr">
        <is>
          <t>TK, głowa - mózgowie - badanie bez kontrastu</t>
        </is>
      </c>
      <c r="I571" t="inlineStr">
        <is>
          <t>TK Zwykłe</t>
        </is>
      </c>
      <c r="J571" t="inlineStr">
        <is>
          <t>1 okolica anatomiczna</t>
        </is>
      </c>
      <c r="K571" t="inlineStr">
        <is>
          <t>Tomasz Bujalski</t>
        </is>
      </c>
      <c r="L571" t="inlineStr">
        <is>
          <t> </t>
        </is>
      </c>
      <c r="M571" t="inlineStr">
        <is>
          <t>SAMODZIELNY PUBLICZNY ZAKŁAD OPIEKI ZDROWOTNEJ W KOLE</t>
        </is>
      </c>
      <c r="N571" t="inlineStr">
        <is>
          <t>Izba  przyjęć</t>
        </is>
      </c>
      <c r="O571" t="inlineStr">
        <is>
          <t>Ewelina Kłos</t>
        </is>
      </c>
      <c r="P571" t="n">
        <v>3034275</v>
      </c>
      <c r="Q571" t="inlineStr">
        <is>
          <t> </t>
        </is>
      </c>
      <c r="R571" t="inlineStr">
        <is>
          <t>tdspzozkolo</t>
        </is>
      </c>
      <c r="S571" s="1" t="n">
        <v>46158.60486111111</v>
      </c>
      <c r="T571" t="n">
        <v>0</v>
      </c>
      <c r="U571" t="inlineStr">
        <is>
          <t>BUJALSKI TOMASZ</t>
        </is>
      </c>
    </row>
    <row r="572">
      <c r="A572" s="1" t="n">
        <v>46160</v>
      </c>
      <c r="B572" t="inlineStr">
        <is>
          <t>110459_772</t>
        </is>
      </c>
      <c r="C572" t="inlineStr">
        <is>
          <t>Jacek Gębka</t>
        </is>
      </c>
      <c r="D572" t="n">
        <v>66022815079</v>
      </c>
      <c r="E572" s="1" t="n">
        <v>46160</v>
      </c>
      <c r="F572" t="inlineStr">
        <is>
          <t>CITO-CITO</t>
        </is>
      </c>
      <c r="G572" t="inlineStr">
        <is>
          <t>TK</t>
        </is>
      </c>
      <c r="H572" t="inlineStr">
        <is>
          <t>TK, trzech lub więcej okolic anatomicznych - badanie bez kontrastu i z kontrastem</t>
        </is>
      </c>
      <c r="I572" t="inlineStr">
        <is>
          <t>TK Zwykłe</t>
        </is>
      </c>
      <c r="J572" t="inlineStr">
        <is>
          <t>3 okolice anatomiczne</t>
        </is>
      </c>
      <c r="K572" t="inlineStr">
        <is>
          <t>Tomasz Bujalski</t>
        </is>
      </c>
      <c r="L572" t="inlineStr">
        <is>
          <t> </t>
        </is>
      </c>
      <c r="M572" t="inlineStr">
        <is>
          <t>SAMODZIELNY PUBLICZNY ZAKŁAD OPIEKI ZDROWOTNEJ W KOLE</t>
        </is>
      </c>
      <c r="N572" t="inlineStr">
        <is>
          <t xml:space="preserve">Oddział  wewnętrzny </t>
        </is>
      </c>
      <c r="O572" t="inlineStr">
        <is>
          <t>Arkadiusz Ostrowski</t>
        </is>
      </c>
      <c r="P572" t="n">
        <v>8569174</v>
      </c>
      <c r="Q572" t="inlineStr">
        <is>
          <t> </t>
        </is>
      </c>
      <c r="R572" t="inlineStr">
        <is>
          <t>tdspzozkolo</t>
        </is>
      </c>
      <c r="S572" s="1" t="n">
        <v>46160.45625</v>
      </c>
      <c r="T572" t="n">
        <v>0</v>
      </c>
      <c r="U572" t="inlineStr">
        <is>
          <t>BUJALSKI TOMASZ</t>
        </is>
      </c>
    </row>
    <row r="573">
      <c r="A573" s="1" t="n">
        <v>46164</v>
      </c>
      <c r="B573" t="inlineStr">
        <is>
          <t>110028_728</t>
        </is>
      </c>
      <c r="C573" t="inlineStr">
        <is>
          <t>Danuta Komorowska</t>
        </is>
      </c>
      <c r="D573" t="n">
        <v>71051708643</v>
      </c>
      <c r="E573" s="1" t="n">
        <v>46163</v>
      </c>
      <c r="F573" t="inlineStr">
        <is>
          <t>Planowy</t>
        </is>
      </c>
      <c r="G573" t="inlineStr">
        <is>
          <t>TK</t>
        </is>
      </c>
      <c r="H573" t="inlineStr">
        <is>
          <t>Angiografia TK, głowy</t>
        </is>
      </c>
      <c r="I573" t="inlineStr">
        <is>
          <t>TK Angiografia</t>
        </is>
      </c>
      <c r="J573" t="inlineStr">
        <is>
          <t>2 okolice anatomiczne</t>
        </is>
      </c>
      <c r="K573" t="inlineStr">
        <is>
          <t>Tomasz Bujalski</t>
        </is>
      </c>
      <c r="L573" t="inlineStr">
        <is>
          <t> </t>
        </is>
      </c>
      <c r="M573" t="inlineStr">
        <is>
          <t>GABINET LEKARSKI -ROMAN STRZAŁKOWSKI</t>
        </is>
      </c>
      <c r="N573" t="inlineStr">
        <is>
          <t>Poradnia Neurologiczna</t>
        </is>
      </c>
      <c r="O573" t="inlineStr">
        <is>
          <t>Roman Strzałkowski</t>
        </is>
      </c>
      <c r="P573" t="n">
        <v>9365105</v>
      </c>
      <c r="Q573" t="inlineStr">
        <is>
          <t>G44.8</t>
        </is>
      </c>
      <c r="R573" t="inlineStr">
        <is>
          <t>tdspzozkolo</t>
        </is>
      </c>
      <c r="S573" s="1" t="n">
        <v>46163.29722222222</v>
      </c>
      <c r="T573" t="n">
        <v>0</v>
      </c>
      <c r="U573" t="inlineStr">
        <is>
          <t>BUJALSKI TOMASZ</t>
        </is>
      </c>
    </row>
    <row r="574">
      <c r="A574" s="1" t="n">
        <v>46164</v>
      </c>
      <c r="B574" t="inlineStr">
        <is>
          <t>110857_729</t>
        </is>
      </c>
      <c r="C574" t="inlineStr">
        <is>
          <t>Andrzej Koralewski</t>
        </is>
      </c>
      <c r="D574" t="n">
        <v>53112114613</v>
      </c>
      <c r="E574" s="1" t="n">
        <v>46164</v>
      </c>
      <c r="F574" t="inlineStr">
        <is>
          <t>CITO-CITO</t>
        </is>
      </c>
      <c r="G574" t="inlineStr">
        <is>
          <t>TK</t>
        </is>
      </c>
      <c r="H574" t="inlineStr">
        <is>
          <t>TK, głowa - mózgowie - badanie bez kontrastu</t>
        </is>
      </c>
      <c r="I574" t="inlineStr">
        <is>
          <t>TK Zwykłe</t>
        </is>
      </c>
      <c r="J574" t="inlineStr">
        <is>
          <t>1 okolica anatomiczna</t>
        </is>
      </c>
      <c r="K574" t="inlineStr">
        <is>
          <t>Tomasz Bujalski</t>
        </is>
      </c>
      <c r="L574" t="inlineStr">
        <is>
          <t> </t>
        </is>
      </c>
      <c r="M574" t="inlineStr">
        <is>
          <t>SAMODZIELNY PUBLICZNY ZAKŁAD OPIEKI ZDROWOTNEJ W KOLE</t>
        </is>
      </c>
      <c r="N574" t="inlineStr">
        <is>
          <t xml:space="preserve">Oddział  wewnętrzny </t>
        </is>
      </c>
      <c r="O574" t="inlineStr">
        <is>
          <t>Oleksandr Checherviak</t>
        </is>
      </c>
      <c r="P574" t="n">
        <v>3868841</v>
      </c>
      <c r="Q574" t="inlineStr">
        <is>
          <t> </t>
        </is>
      </c>
      <c r="R574" t="inlineStr">
        <is>
          <t>tdspzozkolo</t>
        </is>
      </c>
      <c r="S574" s="1" t="n">
        <v>46164.28958333333</v>
      </c>
      <c r="T574" t="n">
        <v>0</v>
      </c>
      <c r="U574" t="inlineStr">
        <is>
          <t>BUJALSKI TOMASZ</t>
        </is>
      </c>
    </row>
    <row r="575">
      <c r="A575" s="1" t="n">
        <v>46168</v>
      </c>
      <c r="B575" t="inlineStr">
        <is>
          <t>111057_756</t>
        </is>
      </c>
      <c r="C575" t="inlineStr">
        <is>
          <t>Joanna Durkiewicz</t>
        </is>
      </c>
      <c r="D575" t="n">
        <v>80061006942</v>
      </c>
      <c r="E575" s="1" t="n">
        <v>46167</v>
      </c>
      <c r="F575" t="inlineStr">
        <is>
          <t>CITO-CITO</t>
        </is>
      </c>
      <c r="G575" t="inlineStr">
        <is>
          <t>TK</t>
        </is>
      </c>
      <c r="H575" t="inlineStr">
        <is>
          <t>TK, jama brzuszna i miednica - badanie bez kontrastu i z kontrastem</t>
        </is>
      </c>
      <c r="I575" t="inlineStr">
        <is>
          <t>TK Zwykłe</t>
        </is>
      </c>
      <c r="J575" t="inlineStr">
        <is>
          <t>2 okolice anatomiczne</t>
        </is>
      </c>
      <c r="K575" t="inlineStr">
        <is>
          <t>Tomasz Bujalski</t>
        </is>
      </c>
      <c r="L575" t="inlineStr">
        <is>
          <t> </t>
        </is>
      </c>
      <c r="M575" t="inlineStr">
        <is>
          <t>SAMODZIELNY PUBLICZNY ZAKŁAD OPIEKI ZDROWOTNEJ W KOLE</t>
        </is>
      </c>
      <c r="N575" t="inlineStr">
        <is>
          <t xml:space="preserve">Oddział  chirurgii </t>
        </is>
      </c>
      <c r="O575" t="inlineStr">
        <is>
          <t>Mateusz Kosowski</t>
        </is>
      </c>
      <c r="P575" t="n">
        <v>4634931</v>
      </c>
      <c r="Q575" t="inlineStr">
        <is>
          <t> </t>
        </is>
      </c>
      <c r="R575" t="inlineStr">
        <is>
          <t>tdspzozkolo</t>
        </is>
      </c>
      <c r="S575" s="1" t="n">
        <v>46168.23888888889</v>
      </c>
      <c r="T575" t="n">
        <v>0</v>
      </c>
      <c r="U575" t="inlineStr">
        <is>
          <t>BUJALSKI TOMASZ</t>
        </is>
      </c>
    </row>
    <row r="576">
      <c r="A576" s="1" t="n">
        <v>46169</v>
      </c>
      <c r="B576" t="inlineStr">
        <is>
          <t>111331_736</t>
        </is>
      </c>
      <c r="C576" t="inlineStr">
        <is>
          <t>Krystyna Bolewska</t>
        </is>
      </c>
      <c r="D576" t="n">
        <v>49011311820</v>
      </c>
      <c r="E576" s="1" t="n">
        <v>46169</v>
      </c>
      <c r="F576" t="inlineStr">
        <is>
          <t>CITO-CITO</t>
        </is>
      </c>
      <c r="G576" t="inlineStr">
        <is>
          <t>TK</t>
        </is>
      </c>
      <c r="H576" t="inlineStr">
        <is>
          <t>Angiografia TK, tętnice szyjne</t>
        </is>
      </c>
      <c r="I576" t="inlineStr">
        <is>
          <t>TK Angiografia</t>
        </is>
      </c>
      <c r="J576" t="inlineStr">
        <is>
          <t>1 okolica anatomiczna</t>
        </is>
      </c>
      <c r="K576" t="inlineStr">
        <is>
          <t>Tomasz Bujalski</t>
        </is>
      </c>
      <c r="L576" t="inlineStr">
        <is>
          <t> </t>
        </is>
      </c>
      <c r="M576" t="inlineStr">
        <is>
          <t>SAMODZIELNY PUBLICZNY ZAKŁAD OPIEKI ZDROWOTNEJ W KOLE</t>
        </is>
      </c>
      <c r="N576" t="inlineStr">
        <is>
          <t xml:space="preserve">Oddział  wewnętrzny </t>
        </is>
      </c>
      <c r="O576" t="inlineStr">
        <is>
          <t>Arkadiusz Ostrowski</t>
        </is>
      </c>
      <c r="P576" t="n">
        <v>8569174</v>
      </c>
      <c r="Q576" t="inlineStr">
        <is>
          <t> </t>
        </is>
      </c>
      <c r="R576" t="inlineStr">
        <is>
          <t>tdspzozkolo</t>
        </is>
      </c>
      <c r="S576" s="1" t="n">
        <v>46169.50347222222</v>
      </c>
      <c r="T576" t="n">
        <v>0</v>
      </c>
      <c r="U576" t="inlineStr">
        <is>
          <t>BUJALSKI TOMASZ</t>
        </is>
      </c>
    </row>
    <row r="577">
      <c r="A577" s="1" t="n">
        <v>46172</v>
      </c>
      <c r="B577" t="inlineStr">
        <is>
          <t>111590_755</t>
        </is>
      </c>
      <c r="C577" t="inlineStr">
        <is>
          <t>Wiesława Szymczak</t>
        </is>
      </c>
      <c r="D577" t="n">
        <v>51040512440</v>
      </c>
      <c r="E577" s="1" t="n">
        <v>46172</v>
      </c>
      <c r="F577" t="inlineStr">
        <is>
          <t>CITO-CITO</t>
        </is>
      </c>
      <c r="G577" t="inlineStr">
        <is>
          <t>TK</t>
        </is>
      </c>
      <c r="H577" t="inlineStr">
        <is>
          <t>TK, jama brzuszna i miednica - badanie bez kontrastu</t>
        </is>
      </c>
      <c r="I577" t="inlineStr">
        <is>
          <t>TK Zwykłe</t>
        </is>
      </c>
      <c r="J577" t="inlineStr">
        <is>
          <t>2 okolice anatomiczne</t>
        </is>
      </c>
      <c r="K577" t="inlineStr">
        <is>
          <t>Tomasz Bujalski</t>
        </is>
      </c>
      <c r="L577" t="inlineStr">
        <is>
          <t> </t>
        </is>
      </c>
      <c r="M577" t="inlineStr">
        <is>
          <t>SAMODZIELNY PUBLICZNY ZAKŁAD OPIEKI ZDROWOTNEJ W KOLE</t>
        </is>
      </c>
      <c r="N577" t="inlineStr">
        <is>
          <t xml:space="preserve">Oddział  wewnętrzny </t>
        </is>
      </c>
      <c r="O577" t="inlineStr">
        <is>
          <t>Iryna Lavava</t>
        </is>
      </c>
      <c r="P577" t="n">
        <v>4355279</v>
      </c>
      <c r="Q577" t="inlineStr">
        <is>
          <t> </t>
        </is>
      </c>
      <c r="R577" t="inlineStr">
        <is>
          <t>tdspzozkolo</t>
        </is>
      </c>
      <c r="S577" s="1" t="n">
        <v>46172.48125</v>
      </c>
      <c r="T577" t="n">
        <v>0</v>
      </c>
      <c r="U577" t="inlineStr">
        <is>
          <t>BUJALSKI TOMASZ</t>
        </is>
      </c>
    </row>
    <row r="578">
      <c r="A578" s="1" t="n">
        <v>46152</v>
      </c>
      <c r="B578" t="n">
        <v>590951816</v>
      </c>
      <c r="C578" t="inlineStr">
        <is>
          <t>Mieczysław Pawlak</t>
        </is>
      </c>
      <c r="D578" t="n">
        <v>56013012536</v>
      </c>
      <c r="E578" s="1" t="n">
        <v>46152</v>
      </c>
      <c r="F578" t="inlineStr">
        <is>
          <t>CITO-CITO</t>
        </is>
      </c>
      <c r="G578" t="inlineStr">
        <is>
          <t>TK</t>
        </is>
      </c>
      <c r="H578" t="inlineStr">
        <is>
          <t>TK jamy brzusznej lub miednicy małej bez kontrastu</t>
        </is>
      </c>
      <c r="I578" t="inlineStr">
        <is>
          <t>TK Zwykłe</t>
        </is>
      </c>
      <c r="J578" t="inlineStr">
        <is>
          <t>2 okolice anatomiczne</t>
        </is>
      </c>
      <c r="K578" t="inlineStr">
        <is>
          <t>Tomasz Bujalski</t>
        </is>
      </c>
      <c r="L578" t="inlineStr">
        <is>
          <t> </t>
        </is>
      </c>
      <c r="M578" t="inlineStr">
        <is>
          <t>Oddział Chirurgii Ogólnej</t>
        </is>
      </c>
      <c r="N578" t="inlineStr">
        <is>
          <t>Oddział Chirurgii Ogólnej</t>
        </is>
      </c>
      <c r="O578" t="inlineStr">
        <is>
          <t>Piotr Niecikowski</t>
        </is>
      </c>
      <c r="P578" t="n">
        <v>4245024</v>
      </c>
      <c r="Q578" t="inlineStr">
        <is>
          <t>K92.0</t>
        </is>
      </c>
      <c r="R578" t="inlineStr">
        <is>
          <t>tdspzozsiedlce</t>
        </is>
      </c>
      <c r="S578" s="1" t="n">
        <v>46152.58333333334</v>
      </c>
      <c r="T578" t="n">
        <v>0</v>
      </c>
      <c r="U578" t="inlineStr">
        <is>
          <t>BUJALSKI TOMASZ</t>
        </is>
      </c>
    </row>
    <row r="579">
      <c r="A579" s="1" t="n">
        <v>46150</v>
      </c>
      <c r="B579" t="n">
        <v>23868084</v>
      </c>
      <c r="C579" t="inlineStr">
        <is>
          <t>KLAUDIA DABROWSKA</t>
        </is>
      </c>
      <c r="D579" t="n">
        <v>4250307366</v>
      </c>
      <c r="E579" s="1" t="n">
        <v>46150</v>
      </c>
      <c r="F579" t="inlineStr">
        <is>
          <t>CITO-CITO</t>
        </is>
      </c>
      <c r="G579" t="inlineStr">
        <is>
          <t>TK</t>
        </is>
      </c>
      <c r="H579" t="inlineStr">
        <is>
          <t>TK jamy brzusznej z kontrastem</t>
        </is>
      </c>
      <c r="I579" t="inlineStr">
        <is>
          <t>TK Zwykłe</t>
        </is>
      </c>
      <c r="J579" t="inlineStr">
        <is>
          <t>2 okolice anatomiczne</t>
        </is>
      </c>
      <c r="K579" t="inlineStr">
        <is>
          <t>Tomasz Bujalski</t>
        </is>
      </c>
      <c r="L579" t="inlineStr">
        <is>
          <t> </t>
        </is>
      </c>
      <c r="M579" t="inlineStr">
        <is>
          <t> </t>
        </is>
      </c>
      <c r="N579" t="inlineStr">
        <is>
          <t> </t>
        </is>
      </c>
      <c r="O579" t="inlineStr">
        <is>
          <t> </t>
        </is>
      </c>
      <c r="P579" t="inlineStr">
        <is>
          <t> </t>
        </is>
      </c>
      <c r="Q579" t="inlineStr">
        <is>
          <t> </t>
        </is>
      </c>
      <c r="R579" t="inlineStr">
        <is>
          <t>tdszpitalchelm</t>
        </is>
      </c>
      <c r="S579" s="1" t="n">
        <v>46150.24930555555</v>
      </c>
      <c r="T579" t="n">
        <v>0</v>
      </c>
      <c r="U579" t="inlineStr">
        <is>
          <t>BUJALSKI TOMASZ</t>
        </is>
      </c>
    </row>
    <row r="580">
      <c r="A580" s="1" t="n">
        <v>46161</v>
      </c>
      <c r="B580" t="n">
        <v>23906245</v>
      </c>
      <c r="C580" t="inlineStr">
        <is>
          <t>TOMASZ KLEMANOW</t>
        </is>
      </c>
      <c r="D580" t="n">
        <v>79122807415</v>
      </c>
      <c r="E580" s="1" t="n">
        <v>46161</v>
      </c>
      <c r="F580" t="inlineStr">
        <is>
          <t>CITO-CITO</t>
        </is>
      </c>
      <c r="G580" t="inlineStr">
        <is>
          <t>TK</t>
        </is>
      </c>
      <c r="H580" t="inlineStr">
        <is>
          <t>TK angio aorty</t>
        </is>
      </c>
      <c r="I580" t="inlineStr">
        <is>
          <t>TK Angiografia</t>
        </is>
      </c>
      <c r="J580" t="inlineStr">
        <is>
          <t>3 okolice anatomiczne</t>
        </is>
      </c>
      <c r="K580" t="inlineStr">
        <is>
          <t>Tomasz Bujalski</t>
        </is>
      </c>
      <c r="L580" t="inlineStr">
        <is>
          <t> </t>
        </is>
      </c>
      <c r="M580" t="inlineStr">
        <is>
          <t> </t>
        </is>
      </c>
      <c r="N580" t="inlineStr">
        <is>
          <t> </t>
        </is>
      </c>
      <c r="O580" t="inlineStr">
        <is>
          <t> </t>
        </is>
      </c>
      <c r="P580" t="inlineStr">
        <is>
          <t> </t>
        </is>
      </c>
      <c r="Q580" t="inlineStr">
        <is>
          <t> </t>
        </is>
      </c>
      <c r="R580" t="inlineStr">
        <is>
          <t>tdszpitalchelm</t>
        </is>
      </c>
      <c r="S580" s="1" t="n">
        <v>46161.22569444445</v>
      </c>
      <c r="T580" t="n">
        <v>0</v>
      </c>
      <c r="U580" t="inlineStr">
        <is>
          <t>BUJALSKI TOMASZ</t>
        </is>
      </c>
    </row>
    <row r="581">
      <c r="A581" s="1" t="n">
        <v>46161</v>
      </c>
      <c r="B581" t="n">
        <v>23907360</v>
      </c>
      <c r="C581" t="inlineStr">
        <is>
          <t>WIESLAW PETELSKI</t>
        </is>
      </c>
      <c r="D581" t="n">
        <v>50082811117</v>
      </c>
      <c r="E581" s="1" t="n">
        <v>46161</v>
      </c>
      <c r="F581" t="inlineStr">
        <is>
          <t>CITO-UDAR</t>
        </is>
      </c>
      <c r="G581" t="inlineStr">
        <is>
          <t>TK</t>
        </is>
      </c>
      <c r="H581" t="inlineStr">
        <is>
          <t>TK głowy</t>
        </is>
      </c>
      <c r="I581" t="inlineStr">
        <is>
          <t>TK Onkologia</t>
        </is>
      </c>
      <c r="J581" t="inlineStr">
        <is>
          <t>1 okolica anatomiczna</t>
        </is>
      </c>
      <c r="K581" t="inlineStr">
        <is>
          <t>Tomasz Bujalski</t>
        </is>
      </c>
      <c r="L581" t="inlineStr">
        <is>
          <t> </t>
        </is>
      </c>
      <c r="M581" t="inlineStr">
        <is>
          <t> </t>
        </is>
      </c>
      <c r="N581" t="inlineStr">
        <is>
          <t> </t>
        </is>
      </c>
      <c r="O581" t="inlineStr">
        <is>
          <t> </t>
        </is>
      </c>
      <c r="P581" t="inlineStr">
        <is>
          <t> </t>
        </is>
      </c>
      <c r="Q581" t="inlineStr">
        <is>
          <t> </t>
        </is>
      </c>
      <c r="R581" t="inlineStr">
        <is>
          <t>tdszpitalchelm</t>
        </is>
      </c>
      <c r="S581" s="1" t="n">
        <v>46161.30347222222</v>
      </c>
      <c r="T581" t="n">
        <v>0</v>
      </c>
      <c r="U581" t="inlineStr">
        <is>
          <t>BUJALSKI TOMASZ</t>
        </is>
      </c>
    </row>
    <row r="582">
      <c r="A582" s="1" t="n">
        <v>46161</v>
      </c>
      <c r="B582" t="n">
        <v>23907418</v>
      </c>
      <c r="C582" t="inlineStr">
        <is>
          <t>ADAM BLACHA</t>
        </is>
      </c>
      <c r="D582" t="n">
        <v>78030220453</v>
      </c>
      <c r="E582" s="1" t="n">
        <v>46161</v>
      </c>
      <c r="F582" t="inlineStr">
        <is>
          <t>CITO-CITO</t>
        </is>
      </c>
      <c r="G582" t="inlineStr">
        <is>
          <t>TK</t>
        </is>
      </c>
      <c r="H582" t="inlineStr">
        <is>
          <t>TK kręgosłupa odc. L/S</t>
        </is>
      </c>
      <c r="I582" t="inlineStr">
        <is>
          <t>TK Zwykłe</t>
        </is>
      </c>
      <c r="J582" t="inlineStr">
        <is>
          <t>1 okolica anatomiczna</t>
        </is>
      </c>
      <c r="K582" t="inlineStr">
        <is>
          <t>Tomasz Bujalski</t>
        </is>
      </c>
      <c r="L582" t="inlineStr">
        <is>
          <t> </t>
        </is>
      </c>
      <c r="M582" t="inlineStr">
        <is>
          <t> </t>
        </is>
      </c>
      <c r="N582" t="inlineStr">
        <is>
          <t> </t>
        </is>
      </c>
      <c r="O582" t="inlineStr">
        <is>
          <t> </t>
        </is>
      </c>
      <c r="P582" t="inlineStr">
        <is>
          <t> </t>
        </is>
      </c>
      <c r="Q582" t="inlineStr">
        <is>
          <t> </t>
        </is>
      </c>
      <c r="R582" t="inlineStr">
        <is>
          <t>tdszpitalchelm</t>
        </is>
      </c>
      <c r="S582" s="1" t="n">
        <v>46161.29583333333</v>
      </c>
      <c r="T582" t="n">
        <v>0</v>
      </c>
      <c r="U582" t="inlineStr">
        <is>
          <t>BUJALSKI TOMASZ</t>
        </is>
      </c>
    </row>
    <row r="583">
      <c r="A583" s="1" t="n">
        <v>46161</v>
      </c>
      <c r="B583" t="n">
        <v>23908953</v>
      </c>
      <c r="C583" t="inlineStr">
        <is>
          <t>RYSZARD NOWOSAD</t>
        </is>
      </c>
      <c r="D583" t="n">
        <v>61091102077</v>
      </c>
      <c r="E583" s="1" t="n">
        <v>46161</v>
      </c>
      <c r="F583" t="inlineStr">
        <is>
          <t>CITO-CITO</t>
        </is>
      </c>
      <c r="G583" t="inlineStr">
        <is>
          <t>TK</t>
        </is>
      </c>
      <c r="H583" t="inlineStr">
        <is>
          <t>TK angio klatki piersiowej</t>
        </is>
      </c>
      <c r="I583" t="inlineStr">
        <is>
          <t>TK Angiografia</t>
        </is>
      </c>
      <c r="J583" t="inlineStr">
        <is>
          <t>1 okolica anatomiczna</t>
        </is>
      </c>
      <c r="K583" t="inlineStr">
        <is>
          <t>Tomasz Bujalski</t>
        </is>
      </c>
      <c r="L583" t="inlineStr">
        <is>
          <t> </t>
        </is>
      </c>
      <c r="M583" t="inlineStr">
        <is>
          <t> </t>
        </is>
      </c>
      <c r="N583" t="inlineStr">
        <is>
          <t> </t>
        </is>
      </c>
      <c r="O583" t="inlineStr">
        <is>
          <t> </t>
        </is>
      </c>
      <c r="P583" t="inlineStr">
        <is>
          <t> </t>
        </is>
      </c>
      <c r="Q583" t="inlineStr">
        <is>
          <t> </t>
        </is>
      </c>
      <c r="R583" t="inlineStr">
        <is>
          <t>tdszpitalchelm</t>
        </is>
      </c>
      <c r="S583" s="1" t="n">
        <v>46161.39930555555</v>
      </c>
      <c r="T583" t="n">
        <v>0</v>
      </c>
      <c r="U583" t="inlineStr">
        <is>
          <t>BUJALSKI TOMASZ</t>
        </is>
      </c>
    </row>
    <row r="584">
      <c r="A584" s="1" t="n">
        <v>46165</v>
      </c>
      <c r="B584" t="n">
        <v>23936019</v>
      </c>
      <c r="C584" t="inlineStr">
        <is>
          <t>ANDRZEJ KLIMEK</t>
        </is>
      </c>
      <c r="D584" t="n">
        <v>60113006490</v>
      </c>
      <c r="E584" s="1" t="n">
        <v>46165</v>
      </c>
      <c r="F584" t="inlineStr">
        <is>
          <t>CITO-CITO</t>
        </is>
      </c>
      <c r="G584" t="inlineStr">
        <is>
          <t>TK</t>
        </is>
      </c>
      <c r="H584" t="inlineStr">
        <is>
          <t>TK głowy</t>
        </is>
      </c>
      <c r="I584" t="inlineStr">
        <is>
          <t>TK Onkologia</t>
        </is>
      </c>
      <c r="J584" t="inlineStr">
        <is>
          <t>1 okolica anatomiczna</t>
        </is>
      </c>
      <c r="K584" t="inlineStr">
        <is>
          <t>Tomasz Bujalski</t>
        </is>
      </c>
      <c r="L584" t="inlineStr">
        <is>
          <t> </t>
        </is>
      </c>
      <c r="M584" t="inlineStr">
        <is>
          <t> </t>
        </is>
      </c>
      <c r="N584" t="inlineStr">
        <is>
          <t> </t>
        </is>
      </c>
      <c r="O584" t="inlineStr">
        <is>
          <t> </t>
        </is>
      </c>
      <c r="P584" t="inlineStr">
        <is>
          <t> </t>
        </is>
      </c>
      <c r="Q584" t="inlineStr">
        <is>
          <t> </t>
        </is>
      </c>
      <c r="R584" t="inlineStr">
        <is>
          <t>tdszpitalchelm</t>
        </is>
      </c>
      <c r="S584" s="1" t="n">
        <v>46165.54513888889</v>
      </c>
      <c r="T584" t="n">
        <v>0</v>
      </c>
      <c r="U584" t="inlineStr">
        <is>
          <t>BUJALSKI TOMASZ</t>
        </is>
      </c>
    </row>
    <row r="585">
      <c r="A585" s="1" t="n">
        <v>46165</v>
      </c>
      <c r="B585" t="n">
        <v>23936065</v>
      </c>
      <c r="C585" t="inlineStr">
        <is>
          <t>HALINA ZAGORSKA</t>
        </is>
      </c>
      <c r="D585" t="n">
        <v>38110606227</v>
      </c>
      <c r="E585" s="1" t="n">
        <v>46165</v>
      </c>
      <c r="F585" t="inlineStr">
        <is>
          <t>CITO-UDAR</t>
        </is>
      </c>
      <c r="G585" t="inlineStr">
        <is>
          <t>TK</t>
        </is>
      </c>
      <c r="H585" t="inlineStr">
        <is>
          <t>Angio tt szyjnych i tt mózgowych</t>
        </is>
      </c>
      <c r="I585" t="inlineStr">
        <is>
          <t>TK Angiografia</t>
        </is>
      </c>
      <c r="J585" t="inlineStr">
        <is>
          <t>2 okolice anatomiczne</t>
        </is>
      </c>
      <c r="K585" t="inlineStr">
        <is>
          <t>Tomasz Bujalski</t>
        </is>
      </c>
      <c r="L585" t="inlineStr">
        <is>
          <t> </t>
        </is>
      </c>
      <c r="M585" t="inlineStr">
        <is>
          <t> </t>
        </is>
      </c>
      <c r="N585" t="inlineStr">
        <is>
          <t> </t>
        </is>
      </c>
      <c r="O585" t="inlineStr">
        <is>
          <t> </t>
        </is>
      </c>
      <c r="P585" t="inlineStr">
        <is>
          <t> </t>
        </is>
      </c>
      <c r="Q585" t="inlineStr">
        <is>
          <t> </t>
        </is>
      </c>
      <c r="R585" t="inlineStr">
        <is>
          <t>tdszpitalchelm</t>
        </is>
      </c>
      <c r="S585" s="1" t="n">
        <v>46165.57916666667</v>
      </c>
      <c r="T585" t="n">
        <v>0</v>
      </c>
      <c r="U585" t="inlineStr">
        <is>
          <t>BUJALSKI TOMASZ</t>
        </is>
      </c>
    </row>
    <row r="586">
      <c r="A586" s="1" t="n">
        <v>46169</v>
      </c>
      <c r="B586" t="n">
        <v>23956101</v>
      </c>
      <c r="C586" t="inlineStr">
        <is>
          <t>HALINA GURNIK</t>
        </is>
      </c>
      <c r="D586" t="n">
        <v>56040518748</v>
      </c>
      <c r="E586" s="1" t="n">
        <v>46169</v>
      </c>
      <c r="F586" t="inlineStr">
        <is>
          <t>CITO-UDAR</t>
        </is>
      </c>
      <c r="G586" t="inlineStr">
        <is>
          <t>TK</t>
        </is>
      </c>
      <c r="H586" t="inlineStr">
        <is>
          <t>TK głowy</t>
        </is>
      </c>
      <c r="I586" t="inlineStr">
        <is>
          <t>TK Onkologia</t>
        </is>
      </c>
      <c r="J586" t="inlineStr">
        <is>
          <t>1 okolica anatomiczna</t>
        </is>
      </c>
      <c r="K586" t="inlineStr">
        <is>
          <t>Tomasz Bujalski</t>
        </is>
      </c>
      <c r="L586" t="inlineStr">
        <is>
          <t> </t>
        </is>
      </c>
      <c r="M586" t="inlineStr">
        <is>
          <t> </t>
        </is>
      </c>
      <c r="N586" t="inlineStr">
        <is>
          <t> </t>
        </is>
      </c>
      <c r="O586" t="inlineStr">
        <is>
          <t> </t>
        </is>
      </c>
      <c r="P586" t="inlineStr">
        <is>
          <t> </t>
        </is>
      </c>
      <c r="Q586" t="inlineStr">
        <is>
          <t> </t>
        </is>
      </c>
      <c r="R586" t="inlineStr">
        <is>
          <t>tdszpitalchelm</t>
        </is>
      </c>
      <c r="S586" s="1" t="n">
        <v>46169.52083333334</v>
      </c>
      <c r="T586" t="n">
        <v>0</v>
      </c>
      <c r="U586" t="inlineStr">
        <is>
          <t>BUJALSKI TOMASZ</t>
        </is>
      </c>
    </row>
    <row r="587">
      <c r="A587" s="1" t="n">
        <v>46172</v>
      </c>
      <c r="B587" t="n">
        <v>23970017</v>
      </c>
      <c r="C587" t="inlineStr">
        <is>
          <t>JAN CZERNIAKIEWICZ</t>
        </is>
      </c>
      <c r="D587" t="n">
        <v>61010801276</v>
      </c>
      <c r="E587" s="1" t="n">
        <v>46172</v>
      </c>
      <c r="F587" t="inlineStr">
        <is>
          <t>CITO-UDAR</t>
        </is>
      </c>
      <c r="G587" t="inlineStr">
        <is>
          <t>TK</t>
        </is>
      </c>
      <c r="H587" t="inlineStr">
        <is>
          <t>Angio tt szyjnych i tt mózgowych</t>
        </is>
      </c>
      <c r="I587" t="inlineStr">
        <is>
          <t>TK Angiografia</t>
        </is>
      </c>
      <c r="J587" t="inlineStr">
        <is>
          <t>2 okolice anatomiczne</t>
        </is>
      </c>
      <c r="K587" t="inlineStr">
        <is>
          <t>Tomasz Bujalski</t>
        </is>
      </c>
      <c r="L587" t="inlineStr">
        <is>
          <t> </t>
        </is>
      </c>
      <c r="M587" t="inlineStr">
        <is>
          <t> </t>
        </is>
      </c>
      <c r="N587" t="inlineStr">
        <is>
          <t> </t>
        </is>
      </c>
      <c r="O587" t="inlineStr">
        <is>
          <t> </t>
        </is>
      </c>
      <c r="P587" t="inlineStr">
        <is>
          <t> </t>
        </is>
      </c>
      <c r="Q587" t="inlineStr">
        <is>
          <t> </t>
        </is>
      </c>
      <c r="R587" t="inlineStr">
        <is>
          <t>tdszpitalchelm</t>
        </is>
      </c>
      <c r="S587" s="1" t="n">
        <v>46172.66041666667</v>
      </c>
      <c r="T587" t="n">
        <v>0</v>
      </c>
      <c r="U587" t="inlineStr">
        <is>
          <t>BUJALSKI TOMASZ</t>
        </is>
      </c>
    </row>
    <row r="588">
      <c r="A588" s="1" t="n">
        <v>46149</v>
      </c>
      <c r="B588" t="inlineStr">
        <is>
          <t>1283621618</t>
        </is>
      </c>
      <c r="C588" t="inlineStr">
        <is>
          <t>PIOTR MARCZAK</t>
        </is>
      </c>
      <c r="D588" t="inlineStr">
        <is>
          <t>54051712773</t>
        </is>
      </c>
      <c r="E588" s="1" t="n">
        <v>46139</v>
      </c>
      <c r="F588" t="inlineStr">
        <is>
          <t>Pilny</t>
        </is>
      </c>
      <c r="G588" t="inlineStr">
        <is>
          <t>MR</t>
        </is>
      </c>
      <c r="H588" t="inlineStr">
        <is>
          <t>Rezonans magnet. jamy brzusznej lub miednicy małej bez kontr. i z kontr.</t>
        </is>
      </c>
      <c r="I588" t="inlineStr">
        <is>
          <t>MR Inne - wtym prostata, miednica, jama brzuszna tkanki miekkie</t>
        </is>
      </c>
      <c r="J588" t="inlineStr">
        <is>
          <t>1 okolica anatomiczna</t>
        </is>
      </c>
      <c r="K588" t="inlineStr">
        <is>
          <t>Tomasz Bujalski</t>
        </is>
      </c>
      <c r="L588" t="inlineStr">
        <is>
          <t> </t>
        </is>
      </c>
      <c r="M588" t="inlineStr">
        <is>
          <t>WOJEWÓDZKI SZPITAL ZESPOLONY W PŁOCKU</t>
        </is>
      </c>
      <c r="N588" t="inlineStr">
        <is>
          <t>Poradnia onkologiczna</t>
        </is>
      </c>
      <c r="O588" t="inlineStr">
        <is>
          <t>KATARZYNA ŁUKOWIAK</t>
        </is>
      </c>
      <c r="P588" t="inlineStr">
        <is>
          <t>1626262</t>
        </is>
      </c>
      <c r="Q588" t="inlineStr">
        <is>
          <t>D01</t>
        </is>
      </c>
      <c r="R588" t="inlineStr">
        <is>
          <t>tdwszplock</t>
        </is>
      </c>
      <c r="S588" s="1" t="n">
        <v>46140.26944444444</v>
      </c>
      <c r="T588" t="n">
        <v>0</v>
      </c>
      <c r="U588" t="inlineStr">
        <is>
          <t>BUJALSKI TOMASZ</t>
        </is>
      </c>
    </row>
    <row r="589">
      <c r="A589" s="1" t="n">
        <v>46149</v>
      </c>
      <c r="B589" t="inlineStr">
        <is>
          <t>1288474156</t>
        </is>
      </c>
      <c r="C589" t="inlineStr">
        <is>
          <t>TERESA KURKIEWICZ</t>
        </is>
      </c>
      <c r="D589" t="inlineStr">
        <is>
          <t>48071005560</t>
        </is>
      </c>
      <c r="E589" s="1" t="n">
        <v>46148</v>
      </c>
      <c r="F589" t="inlineStr">
        <is>
          <t>Pilny</t>
        </is>
      </c>
      <c r="G589" t="inlineStr">
        <is>
          <t>TK</t>
        </is>
      </c>
      <c r="H589" t="inlineStr">
        <is>
          <t>TK, klatka piersiowa, bez i z wzmocnieniem kontrastowym (4.125)</t>
        </is>
      </c>
      <c r="I589" t="inlineStr">
        <is>
          <t>TK Onkologia</t>
        </is>
      </c>
      <c r="J589" t="inlineStr">
        <is>
          <t>1 okolica anatomiczna</t>
        </is>
      </c>
      <c r="K589" t="inlineStr">
        <is>
          <t>Tomasz Bujalski</t>
        </is>
      </c>
      <c r="L589" t="inlineStr">
        <is>
          <t> </t>
        </is>
      </c>
      <c r="M589" t="inlineStr">
        <is>
          <t>WOJEWÓDZKI SZPITAL ZESPOLONY W PŁOCKU</t>
        </is>
      </c>
      <c r="N589" t="inlineStr">
        <is>
          <t>Poradni</t>
        </is>
      </c>
      <c r="O589" t="inlineStr">
        <is>
          <t>Ewa Celina Chmielowska</t>
        </is>
      </c>
      <c r="P589" t="inlineStr">
        <is>
          <t>1768872</t>
        </is>
      </c>
      <c r="Q589" t="inlineStr">
        <is>
          <t>C54</t>
        </is>
      </c>
      <c r="R589" t="inlineStr">
        <is>
          <t>tdwszplock</t>
        </is>
      </c>
      <c r="S589" s="1" t="n">
        <v>46149.25972222222</v>
      </c>
      <c r="T589" t="n">
        <v>1</v>
      </c>
      <c r="U589" t="inlineStr">
        <is>
          <t>BUJALSKI TOMASZ</t>
        </is>
      </c>
    </row>
    <row r="590">
      <c r="A590" s="1" t="n">
        <v>46150</v>
      </c>
      <c r="B590" t="inlineStr">
        <is>
          <t>1286799415</t>
        </is>
      </c>
      <c r="C590" t="inlineStr">
        <is>
          <t>JADWIGA KORZENIEWSKA</t>
        </is>
      </c>
      <c r="D590" t="inlineStr">
        <is>
          <t>58051617182</t>
        </is>
      </c>
      <c r="E590" s="1" t="n">
        <v>46146</v>
      </c>
      <c r="F590" t="inlineStr">
        <is>
          <t>Pilny</t>
        </is>
      </c>
      <c r="G590" t="inlineStr">
        <is>
          <t>TK</t>
        </is>
      </c>
      <c r="H590" t="inlineStr">
        <is>
          <t>Tomografia komputerowa - kl.piersiowa + jama brzuszna</t>
        </is>
      </c>
      <c r="I590" t="inlineStr">
        <is>
          <t>TK Onkologia</t>
        </is>
      </c>
      <c r="J590" t="inlineStr">
        <is>
          <t>3 okolice anatomiczne</t>
        </is>
      </c>
      <c r="K590" t="inlineStr">
        <is>
          <t>Tomasz Bujalski</t>
        </is>
      </c>
      <c r="L590" t="inlineStr">
        <is>
          <t> </t>
        </is>
      </c>
      <c r="M590" t="inlineStr">
        <is>
          <t>WOJEWÓDZKI SZPITAL ZESPOLONY W PŁOCKU</t>
        </is>
      </c>
      <c r="N590" t="inlineStr">
        <is>
          <t>Oddzi</t>
        </is>
      </c>
      <c r="O590" t="inlineStr">
        <is>
          <t>Michał Grzybowski</t>
        </is>
      </c>
      <c r="P590" t="inlineStr">
        <is>
          <t>3134869</t>
        </is>
      </c>
      <c r="Q590" t="inlineStr">
        <is>
          <t>J44.8</t>
        </is>
      </c>
      <c r="R590" t="inlineStr">
        <is>
          <t>tdwszplock</t>
        </is>
      </c>
      <c r="S590" s="1" t="n">
        <v>46146.49513888889</v>
      </c>
      <c r="T590" t="n">
        <v>0</v>
      </c>
      <c r="U590" t="inlineStr">
        <is>
          <t>BUJALSKI TOMASZ</t>
        </is>
      </c>
    </row>
    <row r="591">
      <c r="A591" s="1" t="n">
        <v>46150</v>
      </c>
      <c r="B591" t="inlineStr">
        <is>
          <t>1288490446</t>
        </is>
      </c>
      <c r="C591" t="inlineStr">
        <is>
          <t>STANISŁAW KURACH</t>
        </is>
      </c>
      <c r="D591" t="inlineStr">
        <is>
          <t>47050606190</t>
        </is>
      </c>
      <c r="E591" s="1" t="n">
        <v>46147</v>
      </c>
      <c r="F591" t="inlineStr">
        <is>
          <t>Pilny</t>
        </is>
      </c>
      <c r="G591" t="inlineStr">
        <is>
          <t>TK</t>
        </is>
      </c>
      <c r="H591" t="inlineStr">
        <is>
          <t>TK, klatka piersiowa, bez i z wzmocnieniem kontrastowym (4.125)</t>
        </is>
      </c>
      <c r="I591" t="inlineStr">
        <is>
          <t>TK Onkologia</t>
        </is>
      </c>
      <c r="J591" t="inlineStr">
        <is>
          <t>3 okolice anatomiczne</t>
        </is>
      </c>
      <c r="K591" t="inlineStr">
        <is>
          <t>Tomasz Bujalski</t>
        </is>
      </c>
      <c r="L591" t="inlineStr">
        <is>
          <t> </t>
        </is>
      </c>
      <c r="M591" t="inlineStr">
        <is>
          <t>WOJEWÓDZKI SZPITAL ZESPOLONY W PŁOCKU</t>
        </is>
      </c>
      <c r="N591" t="inlineStr">
        <is>
          <t>Klinicz</t>
        </is>
      </c>
      <c r="O591" t="inlineStr">
        <is>
          <t>Wiktor Borkowski-Wrona</t>
        </is>
      </c>
      <c r="P591" t="inlineStr">
        <is>
          <t>3352711</t>
        </is>
      </c>
      <c r="Q591" t="inlineStr">
        <is>
          <t>I64</t>
        </is>
      </c>
      <c r="R591" t="inlineStr">
        <is>
          <t>tdwszplock</t>
        </is>
      </c>
      <c r="S591" s="1" t="n">
        <v>46148.27361111111</v>
      </c>
      <c r="T591" t="n">
        <v>3</v>
      </c>
      <c r="U591" t="inlineStr">
        <is>
          <t>BUJALSKI TOMASZ</t>
        </is>
      </c>
    </row>
    <row r="592">
      <c r="A592" s="1" t="n">
        <v>46153</v>
      </c>
      <c r="B592" t="inlineStr">
        <is>
          <t>1285219227</t>
        </is>
      </c>
      <c r="C592" t="inlineStr">
        <is>
          <t>KAMILA WOLSKA-KONOPKA</t>
        </is>
      </c>
      <c r="D592" t="inlineStr">
        <is>
          <t>84110713207</t>
        </is>
      </c>
      <c r="E592" s="1" t="n">
        <v>46149</v>
      </c>
      <c r="F592" t="inlineStr">
        <is>
          <t>Pilny</t>
        </is>
      </c>
      <c r="G592" t="inlineStr">
        <is>
          <t>MR</t>
        </is>
      </c>
      <c r="H592" t="inlineStr">
        <is>
          <t>Rezonans magnet. jamy brzusznej lub miednicy małej bez kontr. i z kontr.</t>
        </is>
      </c>
      <c r="I592" t="inlineStr">
        <is>
          <t>MR Inne - wtym prostata, miednica, jama brzuszna tkanki miekkie</t>
        </is>
      </c>
      <c r="J592" t="inlineStr">
        <is>
          <t>1 okolica anatomiczna</t>
        </is>
      </c>
      <c r="K592" t="inlineStr">
        <is>
          <t>Tomasz Bujalski</t>
        </is>
      </c>
      <c r="L592" t="inlineStr">
        <is>
          <t> </t>
        </is>
      </c>
      <c r="M592" t="inlineStr">
        <is>
          <t>WOJEWÓDZKI SZPITAL ZESPOLONY W PŁOCKU</t>
        </is>
      </c>
      <c r="N592" t="inlineStr">
        <is>
          <t>Poradni</t>
        </is>
      </c>
      <c r="O592" t="inlineStr">
        <is>
          <t>BARTŁOMIEJ MORAWSKI</t>
        </is>
      </c>
      <c r="P592" t="inlineStr">
        <is>
          <t>2129602</t>
        </is>
      </c>
      <c r="Q592" t="inlineStr">
        <is>
          <t>D37.6</t>
        </is>
      </c>
      <c r="R592" t="inlineStr">
        <is>
          <t>tdwszplock</t>
        </is>
      </c>
      <c r="S592" s="1" t="n">
        <v>46150.33263888889</v>
      </c>
      <c r="T592" t="n">
        <v>0</v>
      </c>
      <c r="U592" t="inlineStr">
        <is>
          <t>BUJALSKI TOMASZ</t>
        </is>
      </c>
    </row>
    <row r="593">
      <c r="A593" s="1" t="n">
        <v>46153</v>
      </c>
      <c r="B593" t="inlineStr">
        <is>
          <t>1286689921</t>
        </is>
      </c>
      <c r="C593" t="inlineStr">
        <is>
          <t>TERESA WIŚNIEWSKA</t>
        </is>
      </c>
      <c r="D593" t="inlineStr">
        <is>
          <t>55052609646</t>
        </is>
      </c>
      <c r="E593" s="1" t="n">
        <v>46148</v>
      </c>
      <c r="F593" t="inlineStr">
        <is>
          <t>Pilny</t>
        </is>
      </c>
      <c r="G593" t="inlineStr">
        <is>
          <t>MR</t>
        </is>
      </c>
      <c r="H593" t="inlineStr">
        <is>
          <t>Rezonans magnet. jamy brzusznej lub miednicy małej bez kontr. i z kontr.</t>
        </is>
      </c>
      <c r="I593" t="inlineStr">
        <is>
          <t>MR Onkologia</t>
        </is>
      </c>
      <c r="J593" t="inlineStr">
        <is>
          <t>1 okolica anatomiczna</t>
        </is>
      </c>
      <c r="K593" t="inlineStr">
        <is>
          <t>Tomasz Bujalski</t>
        </is>
      </c>
      <c r="L593" t="inlineStr">
        <is>
          <t> </t>
        </is>
      </c>
      <c r="M593" t="inlineStr">
        <is>
          <t>WOJEWÓDZKI SZPITAL ZESPOLONY W PŁOCKU</t>
        </is>
      </c>
      <c r="N593" t="inlineStr">
        <is>
          <t>Poradni</t>
        </is>
      </c>
      <c r="O593" t="inlineStr">
        <is>
          <t>ANNA FLEMING</t>
        </is>
      </c>
      <c r="P593" t="inlineStr">
        <is>
          <t>1768405</t>
        </is>
      </c>
      <c r="Q593" t="inlineStr">
        <is>
          <t>C50.3</t>
        </is>
      </c>
      <c r="R593" t="inlineStr">
        <is>
          <t>tdwszplock</t>
        </is>
      </c>
      <c r="S593" s="1" t="n">
        <v>46149.50277777778</v>
      </c>
      <c r="T593" t="n">
        <v>1</v>
      </c>
      <c r="U593" t="inlineStr">
        <is>
          <t>BUJALSKI TOMASZ</t>
        </is>
      </c>
    </row>
    <row r="594">
      <c r="A594" s="1" t="n">
        <v>46153</v>
      </c>
      <c r="B594" t="inlineStr">
        <is>
          <t>1288420124</t>
        </is>
      </c>
      <c r="C594" t="inlineStr">
        <is>
          <t>AGNIESZKA BIALIK</t>
        </is>
      </c>
      <c r="D594" t="inlineStr">
        <is>
          <t>69021808842</t>
        </is>
      </c>
      <c r="E594" s="1" t="n">
        <v>46148</v>
      </c>
      <c r="F594" t="inlineStr">
        <is>
          <t>Pilny</t>
        </is>
      </c>
      <c r="G594" t="inlineStr">
        <is>
          <t>MR</t>
        </is>
      </c>
      <c r="H594" t="inlineStr">
        <is>
          <t>Rezonans magnet. jamy brzusznej lub miednicy małej bez kontr. i z kontr.</t>
        </is>
      </c>
      <c r="I594" t="inlineStr">
        <is>
          <t>MR Inne - wtym prostata, miednica, jama brzuszna tkanki miekkie</t>
        </is>
      </c>
      <c r="J594" t="inlineStr">
        <is>
          <t>1 okolica anatomiczna</t>
        </is>
      </c>
      <c r="K594" t="inlineStr">
        <is>
          <t>Tomasz Bujalski</t>
        </is>
      </c>
      <c r="L594" t="inlineStr">
        <is>
          <t> </t>
        </is>
      </c>
      <c r="M594" t="inlineStr">
        <is>
          <t>WOJEWÓDZKI SZPITAL ZESPOLONY W PŁOCKU</t>
        </is>
      </c>
      <c r="N594" t="inlineStr">
        <is>
          <t>Klinic</t>
        </is>
      </c>
      <c r="O594" t="inlineStr">
        <is>
          <t>MAREK BUDNY</t>
        </is>
      </c>
      <c r="P594" t="inlineStr">
        <is>
          <t>2312600</t>
        </is>
      </c>
      <c r="Q594" t="inlineStr">
        <is>
          <t>K83.8</t>
        </is>
      </c>
      <c r="R594" t="inlineStr">
        <is>
          <t>tdwszplock</t>
        </is>
      </c>
      <c r="S594" s="1" t="n">
        <v>46149.48888888889</v>
      </c>
      <c r="T594" t="n">
        <v>1</v>
      </c>
      <c r="U594" t="inlineStr">
        <is>
          <t>BUJALSKI TOMASZ</t>
        </is>
      </c>
    </row>
    <row r="595">
      <c r="A595" s="1" t="n">
        <v>46156</v>
      </c>
      <c r="B595" t="inlineStr">
        <is>
          <t>1274285383</t>
        </is>
      </c>
      <c r="C595" t="inlineStr">
        <is>
          <t>MAGDALENA DOBROŃ</t>
        </is>
      </c>
      <c r="D595" t="inlineStr">
        <is>
          <t>77071706706</t>
        </is>
      </c>
      <c r="E595" s="1" t="n">
        <v>46148</v>
      </c>
      <c r="F595" t="inlineStr">
        <is>
          <t>Pilny</t>
        </is>
      </c>
      <c r="G595" t="inlineStr">
        <is>
          <t>TK</t>
        </is>
      </c>
      <c r="H595" t="inlineStr">
        <is>
          <t>TK, klatka piersiowa, bez i z wzmocnieniem kontrastowym (4.125)</t>
        </is>
      </c>
      <c r="I595" t="inlineStr">
        <is>
          <t>TK Onkologia</t>
        </is>
      </c>
      <c r="J595" t="inlineStr">
        <is>
          <t>3 okolice anatomiczne</t>
        </is>
      </c>
      <c r="K595" t="inlineStr">
        <is>
          <t>Tomasz Bujalski</t>
        </is>
      </c>
      <c r="L595" t="inlineStr">
        <is>
          <t> </t>
        </is>
      </c>
      <c r="M595" t="inlineStr">
        <is>
          <t>WOJEWÓDZKI SZPITAL ZESPOLONY W PŁOCKU</t>
        </is>
      </c>
      <c r="N595" t="inlineStr">
        <is>
          <t>Poradnia onkologiczna</t>
        </is>
      </c>
      <c r="O595" t="inlineStr">
        <is>
          <t>KATARZYNA ŁUKOWIAK</t>
        </is>
      </c>
      <c r="P595" t="inlineStr">
        <is>
          <t>1626262</t>
        </is>
      </c>
      <c r="Q595" t="inlineStr">
        <is>
          <t>C50.9</t>
        </is>
      </c>
      <c r="R595" t="inlineStr">
        <is>
          <t>tdwszplock</t>
        </is>
      </c>
      <c r="S595" s="1" t="n">
        <v>46156.32777777778</v>
      </c>
      <c r="T595" t="n">
        <v>3</v>
      </c>
      <c r="U595" t="inlineStr">
        <is>
          <t>BUJALSKI TOMASZ</t>
        </is>
      </c>
    </row>
    <row r="596">
      <c r="A596" s="1" t="n">
        <v>46156</v>
      </c>
      <c r="B596" t="inlineStr">
        <is>
          <t>1291392108</t>
        </is>
      </c>
      <c r="C596" t="inlineStr">
        <is>
          <t>SYLWESTER WIERZCHOWSKI</t>
        </is>
      </c>
      <c r="D596" t="inlineStr">
        <is>
          <t>80081709953</t>
        </is>
      </c>
      <c r="E596" s="1" t="n">
        <v>46156</v>
      </c>
      <c r="F596" t="inlineStr">
        <is>
          <t>CITO-CITO</t>
        </is>
      </c>
      <c r="G596" t="inlineStr">
        <is>
          <t>TK</t>
        </is>
      </c>
      <c r="H596" t="inlineStr">
        <is>
          <t>TK, miednica mniejsza bez i z wzmocnieniem kontrastowym (3.069)</t>
        </is>
      </c>
      <c r="I596" t="inlineStr">
        <is>
          <t>TK Zwykłe</t>
        </is>
      </c>
      <c r="J596" t="inlineStr">
        <is>
          <t>2 okolice anatomiczne</t>
        </is>
      </c>
      <c r="K596" t="inlineStr">
        <is>
          <t>Tomasz Bujalski</t>
        </is>
      </c>
      <c r="L596" t="inlineStr">
        <is>
          <t> </t>
        </is>
      </c>
      <c r="M596" t="inlineStr">
        <is>
          <t>WOJEWÓDZKI SZPITAL ZESPOLONY W PŁOCKU</t>
        </is>
      </c>
      <c r="N596" t="inlineStr">
        <is>
          <t>Klinic</t>
        </is>
      </c>
      <c r="O596" t="inlineStr">
        <is>
          <t>Damian Marek Gałązka</t>
        </is>
      </c>
      <c r="P596" t="inlineStr">
        <is>
          <t>2864598</t>
        </is>
      </c>
      <c r="Q596" t="inlineStr">
        <is>
          <t>K80</t>
        </is>
      </c>
      <c r="R596" t="inlineStr">
        <is>
          <t>tdwszplock</t>
        </is>
      </c>
      <c r="S596" s="1" t="n">
        <v>46156.41597222222</v>
      </c>
      <c r="T596" t="n">
        <v>0</v>
      </c>
      <c r="U596" t="inlineStr">
        <is>
          <t>BUJALSKI TOMASZ</t>
        </is>
      </c>
    </row>
    <row r="597">
      <c r="A597" s="1" t="n">
        <v>46157</v>
      </c>
      <c r="B597" t="inlineStr">
        <is>
          <t>1272919874</t>
        </is>
      </c>
      <c r="C597" t="inlineStr">
        <is>
          <t>STANISŁAW NOWICKI</t>
        </is>
      </c>
      <c r="D597" t="inlineStr">
        <is>
          <t>60022003212</t>
        </is>
      </c>
      <c r="E597" s="1" t="n">
        <v>46154</v>
      </c>
      <c r="F597" t="inlineStr">
        <is>
          <t>Pilny</t>
        </is>
      </c>
      <c r="G597" t="inlineStr">
        <is>
          <t>TK</t>
        </is>
      </c>
      <c r="H597" t="inlineStr">
        <is>
          <t>TK, angio, tętnice szyjne, bez i z wzmocnieniem kontrastowym (6.221)</t>
        </is>
      </c>
      <c r="I597" t="inlineStr">
        <is>
          <t>TK Angiografia</t>
        </is>
      </c>
      <c r="J597" t="inlineStr">
        <is>
          <t>1 okolica anatomiczna</t>
        </is>
      </c>
      <c r="K597" t="inlineStr">
        <is>
          <t>Tomasz Bujalski</t>
        </is>
      </c>
      <c r="L597" t="inlineStr">
        <is>
          <t> </t>
        </is>
      </c>
      <c r="M597" t="inlineStr">
        <is>
          <t>samodzielny publiczny zespół przychodni specjalistycznych</t>
        </is>
      </c>
      <c r="N597" t="inlineStr">
        <is>
          <t>poradnia chorób naczyń</t>
        </is>
      </c>
      <c r="O597" t="inlineStr">
        <is>
          <t>MARCIN JOŃSKI</t>
        </is>
      </c>
      <c r="P597" t="inlineStr">
        <is>
          <t>1013333</t>
        </is>
      </c>
      <c r="Q597" t="inlineStr">
        <is>
          <t>I70.9</t>
        </is>
      </c>
      <c r="R597" t="inlineStr">
        <is>
          <t>tdwszplock</t>
        </is>
      </c>
      <c r="S597" s="1" t="n">
        <v>46156.43055555555</v>
      </c>
      <c r="T597" t="n">
        <v>0</v>
      </c>
      <c r="U597" t="inlineStr">
        <is>
          <t>BUJALSKI TOMASZ</t>
        </is>
      </c>
    </row>
    <row r="598">
      <c r="A598" s="1" t="n">
        <v>46160</v>
      </c>
      <c r="B598" t="inlineStr">
        <is>
          <t>1292421950</t>
        </is>
      </c>
      <c r="C598" t="inlineStr">
        <is>
          <t>MATEUSZ RAJEWSKI</t>
        </is>
      </c>
      <c r="D598" t="inlineStr">
        <is>
          <t>12222303171</t>
        </is>
      </c>
      <c r="E598" s="1" t="n">
        <v>46160</v>
      </c>
      <c r="F598" t="inlineStr">
        <is>
          <t>CITO-CITO</t>
        </is>
      </c>
      <c r="G598" t="inlineStr">
        <is>
          <t>TK</t>
        </is>
      </c>
      <c r="H598" t="inlineStr">
        <is>
          <t>TK, głowa, bez wzmocnienia kontrastowego (6.209)</t>
        </is>
      </c>
      <c r="I598" t="inlineStr">
        <is>
          <t>TK Zwykłe</t>
        </is>
      </c>
      <c r="J598" t="inlineStr">
        <is>
          <t>2 okolice anatomiczne</t>
        </is>
      </c>
      <c r="K598" t="inlineStr">
        <is>
          <t>Tomasz Bujalski</t>
        </is>
      </c>
      <c r="L598" t="inlineStr">
        <is>
          <t> </t>
        </is>
      </c>
      <c r="M598" t="inlineStr">
        <is>
          <t>WOJEWÓDZKI SZPITAL ZESPOLONY W PŁOCKU</t>
        </is>
      </c>
      <c r="N598" t="inlineStr">
        <is>
          <t>Kliniczn</t>
        </is>
      </c>
      <c r="O598" t="inlineStr">
        <is>
          <t>Kostiantyn Aleksiuk</t>
        </is>
      </c>
      <c r="P598" t="inlineStr">
        <is>
          <t>3353197</t>
        </is>
      </c>
      <c r="Q598" t="inlineStr">
        <is>
          <t>S00</t>
        </is>
      </c>
      <c r="R598" t="inlineStr">
        <is>
          <t>tdwszplock</t>
        </is>
      </c>
      <c r="S598" s="1" t="n">
        <v>46160.46458333333</v>
      </c>
      <c r="T598" t="n">
        <v>0</v>
      </c>
      <c r="U598" t="inlineStr">
        <is>
          <t>BUJALSKI TOMASZ</t>
        </is>
      </c>
    </row>
    <row r="599">
      <c r="A599" s="1" t="n">
        <v>46161</v>
      </c>
      <c r="B599" t="inlineStr">
        <is>
          <t>1292473869</t>
        </is>
      </c>
      <c r="C599" t="inlineStr">
        <is>
          <t>KRZYSZTOF KOWALCZYK</t>
        </is>
      </c>
      <c r="D599" t="inlineStr">
        <is>
          <t>71031310716</t>
        </is>
      </c>
      <c r="E599" s="1" t="n">
        <v>46161</v>
      </c>
      <c r="F599" t="inlineStr">
        <is>
          <t>Pilny</t>
        </is>
      </c>
      <c r="G599" t="inlineStr">
        <is>
          <t>TK</t>
        </is>
      </c>
      <c r="H599" t="inlineStr">
        <is>
          <t>TK, klatka piersiowa, bez i z wzmocnieniem kontrastowym (4.125)</t>
        </is>
      </c>
      <c r="I599" t="inlineStr">
        <is>
          <t>TK Zwykłe</t>
        </is>
      </c>
      <c r="J599" t="inlineStr">
        <is>
          <t>1 okolica anatomiczna</t>
        </is>
      </c>
      <c r="K599" t="inlineStr">
        <is>
          <t>Tomasz Bujalski</t>
        </is>
      </c>
      <c r="L599" t="inlineStr">
        <is>
          <t> </t>
        </is>
      </c>
      <c r="M599" t="inlineStr">
        <is>
          <t>WOJEWÓDZKI SZPITAL ZESPOLONY W PŁOCKU</t>
        </is>
      </c>
      <c r="N599" t="inlineStr">
        <is>
          <t xml:space="preserve">Oddział  chorób płuc </t>
        </is>
      </c>
      <c r="O599" t="inlineStr">
        <is>
          <t>ALEKSANDRA ZIELIŃSKA</t>
        </is>
      </c>
      <c r="P599" t="inlineStr">
        <is>
          <t>1134464</t>
        </is>
      </c>
      <c r="Q599" t="inlineStr">
        <is>
          <t>J93</t>
        </is>
      </c>
      <c r="R599" t="inlineStr">
        <is>
          <t>tdwszplock</t>
        </is>
      </c>
      <c r="S599" s="1" t="n">
        <v>46161.38958333333</v>
      </c>
      <c r="T599" t="n">
        <v>0</v>
      </c>
      <c r="U599" t="inlineStr">
        <is>
          <t>BUJALSKI TOMASZ</t>
        </is>
      </c>
    </row>
    <row r="600">
      <c r="A600" s="1" t="n">
        <v>46163</v>
      </c>
      <c r="B600" t="inlineStr">
        <is>
          <t>1290891916</t>
        </is>
      </c>
      <c r="C600" t="inlineStr">
        <is>
          <t>BOŻENA WIEPRZKOWICZ</t>
        </is>
      </c>
      <c r="D600" t="inlineStr">
        <is>
          <t>58020514142</t>
        </is>
      </c>
      <c r="E600" s="1" t="n">
        <v>46162</v>
      </c>
      <c r="F600" t="inlineStr">
        <is>
          <t>Pilny</t>
        </is>
      </c>
      <c r="G600" t="inlineStr">
        <is>
          <t>TK</t>
        </is>
      </c>
      <c r="H600" t="inlineStr">
        <is>
          <t>TK, angio, łuk aorty i tętnice dogłowowe (6.222)</t>
        </is>
      </c>
      <c r="I600" t="inlineStr">
        <is>
          <t>TK Angiografia</t>
        </is>
      </c>
      <c r="J600" t="inlineStr">
        <is>
          <t>2 okolice anatomiczne</t>
        </is>
      </c>
      <c r="K600" t="inlineStr">
        <is>
          <t>Tomasz Bujalski</t>
        </is>
      </c>
      <c r="L600" t="inlineStr">
        <is>
          <t> </t>
        </is>
      </c>
      <c r="M600" t="inlineStr">
        <is>
          <t>WOJEWÓDZKI SZPITAL ZESPOLONY W PŁOCKU</t>
        </is>
      </c>
      <c r="N600" t="inlineStr">
        <is>
          <t>Klinicz</t>
        </is>
      </c>
      <c r="O600" t="inlineStr">
        <is>
          <t>Anna Wilewska</t>
        </is>
      </c>
      <c r="P600" t="inlineStr">
        <is>
          <t>3353392</t>
        </is>
      </c>
      <c r="Q600" t="inlineStr">
        <is>
          <t>N18</t>
        </is>
      </c>
      <c r="R600" t="inlineStr">
        <is>
          <t>tdwszplock</t>
        </is>
      </c>
      <c r="S600" s="1" t="n">
        <v>46162.42291666667</v>
      </c>
      <c r="T600" t="n">
        <v>0</v>
      </c>
      <c r="U600" t="inlineStr">
        <is>
          <t>BUJALSKI TOMASZ</t>
        </is>
      </c>
    </row>
    <row r="601">
      <c r="A601" s="1" t="n">
        <v>46163</v>
      </c>
      <c r="B601" t="inlineStr">
        <is>
          <t>1291684530</t>
        </is>
      </c>
      <c r="C601" t="inlineStr">
        <is>
          <t>HENRYK BROŻEK</t>
        </is>
      </c>
      <c r="D601" t="inlineStr">
        <is>
          <t>56051715756</t>
        </is>
      </c>
      <c r="E601" s="1" t="n">
        <v>46161</v>
      </c>
      <c r="F601" t="inlineStr">
        <is>
          <t>Pilny</t>
        </is>
      </c>
      <c r="G601" t="inlineStr">
        <is>
          <t>TK</t>
        </is>
      </c>
      <c r="H601" t="inlineStr">
        <is>
          <t>TK, klatka piersiowa, bez i z wzmocnieniem kontrastowym (4.125)</t>
        </is>
      </c>
      <c r="I601" t="inlineStr">
        <is>
          <t>TK Zwykłe</t>
        </is>
      </c>
      <c r="J601" t="inlineStr">
        <is>
          <t>2 okolice anatomiczne</t>
        </is>
      </c>
      <c r="K601" t="inlineStr">
        <is>
          <t>Tomasz Bujalski</t>
        </is>
      </c>
      <c r="L601" t="inlineStr">
        <is>
          <t> </t>
        </is>
      </c>
      <c r="M601" t="inlineStr">
        <is>
          <t>WOJEWÓDZKI SZPITAL ZESPOLONY W PŁOCKU</t>
        </is>
      </c>
      <c r="N601" t="inlineStr">
        <is>
          <t>Oddział reumatologiczny</t>
        </is>
      </c>
      <c r="O601" t="inlineStr">
        <is>
          <t>ANDRZEJ BIELSKI</t>
        </is>
      </c>
      <c r="P601" t="inlineStr">
        <is>
          <t>1134604</t>
        </is>
      </c>
      <c r="Q601" t="inlineStr">
        <is>
          <t>M25.5</t>
        </is>
      </c>
      <c r="R601" t="inlineStr">
        <is>
          <t>tdwszplock</t>
        </is>
      </c>
      <c r="S601" s="1" t="n">
        <v>46161.48402777778</v>
      </c>
      <c r="T601" t="n">
        <v>0</v>
      </c>
      <c r="U601" t="inlineStr">
        <is>
          <t>BUJALSKI TOMASZ</t>
        </is>
      </c>
    </row>
    <row r="602">
      <c r="A602" s="1" t="n">
        <v>46164</v>
      </c>
      <c r="B602" t="inlineStr">
        <is>
          <t>1289539461</t>
        </is>
      </c>
      <c r="C602" t="inlineStr">
        <is>
          <t>KAZIMIERZ WITKOWSKI</t>
        </is>
      </c>
      <c r="D602" t="inlineStr">
        <is>
          <t>49080504396</t>
        </is>
      </c>
      <c r="E602" s="1" t="n">
        <v>46161</v>
      </c>
      <c r="F602" t="inlineStr">
        <is>
          <t>Pilny</t>
        </is>
      </c>
      <c r="G602" t="inlineStr">
        <is>
          <t>MR</t>
        </is>
      </c>
      <c r="H602" t="inlineStr">
        <is>
          <t>Rezonans magnet. jamy brzusznej lub miednicy małej bez kontr. i z kontr.</t>
        </is>
      </c>
      <c r="I602" t="inlineStr">
        <is>
          <t>MR Inne - wtym prostata, miednica, jama brzuszna tkanki miekkie</t>
        </is>
      </c>
      <c r="J602" t="inlineStr">
        <is>
          <t>1 okolica anatomiczna</t>
        </is>
      </c>
      <c r="K602" t="inlineStr">
        <is>
          <t>Tomasz Bujalski</t>
        </is>
      </c>
      <c r="L602" t="inlineStr">
        <is>
          <t> </t>
        </is>
      </c>
      <c r="M602" t="inlineStr">
        <is>
          <t>WOJEWÓDZKI SZPITAL ZESPOLONY W PŁOCKU</t>
        </is>
      </c>
      <c r="N602" t="inlineStr">
        <is>
          <t>Poradnia onkologiczna</t>
        </is>
      </c>
      <c r="O602" t="inlineStr">
        <is>
          <t>BARTŁOMIEJ MORAWSKI</t>
        </is>
      </c>
      <c r="P602" t="inlineStr">
        <is>
          <t>2129602</t>
        </is>
      </c>
      <c r="Q602" t="inlineStr">
        <is>
          <t>D37.1</t>
        </is>
      </c>
      <c r="R602" t="inlineStr">
        <is>
          <t>tdwszplock</t>
        </is>
      </c>
      <c r="S602" s="1" t="n">
        <v>46162.24861111111</v>
      </c>
      <c r="T602" t="n">
        <v>1</v>
      </c>
      <c r="U602" t="inlineStr">
        <is>
          <t>BUJALSKI TOMASZ</t>
        </is>
      </c>
    </row>
    <row r="603">
      <c r="A603" s="1" t="n">
        <v>46164</v>
      </c>
      <c r="B603" t="inlineStr">
        <is>
          <t>1291419902</t>
        </is>
      </c>
      <c r="C603" t="inlineStr">
        <is>
          <t>GRAŻYNA NIEDZIELAK</t>
        </is>
      </c>
      <c r="D603" t="inlineStr">
        <is>
          <t>51052302442</t>
        </is>
      </c>
      <c r="E603" s="1" t="n">
        <v>46156</v>
      </c>
      <c r="F603" t="inlineStr">
        <is>
          <t>Pilny</t>
        </is>
      </c>
      <c r="G603" t="inlineStr">
        <is>
          <t>MR</t>
        </is>
      </c>
      <c r="H603" t="inlineStr">
        <is>
          <t>Rezonans magnet. jamy brzusznej lub miednicy małej bez kontr. i z kontr.</t>
        </is>
      </c>
      <c r="I603" t="inlineStr">
        <is>
          <t>MR Onkologia</t>
        </is>
      </c>
      <c r="J603" t="inlineStr">
        <is>
          <t>1 okolica anatomiczna</t>
        </is>
      </c>
      <c r="K603" t="inlineStr">
        <is>
          <t>Tomasz Bujalski</t>
        </is>
      </c>
      <c r="L603" t="inlineStr">
        <is>
          <t> </t>
        </is>
      </c>
      <c r="M603" t="inlineStr">
        <is>
          <t>WOJEWÓDZKI SZPITAL ZESPOLONY W PŁOCKU</t>
        </is>
      </c>
      <c r="N603" t="inlineStr">
        <is>
          <t>Kliniczny oddzial wewnetrzny</t>
        </is>
      </c>
      <c r="O603" t="inlineStr">
        <is>
          <t>Cezary Marcin Graczyk</t>
        </is>
      </c>
      <c r="P603" t="inlineStr">
        <is>
          <t>3352240</t>
        </is>
      </c>
      <c r="Q603" t="inlineStr">
        <is>
          <t>J98</t>
        </is>
      </c>
      <c r="R603" t="inlineStr">
        <is>
          <t>tdwszplock</t>
        </is>
      </c>
      <c r="S603" s="1" t="n">
        <v>46162.23958333334</v>
      </c>
      <c r="T603" t="n">
        <v>1</v>
      </c>
      <c r="U603" t="inlineStr">
        <is>
          <t>BUJALSKI TOMASZ</t>
        </is>
      </c>
    </row>
    <row r="604">
      <c r="A604" s="1" t="n">
        <v>46164</v>
      </c>
      <c r="B604" t="inlineStr">
        <is>
          <t>1293658102</t>
        </is>
      </c>
      <c r="C604" t="inlineStr">
        <is>
          <t>TADEUSZ WIŚNIEWSKI</t>
        </is>
      </c>
      <c r="D604" t="inlineStr">
        <is>
          <t>40071302296</t>
        </is>
      </c>
      <c r="E604" s="1" t="n">
        <v>46164</v>
      </c>
      <c r="F604" t="inlineStr">
        <is>
          <t>CITO-CITO</t>
        </is>
      </c>
      <c r="G604" t="inlineStr">
        <is>
          <t>TK</t>
        </is>
      </c>
      <c r="H604" t="inlineStr">
        <is>
          <t>TK, jama brzuszna i miednica, bez wzmocnienia kontrastowego (3.070)</t>
        </is>
      </c>
      <c r="I604" t="inlineStr">
        <is>
          <t>TK Zwykłe</t>
        </is>
      </c>
      <c r="J604" t="inlineStr">
        <is>
          <t>2 okolice anatomiczne</t>
        </is>
      </c>
      <c r="K604" t="inlineStr">
        <is>
          <t>Tomasz Bujalski</t>
        </is>
      </c>
      <c r="L604" t="inlineStr">
        <is>
          <t> </t>
        </is>
      </c>
      <c r="M604" t="inlineStr">
        <is>
          <t>WOJEWÓDZKI SZPITAL ZESPOLONY W PŁOCKU</t>
        </is>
      </c>
      <c r="N604" t="inlineStr">
        <is>
          <t xml:space="preserve">Kliniczny Szpitalny Oddział Ratunkowy </t>
        </is>
      </c>
      <c r="O604" t="inlineStr">
        <is>
          <t>DARIUSZ MŁYŃCZYK</t>
        </is>
      </c>
      <c r="P604" t="inlineStr">
        <is>
          <t>8718119</t>
        </is>
      </c>
      <c r="Q604" t="inlineStr">
        <is>
          <t>R10.4</t>
        </is>
      </c>
      <c r="R604" t="inlineStr">
        <is>
          <t>tdwszplock</t>
        </is>
      </c>
      <c r="S604" s="1" t="n">
        <v>46164.26736111111</v>
      </c>
      <c r="T604" t="n">
        <v>0</v>
      </c>
      <c r="U604" t="inlineStr">
        <is>
          <t>BUJALSKI TOMASZ</t>
        </is>
      </c>
    </row>
    <row r="605">
      <c r="A605" s="1" t="n">
        <v>46168</v>
      </c>
      <c r="B605" t="inlineStr">
        <is>
          <t>1285599456</t>
        </is>
      </c>
      <c r="C605" t="inlineStr">
        <is>
          <t>KRYSTYNA WRZEŚNIEWSKA</t>
        </is>
      </c>
      <c r="D605" t="inlineStr">
        <is>
          <t>51011811927</t>
        </is>
      </c>
      <c r="E605" s="1" t="n">
        <v>46168</v>
      </c>
      <c r="F605" t="inlineStr">
        <is>
          <t>Pilny</t>
        </is>
      </c>
      <c r="G605" t="inlineStr">
        <is>
          <t>TK</t>
        </is>
      </c>
      <c r="H605" t="inlineStr">
        <is>
          <t>TK, angio, tętnice szyjne, bez i z wzmocnieniem kontrastowym (6.221)</t>
        </is>
      </c>
      <c r="I605" t="inlineStr">
        <is>
          <t>TK Angiografia</t>
        </is>
      </c>
      <c r="J605" t="inlineStr">
        <is>
          <t>2 okolice anatomiczne</t>
        </is>
      </c>
      <c r="K605" t="inlineStr">
        <is>
          <t>Tomasz Bujalski</t>
        </is>
      </c>
      <c r="L605" t="inlineStr">
        <is>
          <t> </t>
        </is>
      </c>
      <c r="M605" t="inlineStr">
        <is>
          <t>WOJEWÓDZKI SZPITAL ZESPOLONY W PŁOCKU</t>
        </is>
      </c>
      <c r="N605" t="inlineStr">
        <is>
          <t>Poradn</t>
        </is>
      </c>
      <c r="O605" t="inlineStr">
        <is>
          <t>WŁODZIMIERZ KLONOWSKI</t>
        </is>
      </c>
      <c r="P605" t="inlineStr">
        <is>
          <t>4280174</t>
        </is>
      </c>
      <c r="Q605" t="inlineStr">
        <is>
          <t>I65.3</t>
        </is>
      </c>
      <c r="R605" t="inlineStr">
        <is>
          <t>tdwszplock</t>
        </is>
      </c>
      <c r="S605" s="1" t="n">
        <v>46168.38680555556</v>
      </c>
      <c r="T605" t="n">
        <v>0</v>
      </c>
      <c r="U605" t="inlineStr">
        <is>
          <t>BUJALSKI TOMASZ</t>
        </is>
      </c>
    </row>
    <row r="606">
      <c r="A606" s="1" t="n">
        <v>46171</v>
      </c>
      <c r="B606" t="inlineStr">
        <is>
          <t>1294698454</t>
        </is>
      </c>
      <c r="C606" t="inlineStr">
        <is>
          <t>JACEK LEBEUS</t>
        </is>
      </c>
      <c r="D606" t="inlineStr">
        <is>
          <t>67032103455</t>
        </is>
      </c>
      <c r="E606" s="1" t="n">
        <v>46169</v>
      </c>
      <c r="F606" t="inlineStr">
        <is>
          <t>Pilny</t>
        </is>
      </c>
      <c r="G606" t="inlineStr">
        <is>
          <t>TK</t>
        </is>
      </c>
      <c r="H606" t="inlineStr">
        <is>
          <t>TK, klatka piersiowa, bez i z wzmocnieniem kontrastowym (4.125)</t>
        </is>
      </c>
      <c r="I606" t="inlineStr">
        <is>
          <t>TK Zwykłe</t>
        </is>
      </c>
      <c r="J606" t="inlineStr">
        <is>
          <t>3 okolice anatomiczne</t>
        </is>
      </c>
      <c r="K606" t="inlineStr">
        <is>
          <t>Tomasz Bujalski</t>
        </is>
      </c>
      <c r="L606" t="inlineStr">
        <is>
          <t> </t>
        </is>
      </c>
      <c r="M606" t="inlineStr">
        <is>
          <t>WOJEWÓDZKI SZPITAL ZESPOLONY W PŁOCKU</t>
        </is>
      </c>
      <c r="N606" t="inlineStr">
        <is>
          <t>Klinicz</t>
        </is>
      </c>
      <c r="O606" t="inlineStr">
        <is>
          <t>MAREK KRAWCZYK</t>
        </is>
      </c>
      <c r="P606" t="inlineStr">
        <is>
          <t>1349459</t>
        </is>
      </c>
      <c r="Q606" t="inlineStr">
        <is>
          <t>R06.0</t>
        </is>
      </c>
      <c r="R606" t="inlineStr">
        <is>
          <t>tdwszplock</t>
        </is>
      </c>
      <c r="S606" s="1" t="n">
        <v>46170.24305555555</v>
      </c>
      <c r="T606" t="n">
        <v>0</v>
      </c>
      <c r="U606" t="inlineStr">
        <is>
          <t>BUJALSKI TOMASZ</t>
        </is>
      </c>
    </row>
    <row r="607">
      <c r="A607" s="1" t="n">
        <v>46172</v>
      </c>
      <c r="B607" t="inlineStr">
        <is>
          <t>1296023861</t>
        </is>
      </c>
      <c r="C607" t="inlineStr">
        <is>
          <t>HELENA SZCZYPEK</t>
        </is>
      </c>
      <c r="D607" t="inlineStr">
        <is>
          <t>49030409849</t>
        </is>
      </c>
      <c r="E607" s="1" t="n">
        <v>46172</v>
      </c>
      <c r="F607" t="inlineStr">
        <is>
          <t>CITO-CITO</t>
        </is>
      </c>
      <c r="G607" t="inlineStr">
        <is>
          <t>TK</t>
        </is>
      </c>
      <c r="H607" t="inlineStr">
        <is>
          <t>Tk, całego ciała (uraz wielonarządowy), osoba dorosła (5.193)</t>
        </is>
      </c>
      <c r="I607" t="inlineStr">
        <is>
          <t>TK Zwykłe</t>
        </is>
      </c>
      <c r="J607" t="inlineStr">
        <is>
          <t>6 okolic anatomicznych</t>
        </is>
      </c>
      <c r="K607" t="inlineStr">
        <is>
          <t>Tomasz Bujalski</t>
        </is>
      </c>
      <c r="L607" t="inlineStr">
        <is>
          <t> </t>
        </is>
      </c>
      <c r="M607" t="inlineStr">
        <is>
          <t>WOJEWÓDZKI SZPITAL ZESPOLONY W PŁOCKU</t>
        </is>
      </c>
      <c r="N607" t="inlineStr">
        <is>
          <t>Kliniczn</t>
        </is>
      </c>
      <c r="O607" t="inlineStr">
        <is>
          <t>AGNIESZKA KOŁODZIEJCZYK</t>
        </is>
      </c>
      <c r="P607" t="inlineStr">
        <is>
          <t>1134670</t>
        </is>
      </c>
      <c r="Q607" t="inlineStr">
        <is>
          <t>T11.9</t>
        </is>
      </c>
      <c r="R607" t="inlineStr">
        <is>
          <t>tdwszplock</t>
        </is>
      </c>
      <c r="S607" s="1" t="n">
        <v>46172.54027777778</v>
      </c>
      <c r="T607" t="n">
        <v>0</v>
      </c>
      <c r="U607" t="inlineStr">
        <is>
          <t>BUJALSKI TOMASZ</t>
        </is>
      </c>
    </row>
    <row r="608">
      <c r="A608" s="1" t="n">
        <v>46165</v>
      </c>
      <c r="B608" t="n">
        <v>4739234</v>
      </c>
      <c r="C608" t="inlineStr">
        <is>
          <t>ZYGMUNT ROSINSKI</t>
        </is>
      </c>
      <c r="D608" t="n">
        <v>56101013715</v>
      </c>
      <c r="E608" s="1" t="n">
        <v>46165</v>
      </c>
      <c r="F608" t="inlineStr">
        <is>
          <t>CITO-CITO</t>
        </is>
      </c>
      <c r="G608" t="inlineStr">
        <is>
          <t>TK</t>
        </is>
      </c>
      <c r="H608" t="inlineStr">
        <is>
          <t>TK klatki piersiowej, j.brzusznej i miednicy</t>
        </is>
      </c>
      <c r="I608" t="inlineStr">
        <is>
          <t>TK Zwykłe</t>
        </is>
      </c>
      <c r="J608" t="inlineStr">
        <is>
          <t>3 okolice anatomiczne</t>
        </is>
      </c>
      <c r="K608" t="inlineStr">
        <is>
          <t>Tomasz Bujalski</t>
        </is>
      </c>
      <c r="L608" t="inlineStr">
        <is>
          <t> </t>
        </is>
      </c>
      <c r="M608" t="inlineStr">
        <is>
          <t> </t>
        </is>
      </c>
      <c r="N608" t="inlineStr">
        <is>
          <t> </t>
        </is>
      </c>
      <c r="O608" t="inlineStr">
        <is>
          <t> </t>
        </is>
      </c>
      <c r="P608" t="inlineStr">
        <is>
          <t> </t>
        </is>
      </c>
      <c r="Q608" t="inlineStr">
        <is>
          <t> </t>
        </is>
      </c>
      <c r="R608" t="inlineStr">
        <is>
          <t>tdzoznidzica</t>
        </is>
      </c>
      <c r="S608" s="1" t="n">
        <v>46165.53958333333</v>
      </c>
      <c r="T608" t="n">
        <v>0</v>
      </c>
      <c r="U608" t="inlineStr">
        <is>
          <t>BUJALSKI TOMASZ</t>
        </is>
      </c>
    </row>
    <row r="609">
      <c r="A609" s="1" t="n">
        <v>46149</v>
      </c>
      <c r="B609" t="inlineStr">
        <is>
          <t>CT_26_001350</t>
        </is>
      </c>
      <c r="C609" t="inlineStr">
        <is>
          <t>PAWEL LIPKA</t>
        </is>
      </c>
      <c r="D609" t="n">
        <v>2252508037</v>
      </c>
      <c r="E609" s="1" t="n">
        <v>46149</v>
      </c>
      <c r="F609" t="inlineStr">
        <is>
          <t>CITO-CITO</t>
        </is>
      </c>
      <c r="G609" t="inlineStr">
        <is>
          <t>TK</t>
        </is>
      </c>
      <c r="H609" t="inlineStr">
        <is>
          <t>Tomografia dwóch okolic anatomicznych</t>
        </is>
      </c>
      <c r="I609" t="inlineStr">
        <is>
          <t>TK Zwykłe</t>
        </is>
      </c>
      <c r="J609" t="inlineStr">
        <is>
          <t>2 okolice anatomiczne</t>
        </is>
      </c>
      <c r="K609" t="inlineStr">
        <is>
          <t>Tomasz Bujalski</t>
        </is>
      </c>
      <c r="L609" t="inlineStr">
        <is>
          <t> </t>
        </is>
      </c>
      <c r="M609" t="inlineStr">
        <is>
          <t>SAMODZIELNY PUBLICZNY ZESPÓŁ ZAKŁADÓW OPIEKI ZDROWOTNEJ IM.MARSZAŁKA JÓZEFA PIŁSUDSKIEGO W PŁOŃSKU</t>
        </is>
      </c>
      <c r="N609" t="inlineStr">
        <is>
          <t>SOR</t>
        </is>
      </c>
      <c r="O609" t="inlineStr">
        <is>
          <t>Paweł Szewczyk</t>
        </is>
      </c>
      <c r="P609" t="n">
        <v>2712912</v>
      </c>
      <c r="Q609" t="inlineStr">
        <is>
          <t>S00</t>
        </is>
      </c>
      <c r="R609" t="inlineStr">
        <is>
          <t>tdzozplonsk</t>
        </is>
      </c>
      <c r="S609" s="1" t="n">
        <v>46149.06180555555</v>
      </c>
      <c r="T609" t="n">
        <v>0</v>
      </c>
      <c r="U609" t="inlineStr">
        <is>
          <t>BUJALSKI TOMASZ</t>
        </is>
      </c>
    </row>
    <row r="610">
      <c r="A610" s="1" t="n">
        <v>46149</v>
      </c>
      <c r="B610" t="inlineStr">
        <is>
          <t>CT_26_001353</t>
        </is>
      </c>
      <c r="C610" t="inlineStr">
        <is>
          <t>JAN RAKOWIECKI</t>
        </is>
      </c>
      <c r="D610" t="n">
        <v>48100406511</v>
      </c>
      <c r="E610" s="1" t="n">
        <v>46149</v>
      </c>
      <c r="F610" t="inlineStr">
        <is>
          <t>CITO-CITO</t>
        </is>
      </c>
      <c r="G610" t="inlineStr">
        <is>
          <t>TK</t>
        </is>
      </c>
      <c r="H610" t="inlineStr">
        <is>
          <t>TK j.brzusznej i miednicy</t>
        </is>
      </c>
      <c r="I610" t="inlineStr">
        <is>
          <t>TK Zwykłe</t>
        </is>
      </c>
      <c r="J610" t="inlineStr">
        <is>
          <t>2 okolice anatomiczne</t>
        </is>
      </c>
      <c r="K610" t="inlineStr">
        <is>
          <t>Tomasz Bujalski</t>
        </is>
      </c>
      <c r="L610" t="inlineStr">
        <is>
          <t> </t>
        </is>
      </c>
      <c r="M610" t="inlineStr">
        <is>
          <t>SAMODZIELNY PUBLICZNY ZESPÓŁ ZAKŁADÓW OPIEKI ZDROWOTNEJ IM.MARSZAŁKA JÓZEFA PIŁSUDSKIEGO W PŁOŃSKU</t>
        </is>
      </c>
      <c r="N610" t="inlineStr">
        <is>
          <t>Oddział chorób wewnętrznych z pododdziałem diabetologicznym</t>
        </is>
      </c>
      <c r="O610" t="inlineStr">
        <is>
          <t>Izabela Bartyzel</t>
        </is>
      </c>
      <c r="P610" t="n">
        <v>9454477</v>
      </c>
      <c r="Q610" t="inlineStr">
        <is>
          <t> </t>
        </is>
      </c>
      <c r="R610" t="inlineStr">
        <is>
          <t>tdzozplonsk</t>
        </is>
      </c>
      <c r="S610" s="1" t="n">
        <v>46149.26458333333</v>
      </c>
      <c r="T610" t="n">
        <v>0</v>
      </c>
      <c r="U610" t="inlineStr">
        <is>
          <t>BUJALSKI TOMASZ</t>
        </is>
      </c>
    </row>
    <row r="611">
      <c r="A611" s="1" t="n">
        <v>46149</v>
      </c>
      <c r="B611" t="inlineStr">
        <is>
          <t>CT_26_001361</t>
        </is>
      </c>
      <c r="C611" t="inlineStr">
        <is>
          <t>ELZBIETA SZCZERBINSKA</t>
        </is>
      </c>
      <c r="D611" t="n">
        <v>46110511124</v>
      </c>
      <c r="E611" s="1" t="n">
        <v>46149</v>
      </c>
      <c r="F611" t="inlineStr">
        <is>
          <t>CITO-CITO</t>
        </is>
      </c>
      <c r="G611" t="inlineStr">
        <is>
          <t>TK</t>
        </is>
      </c>
      <c r="H611" t="inlineStr">
        <is>
          <t>TK głowy</t>
        </is>
      </c>
      <c r="I611" t="inlineStr">
        <is>
          <t>TK Onkologia</t>
        </is>
      </c>
      <c r="J611" t="inlineStr">
        <is>
          <t>1 okolica anatomiczna</t>
        </is>
      </c>
      <c r="K611" t="inlineStr">
        <is>
          <t>Tomasz Bujalski</t>
        </is>
      </c>
      <c r="L611" t="inlineStr">
        <is>
          <t> </t>
        </is>
      </c>
      <c r="M611" t="inlineStr">
        <is>
          <t>SAMODZIELNY PUBLICZNY ZESPÓŁ ZAKŁADÓW OPIEKI ZDROWOTNEJ IM.MARSZAŁKA JÓZEFA PIŁSUDSKIEGO W PŁOŃSKU</t>
        </is>
      </c>
      <c r="N611" t="inlineStr">
        <is>
          <t>SOR</t>
        </is>
      </c>
      <c r="O611" t="inlineStr">
        <is>
          <t>Henandzi Hulnitski</t>
        </is>
      </c>
      <c r="P611" t="n">
        <v>3963181</v>
      </c>
      <c r="Q611" t="inlineStr">
        <is>
          <t> </t>
        </is>
      </c>
      <c r="R611" t="inlineStr">
        <is>
          <t>tdzozplonsk</t>
        </is>
      </c>
      <c r="S611" s="1" t="n">
        <v>46149.32916666667</v>
      </c>
      <c r="T611" t="n">
        <v>0</v>
      </c>
      <c r="U611" t="inlineStr">
        <is>
          <t>BUJALSKI TOMASZ</t>
        </is>
      </c>
    </row>
    <row r="612">
      <c r="A612" s="1" t="n">
        <v>46149</v>
      </c>
      <c r="B612" t="inlineStr">
        <is>
          <t>CT_26_001363</t>
        </is>
      </c>
      <c r="C612" t="inlineStr">
        <is>
          <t>BOGUMILA GOLUBINSKA</t>
        </is>
      </c>
      <c r="D612" t="n">
        <v>69042808942</v>
      </c>
      <c r="E612" s="1" t="n">
        <v>46149</v>
      </c>
      <c r="F612" t="inlineStr">
        <is>
          <t>CITO-CITO</t>
        </is>
      </c>
      <c r="G612" t="inlineStr">
        <is>
          <t>TK</t>
        </is>
      </c>
      <c r="H612" t="inlineStr">
        <is>
          <t>TK głowy</t>
        </is>
      </c>
      <c r="I612" t="inlineStr">
        <is>
          <t>TK Onkologia</t>
        </is>
      </c>
      <c r="J612" t="inlineStr">
        <is>
          <t>1 okolica anatomiczna</t>
        </is>
      </c>
      <c r="K612" t="inlineStr">
        <is>
          <t>Tomasz Bujalski</t>
        </is>
      </c>
      <c r="L612" t="inlineStr">
        <is>
          <t> </t>
        </is>
      </c>
      <c r="M612" t="inlineStr">
        <is>
          <t>SAMODZIELNY PUBLICZNY ZESPÓŁ ZAKŁADÓW OPIEKI ZDROWOTNEJ IM.MARSZAŁKA JÓZEFA PIŁSUDSKIEGO W PŁOŃSKU</t>
        </is>
      </c>
      <c r="N612" t="inlineStr">
        <is>
          <t>SOR</t>
        </is>
      </c>
      <c r="O612" t="inlineStr">
        <is>
          <t>Henandzi Hulnitski</t>
        </is>
      </c>
      <c r="P612" t="n">
        <v>3963181</v>
      </c>
      <c r="Q612" t="inlineStr">
        <is>
          <t> </t>
        </is>
      </c>
      <c r="R612" t="inlineStr">
        <is>
          <t>tdzozplonsk</t>
        </is>
      </c>
      <c r="S612" s="1" t="n">
        <v>46149.41875</v>
      </c>
      <c r="T612" t="n">
        <v>0</v>
      </c>
      <c r="U612" t="inlineStr">
        <is>
          <t>BUJALSKI TOMASZ</t>
        </is>
      </c>
    </row>
    <row r="613">
      <c r="A613" s="1" t="n">
        <v>46150</v>
      </c>
      <c r="B613" t="inlineStr">
        <is>
          <t>CT_26_001388</t>
        </is>
      </c>
      <c r="C613" t="inlineStr">
        <is>
          <t>ANTONI AMBROZIAK</t>
        </is>
      </c>
      <c r="D613" t="n">
        <v>47041900193</v>
      </c>
      <c r="E613" s="1" t="n">
        <v>46150</v>
      </c>
      <c r="F613" t="inlineStr">
        <is>
          <t>CITO-CITO</t>
        </is>
      </c>
      <c r="G613" t="inlineStr">
        <is>
          <t>TK</t>
        </is>
      </c>
      <c r="H613" t="inlineStr">
        <is>
          <t>TK klatki piersiowej</t>
        </is>
      </c>
      <c r="I613" t="inlineStr">
        <is>
          <t>TK Zwykłe</t>
        </is>
      </c>
      <c r="J613" t="inlineStr">
        <is>
          <t>1 okolica anatomiczna</t>
        </is>
      </c>
      <c r="K613" t="inlineStr">
        <is>
          <t>Tomasz Bujalski</t>
        </is>
      </c>
      <c r="L613" t="inlineStr">
        <is>
          <t> </t>
        </is>
      </c>
      <c r="M613" t="inlineStr">
        <is>
          <t>SAMODZIELNY PUBLICZNY ZESPÓŁ ZAKŁADÓW OPIEKI ZDROWOTNEJ IM.MARSZAŁKA JÓZEFA PIŁSUDSKIEGO W PŁOŃSKU</t>
        </is>
      </c>
      <c r="N613" t="inlineStr">
        <is>
          <t>SOR</t>
        </is>
      </c>
      <c r="O613" t="inlineStr">
        <is>
          <t>Henandzi Hulnitski</t>
        </is>
      </c>
      <c r="P613" t="n">
        <v>3963181</v>
      </c>
      <c r="Q613" t="inlineStr">
        <is>
          <t> </t>
        </is>
      </c>
      <c r="R613" t="inlineStr">
        <is>
          <t>tdzozplonsk</t>
        </is>
      </c>
      <c r="S613" s="1" t="n">
        <v>46150.36736111111</v>
      </c>
      <c r="T613" t="n">
        <v>0</v>
      </c>
      <c r="U613" t="inlineStr">
        <is>
          <t>BUJALSKI TOMASZ</t>
        </is>
      </c>
    </row>
    <row r="614">
      <c r="A614" s="1" t="n">
        <v>46150</v>
      </c>
      <c r="B614" t="inlineStr">
        <is>
          <t>CT_26_001389</t>
        </is>
      </c>
      <c r="C614" t="inlineStr">
        <is>
          <t>WOJCIECH SIEMIONTKOWSKI</t>
        </is>
      </c>
      <c r="D614" t="n">
        <v>57100915237</v>
      </c>
      <c r="E614" s="1" t="n">
        <v>46150</v>
      </c>
      <c r="F614" t="inlineStr">
        <is>
          <t>CITO-CITO</t>
        </is>
      </c>
      <c r="G614" t="inlineStr">
        <is>
          <t>TK</t>
        </is>
      </c>
      <c r="H614" t="inlineStr">
        <is>
          <t>TK głowy</t>
        </is>
      </c>
      <c r="I614" t="inlineStr">
        <is>
          <t>TK Onkologia</t>
        </is>
      </c>
      <c r="J614" t="inlineStr">
        <is>
          <t>1 okolica anatomiczna</t>
        </is>
      </c>
      <c r="K614" t="inlineStr">
        <is>
          <t>Tomasz Bujalski</t>
        </is>
      </c>
      <c r="L614" t="inlineStr">
        <is>
          <t> </t>
        </is>
      </c>
      <c r="M614" t="inlineStr">
        <is>
          <t>SAMODZIELNY PUBLICZNY ZESPÓŁ ZAKŁADÓW OPIEKI ZDROWOTNEJ IM.MARSZAŁKA JÓZEFA PIŁSUDSKIEGO W PŁOŃSKU</t>
        </is>
      </c>
      <c r="N614" t="inlineStr">
        <is>
          <t>SOR</t>
        </is>
      </c>
      <c r="O614" t="inlineStr">
        <is>
          <t>Artur  Miecznikowski</t>
        </is>
      </c>
      <c r="P614" t="n">
        <v>2162823</v>
      </c>
      <c r="Q614" t="inlineStr">
        <is>
          <t> </t>
        </is>
      </c>
      <c r="R614" t="inlineStr">
        <is>
          <t>tdzozplonsk</t>
        </is>
      </c>
      <c r="S614" s="1" t="n">
        <v>46150.37777777778</v>
      </c>
      <c r="T614" t="n">
        <v>0</v>
      </c>
      <c r="U614" t="inlineStr">
        <is>
          <t>BUJALSKI TOMASZ</t>
        </is>
      </c>
    </row>
    <row r="615">
      <c r="A615" s="1" t="n">
        <v>46152</v>
      </c>
      <c r="B615" t="inlineStr">
        <is>
          <t>CT_26_001440</t>
        </is>
      </c>
      <c r="C615" t="inlineStr">
        <is>
          <t>PIOTR MALKIEWICZ</t>
        </is>
      </c>
      <c r="D615" t="n">
        <v>79060112776</v>
      </c>
      <c r="E615" s="1" t="n">
        <v>46152</v>
      </c>
      <c r="F615" t="inlineStr">
        <is>
          <t>CITO-CITO</t>
        </is>
      </c>
      <c r="G615" t="inlineStr">
        <is>
          <t>TK</t>
        </is>
      </c>
      <c r="H615" t="inlineStr">
        <is>
          <t>TK głowy</t>
        </is>
      </c>
      <c r="I615" t="inlineStr">
        <is>
          <t>TK Onkologia</t>
        </is>
      </c>
      <c r="J615" t="inlineStr">
        <is>
          <t>1 okolica anatomiczna</t>
        </is>
      </c>
      <c r="K615" t="inlineStr">
        <is>
          <t>Tomasz Bujalski</t>
        </is>
      </c>
      <c r="L615" t="inlineStr">
        <is>
          <t> </t>
        </is>
      </c>
      <c r="M615" t="inlineStr">
        <is>
          <t>SAMODZIELNY PUBLICZNY ZESPÓŁ ZAKŁADÓW OPIEKI ZDROWOTNEJ IM.MARSZAŁKA JÓZEFA PIŁSUDSKIEGO W PŁOŃSKU</t>
        </is>
      </c>
      <c r="N615" t="inlineStr">
        <is>
          <t>SOR</t>
        </is>
      </c>
      <c r="O615" t="inlineStr">
        <is>
          <t>Henandzi Hulnitski</t>
        </is>
      </c>
      <c r="P615" t="n">
        <v>3963181</v>
      </c>
      <c r="Q615" t="inlineStr">
        <is>
          <t>R55</t>
        </is>
      </c>
      <c r="R615" t="inlineStr">
        <is>
          <t>tdzozplonsk</t>
        </is>
      </c>
      <c r="S615" s="1" t="n">
        <v>46152.55277777778</v>
      </c>
      <c r="T615" t="n">
        <v>0</v>
      </c>
      <c r="U615" t="inlineStr">
        <is>
          <t>BUJALSKI TOMASZ</t>
        </is>
      </c>
    </row>
    <row r="616">
      <c r="A616" s="1" t="n">
        <v>46152</v>
      </c>
      <c r="B616" t="inlineStr">
        <is>
          <t>CT_26_001441</t>
        </is>
      </c>
      <c r="C616" t="inlineStr">
        <is>
          <t>PIOTR MALKIEWICZ</t>
        </is>
      </c>
      <c r="D616" t="n">
        <v>79060112776</v>
      </c>
      <c r="E616" s="1" t="n">
        <v>46152</v>
      </c>
      <c r="F616" t="inlineStr">
        <is>
          <t>CITO-CITO</t>
        </is>
      </c>
      <c r="G616" t="inlineStr">
        <is>
          <t>TK</t>
        </is>
      </c>
      <c r="H616" t="inlineStr">
        <is>
          <t>TK angio klatki piersiowej</t>
        </is>
      </c>
      <c r="I616" t="inlineStr">
        <is>
          <t>TK Angiografia</t>
        </is>
      </c>
      <c r="J616" t="inlineStr">
        <is>
          <t>3 okolice anatomiczne</t>
        </is>
      </c>
      <c r="K616" t="inlineStr">
        <is>
          <t>Tomasz Bujalski</t>
        </is>
      </c>
      <c r="L616" t="inlineStr">
        <is>
          <t> </t>
        </is>
      </c>
      <c r="M616" t="inlineStr">
        <is>
          <t>SAMODZIELNY PUBLICZNY ZESPÓŁ ZAKŁADÓW OPIEKI ZDROWOTNEJ IM.MARSZAŁKA JÓZEFA PIŁSUDSKIEGO W PŁOŃSKU</t>
        </is>
      </c>
      <c r="N616" t="inlineStr">
        <is>
          <t>SOR</t>
        </is>
      </c>
      <c r="O616" t="inlineStr">
        <is>
          <t>Henandzi Hulnitski</t>
        </is>
      </c>
      <c r="P616" t="n">
        <v>3963181</v>
      </c>
      <c r="Q616" t="inlineStr">
        <is>
          <t>I26</t>
        </is>
      </c>
      <c r="R616" t="inlineStr">
        <is>
          <t>tdzozplonsk</t>
        </is>
      </c>
      <c r="S616" s="1" t="n">
        <v>46152.65555555555</v>
      </c>
      <c r="T616" t="n">
        <v>0</v>
      </c>
      <c r="U616" t="inlineStr">
        <is>
          <t>BUJALSKI TOMASZ</t>
        </is>
      </c>
    </row>
    <row r="617">
      <c r="A617" s="1" t="n">
        <v>46153</v>
      </c>
      <c r="B617" t="inlineStr">
        <is>
          <t>CT_26_001453</t>
        </is>
      </c>
      <c r="C617" t="inlineStr">
        <is>
          <t>JAN ART</t>
        </is>
      </c>
      <c r="D617" t="n">
        <v>55120500338</v>
      </c>
      <c r="E617" s="1" t="n">
        <v>46153</v>
      </c>
      <c r="F617" t="inlineStr">
        <is>
          <t>CITO-CITO</t>
        </is>
      </c>
      <c r="G617" t="inlineStr">
        <is>
          <t>TK</t>
        </is>
      </c>
      <c r="H617" t="inlineStr">
        <is>
          <t>Tomografia trzech okolic anatomicznych</t>
        </is>
      </c>
      <c r="I617" t="inlineStr">
        <is>
          <t>TK Zwykłe</t>
        </is>
      </c>
      <c r="J617" t="inlineStr">
        <is>
          <t>3 okolice anatomiczne</t>
        </is>
      </c>
      <c r="K617" t="inlineStr">
        <is>
          <t>Tomasz Bujalski</t>
        </is>
      </c>
      <c r="L617" t="inlineStr">
        <is>
          <t> </t>
        </is>
      </c>
      <c r="M617" t="inlineStr">
        <is>
          <t>SAMODZIELNY PUBLICZNY ZESPÓŁ ZAKŁADÓW OPIEKI ZDROWOTNEJ IM.MARSZAŁKA JÓZEFA PIŁSUDSKIEGO W PŁOŃSKU</t>
        </is>
      </c>
      <c r="N617" t="inlineStr">
        <is>
          <t>Oddział anestezjologii i intensywnej terapii</t>
        </is>
      </c>
      <c r="O617" t="inlineStr">
        <is>
          <t xml:space="preserve">Michał Ziółkowski </t>
        </is>
      </c>
      <c r="P617" t="n">
        <v>1650952</v>
      </c>
      <c r="Q617" t="inlineStr">
        <is>
          <t>J96</t>
        </is>
      </c>
      <c r="R617" t="inlineStr">
        <is>
          <t>tdzozplonsk</t>
        </is>
      </c>
      <c r="S617" s="1" t="n">
        <v>46153.42013888889</v>
      </c>
      <c r="T617" t="n">
        <v>0</v>
      </c>
      <c r="U617" t="inlineStr">
        <is>
          <t>BUJALSKI TOMASZ</t>
        </is>
      </c>
    </row>
    <row r="618">
      <c r="A618" s="1" t="n">
        <v>46155</v>
      </c>
      <c r="B618" t="inlineStr">
        <is>
          <t>CT_26_001535</t>
        </is>
      </c>
      <c r="C618" t="inlineStr">
        <is>
          <t>ZENON PIEKUT</t>
        </is>
      </c>
      <c r="D618" t="n">
        <v>59032709434</v>
      </c>
      <c r="E618" s="1" t="n">
        <v>46155</v>
      </c>
      <c r="F618" t="inlineStr">
        <is>
          <t>CITO-CITO</t>
        </is>
      </c>
      <c r="G618" t="inlineStr">
        <is>
          <t>TK</t>
        </is>
      </c>
      <c r="H618" t="inlineStr">
        <is>
          <t>Tomografia czterech okolic anatomicznych</t>
        </is>
      </c>
      <c r="I618" t="inlineStr">
        <is>
          <t>TK Zwykłe</t>
        </is>
      </c>
      <c r="J618" t="inlineStr">
        <is>
          <t>4 okolice anatomiczne</t>
        </is>
      </c>
      <c r="K618" t="inlineStr">
        <is>
          <t>Tomasz Bujalski</t>
        </is>
      </c>
      <c r="L618" t="inlineStr">
        <is>
          <t> </t>
        </is>
      </c>
      <c r="M618" t="inlineStr">
        <is>
          <t>SAMODZIELNY PUBLICZNY ZESPÓŁ ZAKŁADÓW OPIEKI ZDROWOTNEJ IM.MARSZAŁKA JÓZEFA PIŁSUDSKIEGO W PŁOŃSKU</t>
        </is>
      </c>
      <c r="N618" t="inlineStr">
        <is>
          <t>Oddział chorób wewnętrznych z pododdziałem diabetologicznym</t>
        </is>
      </c>
      <c r="O618" t="inlineStr">
        <is>
          <t>Piotr Gryglas</t>
        </is>
      </c>
      <c r="P618" t="n">
        <v>2717146</v>
      </c>
      <c r="Q618" t="inlineStr">
        <is>
          <t>I50.9</t>
        </is>
      </c>
      <c r="R618" t="inlineStr">
        <is>
          <t>tdzozplonsk</t>
        </is>
      </c>
      <c r="S618" s="1" t="n">
        <v>46155.67152777778</v>
      </c>
      <c r="T618" t="n">
        <v>0</v>
      </c>
      <c r="U618" t="inlineStr">
        <is>
          <t>BUJALSKI TOMASZ</t>
        </is>
      </c>
    </row>
    <row r="619">
      <c r="A619" s="1" t="n">
        <v>46155</v>
      </c>
      <c r="B619" t="inlineStr">
        <is>
          <t>CT_26_001539</t>
        </is>
      </c>
      <c r="C619" t="inlineStr">
        <is>
          <t>APOLONIA WALICKA</t>
        </is>
      </c>
      <c r="D619" t="n">
        <v>44080203580</v>
      </c>
      <c r="E619" s="1" t="n">
        <v>46155</v>
      </c>
      <c r="F619" t="inlineStr">
        <is>
          <t>CITO-CITO</t>
        </is>
      </c>
      <c r="G619" t="inlineStr">
        <is>
          <t>TK</t>
        </is>
      </c>
      <c r="H619" t="inlineStr">
        <is>
          <t>Tomografia trzech okolic anatomicznych</t>
        </is>
      </c>
      <c r="I619" t="inlineStr">
        <is>
          <t>TK Onkologia</t>
        </is>
      </c>
      <c r="J619" t="inlineStr">
        <is>
          <t>3 okolice anatomiczne</t>
        </is>
      </c>
      <c r="K619" t="inlineStr">
        <is>
          <t>Tomasz Bujalski</t>
        </is>
      </c>
      <c r="L619" t="inlineStr">
        <is>
          <t> </t>
        </is>
      </c>
      <c r="M619" t="inlineStr">
        <is>
          <t>SAMODZIELNY PUBLICZNY ZESPÓŁ ZAKŁADÓW OPIEKI ZDROWOTNEJ IM.MARSZAŁKA JÓZEFA PIŁSUDSKIEGO W PŁOŃSKU</t>
        </is>
      </c>
      <c r="N619" t="inlineStr">
        <is>
          <t>Oddział chorób wewnętrznych z pododdziałem diabetologicznym</t>
        </is>
      </c>
      <c r="O619" t="inlineStr">
        <is>
          <t>Natalia Gawron</t>
        </is>
      </c>
      <c r="P619" t="n">
        <v>4590760</v>
      </c>
      <c r="Q619" t="inlineStr">
        <is>
          <t>C18.8</t>
        </is>
      </c>
      <c r="R619" t="inlineStr">
        <is>
          <t>tdzozplonsk</t>
        </is>
      </c>
      <c r="S619" s="1" t="n">
        <v>46155.56805555556</v>
      </c>
      <c r="T619" t="n">
        <v>0</v>
      </c>
      <c r="U619" t="inlineStr">
        <is>
          <t>BUJALSKI TOMASZ</t>
        </is>
      </c>
    </row>
    <row r="620">
      <c r="A620" s="1" t="n">
        <v>46155</v>
      </c>
      <c r="B620" t="inlineStr">
        <is>
          <t>CT_26_001542</t>
        </is>
      </c>
      <c r="C620" t="inlineStr">
        <is>
          <t>SLAWOMIR SZCZUROWSKI</t>
        </is>
      </c>
      <c r="D620" t="n">
        <v>67020312391</v>
      </c>
      <c r="E620" s="1" t="n">
        <v>46155</v>
      </c>
      <c r="F620" t="inlineStr">
        <is>
          <t>CITO-CITO</t>
        </is>
      </c>
      <c r="G620" t="inlineStr">
        <is>
          <t>TK</t>
        </is>
      </c>
      <c r="H620" t="inlineStr">
        <is>
          <t>TK głowy</t>
        </is>
      </c>
      <c r="I620" t="inlineStr">
        <is>
          <t>TK Onkologia</t>
        </is>
      </c>
      <c r="J620" t="inlineStr">
        <is>
          <t>1 okolica anatomiczna</t>
        </is>
      </c>
      <c r="K620" t="inlineStr">
        <is>
          <t>Tomasz Bujalski</t>
        </is>
      </c>
      <c r="L620" t="inlineStr">
        <is>
          <t> </t>
        </is>
      </c>
      <c r="M620" t="inlineStr">
        <is>
          <t>SAMODZIELNY PUBLICZNY ZESPÓŁ ZAKŁADÓW OPIEKI ZDROWOTNEJ IM.MARSZAŁKA JÓZEFA PIŁSUDSKIEGO W PŁOŃSKU</t>
        </is>
      </c>
      <c r="N620" t="inlineStr">
        <is>
          <t>Oddział chorób wewnętrznych z pododdziałem diabetologicznym</t>
        </is>
      </c>
      <c r="O620" t="inlineStr">
        <is>
          <t xml:space="preserve">Paulina Orzechowska </t>
        </is>
      </c>
      <c r="P620" t="n">
        <v>4750463</v>
      </c>
      <c r="Q620" t="inlineStr">
        <is>
          <t>I50.9</t>
        </is>
      </c>
      <c r="R620" t="inlineStr">
        <is>
          <t>tdzozplonsk</t>
        </is>
      </c>
      <c r="S620" s="1" t="n">
        <v>46155.62152777778</v>
      </c>
      <c r="T620" t="n">
        <v>0</v>
      </c>
      <c r="U620" t="inlineStr">
        <is>
          <t>BUJALSKI TOMASZ</t>
        </is>
      </c>
    </row>
    <row r="621">
      <c r="A621" s="1" t="n">
        <v>46155</v>
      </c>
      <c r="B621" t="inlineStr">
        <is>
          <t>CT_26_001546</t>
        </is>
      </c>
      <c r="C621" t="inlineStr">
        <is>
          <t>ROBERT TABOREK</t>
        </is>
      </c>
      <c r="D621" t="n">
        <v>67112309753</v>
      </c>
      <c r="E621" s="1" t="n">
        <v>46155</v>
      </c>
      <c r="F621" t="inlineStr">
        <is>
          <t>CITO-CITO</t>
        </is>
      </c>
      <c r="G621" t="inlineStr">
        <is>
          <t>TK</t>
        </is>
      </c>
      <c r="H621" t="inlineStr">
        <is>
          <t>TK głowy</t>
        </is>
      </c>
      <c r="I621" t="inlineStr">
        <is>
          <t>TK Onkologia</t>
        </is>
      </c>
      <c r="J621" t="inlineStr">
        <is>
          <t>1 okolica anatomiczna</t>
        </is>
      </c>
      <c r="K621" t="inlineStr">
        <is>
          <t>Tomasz Bujalski</t>
        </is>
      </c>
      <c r="L621" t="inlineStr">
        <is>
          <t> </t>
        </is>
      </c>
      <c r="M621" t="inlineStr">
        <is>
          <t>SAMODZIELNY PUBLICZNY ZESPÓŁ ZAKŁADÓW OPIEKI ZDROWOTNEJ IM.MARSZAŁKA JÓZEFA PIŁSUDSKIEGO W PŁOŃSKU</t>
        </is>
      </c>
      <c r="N621" t="inlineStr">
        <is>
          <t>SOR</t>
        </is>
      </c>
      <c r="O621" t="inlineStr">
        <is>
          <t>Paweł Rambuszek</t>
        </is>
      </c>
      <c r="P621" t="n">
        <v>2164800</v>
      </c>
      <c r="Q621" t="inlineStr">
        <is>
          <t>G40.9</t>
        </is>
      </c>
      <c r="R621" t="inlineStr">
        <is>
          <t>tdzozplonsk</t>
        </is>
      </c>
      <c r="S621" s="1" t="n">
        <v>46155.54930555556</v>
      </c>
      <c r="T621" t="n">
        <v>0</v>
      </c>
      <c r="U621" t="inlineStr">
        <is>
          <t>BUJALSKI TOMASZ</t>
        </is>
      </c>
    </row>
    <row r="622">
      <c r="A622" s="1" t="n">
        <v>46155</v>
      </c>
      <c r="B622" t="inlineStr">
        <is>
          <t>CT_26_001548</t>
        </is>
      </c>
      <c r="C622" t="inlineStr">
        <is>
          <t>YULIIA KOVALIUK</t>
        </is>
      </c>
      <c r="D622" t="n">
        <v>10580006</v>
      </c>
      <c r="E622" s="1" t="n">
        <v>46155</v>
      </c>
      <c r="F622" t="inlineStr">
        <is>
          <t>CITO-CITO</t>
        </is>
      </c>
      <c r="G622" t="inlineStr">
        <is>
          <t>TK</t>
        </is>
      </c>
      <c r="H622" t="inlineStr">
        <is>
          <t>TK głowy</t>
        </is>
      </c>
      <c r="I622" t="inlineStr">
        <is>
          <t>TK Onkologia</t>
        </is>
      </c>
      <c r="J622" t="inlineStr">
        <is>
          <t>1 okolica anatomiczna</t>
        </is>
      </c>
      <c r="K622" t="inlineStr">
        <is>
          <t>Tomasz Bujalski</t>
        </is>
      </c>
      <c r="L622" t="inlineStr">
        <is>
          <t> </t>
        </is>
      </c>
      <c r="M622" t="inlineStr">
        <is>
          <t>SAMODZIELNY PUBLICZNY ZESPÓŁ ZAKŁADÓW OPIEKI ZDROWOTNEJ IM.MARSZAŁKA JÓZEFA PIŁSUDSKIEGO W PŁOŃSKU</t>
        </is>
      </c>
      <c r="N622" t="inlineStr">
        <is>
          <t>SOR</t>
        </is>
      </c>
      <c r="O622" t="inlineStr">
        <is>
          <t>Paweł Rambuszek</t>
        </is>
      </c>
      <c r="P622" t="n">
        <v>2164800</v>
      </c>
      <c r="Q622" t="inlineStr">
        <is>
          <t>G40.9</t>
        </is>
      </c>
      <c r="R622" t="inlineStr">
        <is>
          <t>tdzozplonsk</t>
        </is>
      </c>
      <c r="S622" s="1" t="n">
        <v>46155.62013888889</v>
      </c>
      <c r="T622" t="n">
        <v>0</v>
      </c>
      <c r="U622" t="inlineStr">
        <is>
          <t>BUJALSKI TOMASZ</t>
        </is>
      </c>
    </row>
    <row r="623">
      <c r="A623" s="1" t="n">
        <v>46155</v>
      </c>
      <c r="B623" t="inlineStr">
        <is>
          <t>CT_26_001549</t>
        </is>
      </c>
      <c r="C623" t="inlineStr">
        <is>
          <t>ZBIGNIEW SMOLINSKI</t>
        </is>
      </c>
      <c r="D623" t="n">
        <v>68081908756</v>
      </c>
      <c r="E623" s="1" t="n">
        <v>46155</v>
      </c>
      <c r="F623" t="inlineStr">
        <is>
          <t>CITO-CITO</t>
        </is>
      </c>
      <c r="G623" t="inlineStr">
        <is>
          <t>TK</t>
        </is>
      </c>
      <c r="H623" t="inlineStr">
        <is>
          <t>Politrauma</t>
        </is>
      </c>
      <c r="I623" t="inlineStr">
        <is>
          <t>TK Zwykłe</t>
        </is>
      </c>
      <c r="J623" t="inlineStr">
        <is>
          <t>5 okolic anatomicznych</t>
        </is>
      </c>
      <c r="K623" t="inlineStr">
        <is>
          <t>Tomasz Bujalski</t>
        </is>
      </c>
      <c r="L623" t="inlineStr">
        <is>
          <t> </t>
        </is>
      </c>
      <c r="M623" t="inlineStr">
        <is>
          <t>SAMODZIELNY PUBLICZNY ZESPÓŁ ZAKŁADÓW OPIEKI ZDROWOTNEJ IM.MARSZAŁKA JÓZEFA PIŁSUDSKIEGO W PŁOŃSKU</t>
        </is>
      </c>
      <c r="N623" t="inlineStr">
        <is>
          <t>SOR</t>
        </is>
      </c>
      <c r="O623" t="inlineStr">
        <is>
          <t>Paweł Rambuszek</t>
        </is>
      </c>
      <c r="P623" t="n">
        <v>2164800</v>
      </c>
      <c r="Q623" t="inlineStr">
        <is>
          <t>T06.8</t>
        </is>
      </c>
      <c r="R623" t="inlineStr">
        <is>
          <t>tdzozplonsk</t>
        </is>
      </c>
      <c r="S623" s="1" t="n">
        <v>46155.64583333334</v>
      </c>
      <c r="T623" t="n">
        <v>0</v>
      </c>
      <c r="U623" t="inlineStr">
        <is>
          <t>BUJALSKI TOMASZ</t>
        </is>
      </c>
    </row>
    <row r="624">
      <c r="A624" s="1" t="n">
        <v>46155</v>
      </c>
      <c r="B624" t="inlineStr">
        <is>
          <t>CT_26_001553</t>
        </is>
      </c>
      <c r="C624" t="inlineStr">
        <is>
          <t>YULIIA KOVALIUK</t>
        </is>
      </c>
      <c r="D624" t="n">
        <v>10580006</v>
      </c>
      <c r="E624" s="1" t="n">
        <v>46155</v>
      </c>
      <c r="F624" t="inlineStr">
        <is>
          <t>CITO-CITO</t>
        </is>
      </c>
      <c r="G624" t="inlineStr">
        <is>
          <t>TK</t>
        </is>
      </c>
      <c r="H624" t="inlineStr">
        <is>
          <t>TK j.brzusznej i miednicy</t>
        </is>
      </c>
      <c r="I624" t="inlineStr">
        <is>
          <t>TK Zwykłe</t>
        </is>
      </c>
      <c r="J624" t="inlineStr">
        <is>
          <t>2 okolice anatomiczne</t>
        </is>
      </c>
      <c r="K624" t="inlineStr">
        <is>
          <t>Tomasz Bujalski</t>
        </is>
      </c>
      <c r="L624" t="inlineStr">
        <is>
          <t> </t>
        </is>
      </c>
      <c r="M624" t="inlineStr">
        <is>
          <t>SAMODZIELNY PUBLICZNY ZESPÓŁ ZAKŁADÓW OPIEKI ZDROWOTNEJ IM.MARSZAŁKA JÓZEFA PIŁSUDSKIEGO W PŁOŃSKU</t>
        </is>
      </c>
      <c r="N624" t="inlineStr">
        <is>
          <t>SOR</t>
        </is>
      </c>
      <c r="O624" t="inlineStr">
        <is>
          <t>Paweł Rambuszek</t>
        </is>
      </c>
      <c r="P624" t="n">
        <v>2164800</v>
      </c>
      <c r="Q624" t="inlineStr">
        <is>
          <t>R10.4</t>
        </is>
      </c>
      <c r="R624" t="inlineStr">
        <is>
          <t>tdzozplonsk</t>
        </is>
      </c>
      <c r="S624" s="1" t="n">
        <v>46155.75277777778</v>
      </c>
      <c r="T624" t="n">
        <v>0</v>
      </c>
      <c r="U624" t="inlineStr">
        <is>
          <t>BUJALSKI TOMASZ</t>
        </is>
      </c>
    </row>
    <row r="625">
      <c r="A625" s="1" t="n">
        <v>46157</v>
      </c>
      <c r="B625" t="inlineStr">
        <is>
          <t>CT_26_001598</t>
        </is>
      </c>
      <c r="C625" t="inlineStr">
        <is>
          <t>MARIA KSYBEK</t>
        </is>
      </c>
      <c r="D625" t="n">
        <v>42041211247</v>
      </c>
      <c r="E625" s="1" t="n">
        <v>46157</v>
      </c>
      <c r="F625" t="inlineStr">
        <is>
          <t>CITO-CITO</t>
        </is>
      </c>
      <c r="G625" t="inlineStr">
        <is>
          <t>TK</t>
        </is>
      </c>
      <c r="H625" t="inlineStr">
        <is>
          <t>TK głowy</t>
        </is>
      </c>
      <c r="I625" t="inlineStr">
        <is>
          <t>TK Onkologia</t>
        </is>
      </c>
      <c r="J625" t="inlineStr">
        <is>
          <t>1 okolica anatomiczna</t>
        </is>
      </c>
      <c r="K625" t="inlineStr">
        <is>
          <t>Tomasz Bujalski</t>
        </is>
      </c>
      <c r="L625" t="inlineStr">
        <is>
          <t> </t>
        </is>
      </c>
      <c r="M625" t="inlineStr">
        <is>
          <t>SAMODZIELNY PUBLICZNY ZESPÓŁ ZAKŁADÓW OPIEKI ZDROWOTNEJ IM.MARSZAŁKA JÓZEFA PIŁSUDSKIEGO W PŁOŃSKU</t>
        </is>
      </c>
      <c r="N625" t="inlineStr">
        <is>
          <t>SOR</t>
        </is>
      </c>
      <c r="O625" t="inlineStr">
        <is>
          <t>Henandzi Hulnitski</t>
        </is>
      </c>
      <c r="P625" t="n">
        <v>3963181</v>
      </c>
      <c r="Q625" t="inlineStr">
        <is>
          <t>R42</t>
        </is>
      </c>
      <c r="R625" t="inlineStr">
        <is>
          <t>tdzozplonsk</t>
        </is>
      </c>
      <c r="S625" s="1" t="n">
        <v>46157.24305555555</v>
      </c>
      <c r="T625" t="n">
        <v>0</v>
      </c>
      <c r="U625" t="inlineStr">
        <is>
          <t>BUJALSKI TOMASZ</t>
        </is>
      </c>
    </row>
    <row r="626">
      <c r="A626" s="1" t="n">
        <v>46157</v>
      </c>
      <c r="B626" t="inlineStr">
        <is>
          <t>CT_26_001601</t>
        </is>
      </c>
      <c r="C626" t="inlineStr">
        <is>
          <t>KRYSTYNA RUSIECKA</t>
        </is>
      </c>
      <c r="D626" t="n">
        <v>57050302408</v>
      </c>
      <c r="E626" s="1" t="n">
        <v>46157</v>
      </c>
      <c r="F626" t="inlineStr">
        <is>
          <t>CITO-CITO</t>
        </is>
      </c>
      <c r="G626" t="inlineStr">
        <is>
          <t>TK</t>
        </is>
      </c>
      <c r="H626" t="inlineStr">
        <is>
          <t>TK angio tętnic płucnych</t>
        </is>
      </c>
      <c r="I626" t="inlineStr">
        <is>
          <t>TK Angiografia</t>
        </is>
      </c>
      <c r="J626" t="inlineStr">
        <is>
          <t>1 okolica anatomiczna</t>
        </is>
      </c>
      <c r="K626" t="inlineStr">
        <is>
          <t>Tomasz Bujalski</t>
        </is>
      </c>
      <c r="L626" t="inlineStr">
        <is>
          <t> </t>
        </is>
      </c>
      <c r="M626" t="inlineStr">
        <is>
          <t>SAMODZIELNY PUBLICZNY ZESPÓŁ ZAKŁADÓW OPIEKI ZDROWOTNEJ IM.MARSZAŁKA JÓZEFA PIŁSUDSKIEGO W PŁOŃSKU</t>
        </is>
      </c>
      <c r="N626" t="inlineStr">
        <is>
          <t>SOR</t>
        </is>
      </c>
      <c r="O626" t="inlineStr">
        <is>
          <t>Paweł Szewczyk</t>
        </is>
      </c>
      <c r="P626" t="n">
        <v>2712912</v>
      </c>
      <c r="Q626" t="inlineStr">
        <is>
          <t>R07.4</t>
        </is>
      </c>
      <c r="R626" t="inlineStr">
        <is>
          <t>tdzozplonsk</t>
        </is>
      </c>
      <c r="S626" s="1" t="n">
        <v>46157.3875</v>
      </c>
      <c r="T626" t="n">
        <v>0</v>
      </c>
      <c r="U626" t="inlineStr">
        <is>
          <t>BUJALSKI TOMASZ</t>
        </is>
      </c>
    </row>
    <row r="627">
      <c r="A627" s="1" t="n">
        <v>46161</v>
      </c>
      <c r="B627" t="inlineStr">
        <is>
          <t>CT_26_001674</t>
        </is>
      </c>
      <c r="C627" t="inlineStr">
        <is>
          <t>ELZBIETA DLUGOLECKA</t>
        </is>
      </c>
      <c r="D627" t="n">
        <v>56071710623</v>
      </c>
      <c r="E627" s="1" t="n">
        <v>46161</v>
      </c>
      <c r="F627" t="inlineStr">
        <is>
          <t>CITO-CITO</t>
        </is>
      </c>
      <c r="G627" t="inlineStr">
        <is>
          <t>TK</t>
        </is>
      </c>
      <c r="H627" t="inlineStr">
        <is>
          <t>TK głowy</t>
        </is>
      </c>
      <c r="I627" t="inlineStr">
        <is>
          <t>TK Onkologia</t>
        </is>
      </c>
      <c r="J627" t="inlineStr">
        <is>
          <t>1 okolica anatomiczna</t>
        </is>
      </c>
      <c r="K627" t="inlineStr">
        <is>
          <t>Tomasz Bujalski</t>
        </is>
      </c>
      <c r="L627" t="inlineStr">
        <is>
          <t> </t>
        </is>
      </c>
      <c r="M627" t="inlineStr">
        <is>
          <t>SAMODZIELNY PUBLICZNY ZESPÓŁ ZAKŁADÓW OPIEKI ZDROWOTNEJ IM.MARSZAŁKA JÓZEFA PIŁSUDSKIEGO W PŁOŃSKU</t>
        </is>
      </c>
      <c r="N627" t="inlineStr">
        <is>
          <t>SOR</t>
        </is>
      </c>
      <c r="O627" t="inlineStr">
        <is>
          <t>Henandzi Hulnitski</t>
        </is>
      </c>
      <c r="P627" t="n">
        <v>3963181</v>
      </c>
      <c r="Q627" t="inlineStr">
        <is>
          <t>R42</t>
        </is>
      </c>
      <c r="R627" t="inlineStr">
        <is>
          <t>tdzozplonsk</t>
        </is>
      </c>
      <c r="S627" s="1" t="n">
        <v>46161.40277777778</v>
      </c>
      <c r="T627" t="n">
        <v>0</v>
      </c>
      <c r="U627" t="inlineStr">
        <is>
          <t>BUJALSKI TOMASZ</t>
        </is>
      </c>
    </row>
    <row r="628">
      <c r="A628" s="1" t="n">
        <v>46161</v>
      </c>
      <c r="B628" t="inlineStr">
        <is>
          <t>CT_26_001678</t>
        </is>
      </c>
      <c r="C628" t="inlineStr">
        <is>
          <t>JADWIGA PRUSINOWSKA</t>
        </is>
      </c>
      <c r="D628" t="n">
        <v>43122605465</v>
      </c>
      <c r="E628" s="1" t="n">
        <v>46161</v>
      </c>
      <c r="F628" t="inlineStr">
        <is>
          <t>CITO-CITO</t>
        </is>
      </c>
      <c r="G628" t="inlineStr">
        <is>
          <t>TK</t>
        </is>
      </c>
      <c r="H628" t="inlineStr">
        <is>
          <t>TK głowy</t>
        </is>
      </c>
      <c r="I628" t="inlineStr">
        <is>
          <t>TK Onkologia</t>
        </is>
      </c>
      <c r="J628" t="inlineStr">
        <is>
          <t>1 okolica anatomiczna</t>
        </is>
      </c>
      <c r="K628" t="inlineStr">
        <is>
          <t>Tomasz Bujalski</t>
        </is>
      </c>
      <c r="L628" t="inlineStr">
        <is>
          <t> </t>
        </is>
      </c>
      <c r="M628" t="inlineStr">
        <is>
          <t>SAMODZIELNY PUBLICZNY ZESPÓŁ ZAKŁADÓW OPIEKI ZDROWOTNEJ IM.MARSZAŁKA JÓZEFA PIŁSUDSKIEGO W PŁOŃSKU</t>
        </is>
      </c>
      <c r="N628" t="inlineStr">
        <is>
          <t>SOR</t>
        </is>
      </c>
      <c r="O628" t="inlineStr">
        <is>
          <t>Andrei Trafimovich</t>
        </is>
      </c>
      <c r="P628" t="n">
        <v>4243562</v>
      </c>
      <c r="Q628" t="inlineStr">
        <is>
          <t>S00.0</t>
        </is>
      </c>
      <c r="R628" t="inlineStr">
        <is>
          <t>tdzozplonsk</t>
        </is>
      </c>
      <c r="S628" s="1" t="n">
        <v>46161.43125</v>
      </c>
      <c r="T628" t="n">
        <v>0</v>
      </c>
      <c r="U628" t="inlineStr">
        <is>
          <t>BUJALSKI TOMASZ</t>
        </is>
      </c>
    </row>
    <row r="629">
      <c r="A629" s="1" t="n">
        <v>46162</v>
      </c>
      <c r="B629" t="inlineStr">
        <is>
          <t>CT_26_001713</t>
        </is>
      </c>
      <c r="C629" t="inlineStr">
        <is>
          <t>STANISLAWA DOMANSKA</t>
        </is>
      </c>
      <c r="D629" t="n">
        <v>42092600566</v>
      </c>
      <c r="E629" s="1" t="n">
        <v>46162</v>
      </c>
      <c r="F629" t="inlineStr">
        <is>
          <t>CITO-CITO</t>
        </is>
      </c>
      <c r="G629" t="inlineStr">
        <is>
          <t>TK</t>
        </is>
      </c>
      <c r="H629" t="inlineStr">
        <is>
          <t>TK j.brzusznej i miednicy</t>
        </is>
      </c>
      <c r="I629" t="inlineStr">
        <is>
          <t>TK Zwykłe</t>
        </is>
      </c>
      <c r="J629" t="inlineStr">
        <is>
          <t>2 okolice anatomiczne</t>
        </is>
      </c>
      <c r="K629" t="inlineStr">
        <is>
          <t>Tomasz Bujalski</t>
        </is>
      </c>
      <c r="L629" t="inlineStr">
        <is>
          <t> </t>
        </is>
      </c>
      <c r="M629" t="inlineStr">
        <is>
          <t>SAMODZIELNY PUBLICZNY ZESPÓŁ ZAKŁADÓW OPIEKI ZDROWOTNEJ IM.MARSZAŁKA JÓZEFA PIŁSUDSKIEGO W PŁOŃSKU</t>
        </is>
      </c>
      <c r="N629" t="inlineStr">
        <is>
          <t>Oddział chorób wewnętrznych z pododdziałem diabetologicznym</t>
        </is>
      </c>
      <c r="O629" t="inlineStr">
        <is>
          <t xml:space="preserve">Paulina Orzechowska </t>
        </is>
      </c>
      <c r="P629" t="n">
        <v>4750463</v>
      </c>
      <c r="Q629" t="inlineStr">
        <is>
          <t>A41.9</t>
        </is>
      </c>
      <c r="R629" t="inlineStr">
        <is>
          <t>tdzozplonsk</t>
        </is>
      </c>
      <c r="S629" s="1" t="n">
        <v>46162.55347222222</v>
      </c>
      <c r="T629" t="n">
        <v>0</v>
      </c>
      <c r="U629" t="inlineStr">
        <is>
          <t>BUJALSKI TOMASZ</t>
        </is>
      </c>
    </row>
    <row r="630">
      <c r="A630" s="1" t="n">
        <v>46163</v>
      </c>
      <c r="B630" t="inlineStr">
        <is>
          <t>CT_26_001669</t>
        </is>
      </c>
      <c r="C630" t="inlineStr">
        <is>
          <t>ELZBIETA IDZIKOWSKA</t>
        </is>
      </c>
      <c r="D630" t="n">
        <v>49020901524</v>
      </c>
      <c r="E630" s="1" t="n">
        <v>46161</v>
      </c>
      <c r="F630" t="inlineStr">
        <is>
          <t>Pilny</t>
        </is>
      </c>
      <c r="G630" t="inlineStr">
        <is>
          <t>TK</t>
        </is>
      </c>
      <c r="H630" t="inlineStr">
        <is>
          <t>TK klatki piersiowej, j.brzusznej i miednicy z kontrastem</t>
        </is>
      </c>
      <c r="I630" t="inlineStr">
        <is>
          <t>TK Onkologia</t>
        </is>
      </c>
      <c r="J630" t="inlineStr">
        <is>
          <t>3 okolice anatomiczne</t>
        </is>
      </c>
      <c r="K630" t="inlineStr">
        <is>
          <t>Tomasz Bujalski</t>
        </is>
      </c>
      <c r="L630" t="inlineStr">
        <is>
          <t> </t>
        </is>
      </c>
      <c r="M630" t="inlineStr">
        <is>
          <t>SAMODZIELNY PUBLICZNY ZESPÓŁ ZAKŁADÓW OPIEKI ZDROWOTNEJ IM.MARSZAŁKA JÓZEFA PIŁSUDSKIEGO W PŁOŃSKU</t>
        </is>
      </c>
      <c r="N630" t="inlineStr">
        <is>
          <t>Oddział reumatologiczny</t>
        </is>
      </c>
      <c r="O630" t="inlineStr">
        <is>
          <t>Aleksandra Lewandowska</t>
        </is>
      </c>
      <c r="P630" t="n">
        <v>2962748</v>
      </c>
      <c r="Q630" t="inlineStr">
        <is>
          <t>D48.9</t>
        </is>
      </c>
      <c r="R630" t="inlineStr">
        <is>
          <t>tdzozplonsk</t>
        </is>
      </c>
      <c r="S630" s="1" t="n">
        <v>46161.37986111111</v>
      </c>
      <c r="T630" t="n">
        <v>0</v>
      </c>
      <c r="U630" t="inlineStr">
        <is>
          <t>BUJALSKI TOMASZ</t>
        </is>
      </c>
    </row>
    <row r="631">
      <c r="A631" s="1" t="n">
        <v>46163</v>
      </c>
      <c r="B631" t="inlineStr">
        <is>
          <t>CT_26_001700</t>
        </is>
      </c>
      <c r="C631" t="inlineStr">
        <is>
          <t>IRENA ZIOLKOWSKA</t>
        </is>
      </c>
      <c r="D631" t="n">
        <v>51010139763</v>
      </c>
      <c r="E631" s="1" t="n">
        <v>46163</v>
      </c>
      <c r="F631" t="inlineStr">
        <is>
          <t>Pilny</t>
        </is>
      </c>
      <c r="G631" t="inlineStr">
        <is>
          <t>TK</t>
        </is>
      </c>
      <c r="H631" t="inlineStr">
        <is>
          <t>TK j.brzusznej i miednicy z kontrastem</t>
        </is>
      </c>
      <c r="I631" t="inlineStr">
        <is>
          <t>TK Zwykłe</t>
        </is>
      </c>
      <c r="J631" t="inlineStr">
        <is>
          <t>2 okolice anatomiczne</t>
        </is>
      </c>
      <c r="K631" t="inlineStr">
        <is>
          <t>Tomasz Bujalski</t>
        </is>
      </c>
      <c r="L631" t="inlineStr">
        <is>
          <t> </t>
        </is>
      </c>
      <c r="M631" t="inlineStr">
        <is>
          <t>SAMODZIELNY PUBLICZNY ZESPÓŁ ZAKŁADÓW OPIEKI ZDROWOTNEJ IM.MARSZAŁKA JÓZEFA PIŁSUDSKIEGO W PŁOŃSKU</t>
        </is>
      </c>
      <c r="N631" t="inlineStr">
        <is>
          <t xml:space="preserve">Oddział Chirurgiczny </t>
        </is>
      </c>
      <c r="O631" t="inlineStr">
        <is>
          <t>Agata  Miazek</t>
        </is>
      </c>
      <c r="P631" t="n">
        <v>4580683</v>
      </c>
      <c r="Q631" t="inlineStr">
        <is>
          <t>R10</t>
        </is>
      </c>
      <c r="R631" t="inlineStr">
        <is>
          <t>tdzozplonsk</t>
        </is>
      </c>
      <c r="S631" s="1" t="n">
        <v>46163.29722222222</v>
      </c>
      <c r="T631" t="n">
        <v>0</v>
      </c>
      <c r="U631" t="inlineStr">
        <is>
          <t>BUJALSKI TOMASZ</t>
        </is>
      </c>
    </row>
    <row r="632">
      <c r="A632" s="1" t="n">
        <v>46163</v>
      </c>
      <c r="B632" t="inlineStr">
        <is>
          <t>CT_26_001723</t>
        </is>
      </c>
      <c r="C632" t="inlineStr">
        <is>
          <t>ANDRZEJ MOTYKA</t>
        </is>
      </c>
      <c r="D632" t="n">
        <v>48111203675</v>
      </c>
      <c r="E632" s="1" t="n">
        <v>46163</v>
      </c>
      <c r="F632" t="inlineStr">
        <is>
          <t>CITO-CITO</t>
        </is>
      </c>
      <c r="G632" t="inlineStr">
        <is>
          <t>TK</t>
        </is>
      </c>
      <c r="H632" t="inlineStr">
        <is>
          <t>TK klatki piersiowej</t>
        </is>
      </c>
      <c r="I632" t="inlineStr">
        <is>
          <t>TK Zwykłe</t>
        </is>
      </c>
      <c r="J632" t="inlineStr">
        <is>
          <t>1 okolica anatomiczna</t>
        </is>
      </c>
      <c r="K632" t="inlineStr">
        <is>
          <t>Tomasz Bujalski</t>
        </is>
      </c>
      <c r="L632" t="inlineStr">
        <is>
          <t> </t>
        </is>
      </c>
      <c r="M632" t="inlineStr">
        <is>
          <t>SAMODZIELNY PUBLICZNY ZESPÓŁ ZAKŁADÓW OPIEKI ZDROWOTNEJ IM.MARSZAŁKA JÓZEFA PIŁSUDSKIEGO W PŁOŃSKU</t>
        </is>
      </c>
      <c r="N632" t="inlineStr">
        <is>
          <t>Oddział chorób wewnętrznych z pododdziałem diabetologicznym</t>
        </is>
      </c>
      <c r="O632" t="inlineStr">
        <is>
          <t>Piotr Gryglas</t>
        </is>
      </c>
      <c r="P632" t="n">
        <v>2717146</v>
      </c>
      <c r="Q632" t="inlineStr">
        <is>
          <t>J17.8</t>
        </is>
      </c>
      <c r="R632" t="inlineStr">
        <is>
          <t>tdzozplonsk</t>
        </is>
      </c>
      <c r="S632" s="1" t="n">
        <v>46163.36597222222</v>
      </c>
      <c r="T632" t="n">
        <v>1</v>
      </c>
      <c r="U632" t="inlineStr">
        <is>
          <t>BUJALSKI TOMASZ</t>
        </is>
      </c>
    </row>
    <row r="633">
      <c r="A633" s="1" t="n">
        <v>46163</v>
      </c>
      <c r="B633" t="inlineStr">
        <is>
          <t>CT_26_001734</t>
        </is>
      </c>
      <c r="C633" t="inlineStr">
        <is>
          <t>PAWEL KOKOSINSKI</t>
        </is>
      </c>
      <c r="D633" t="n">
        <v>59031415990</v>
      </c>
      <c r="E633" s="1" t="n">
        <v>46163</v>
      </c>
      <c r="F633" t="inlineStr">
        <is>
          <t>CITO-CITO</t>
        </is>
      </c>
      <c r="G633" t="inlineStr">
        <is>
          <t>TK</t>
        </is>
      </c>
      <c r="H633" t="inlineStr">
        <is>
          <t>TK j.brzusznej i miednicy</t>
        </is>
      </c>
      <c r="I633" t="inlineStr">
        <is>
          <t>TK Zwykłe</t>
        </is>
      </c>
      <c r="J633" t="inlineStr">
        <is>
          <t>2 okolice anatomiczne</t>
        </is>
      </c>
      <c r="K633" t="inlineStr">
        <is>
          <t>Tomasz Bujalski</t>
        </is>
      </c>
      <c r="L633" t="inlineStr">
        <is>
          <t> </t>
        </is>
      </c>
      <c r="M633" t="inlineStr">
        <is>
          <t>SAMODZIELNY PUBLICZNY ZESPÓŁ ZAKŁADÓW OPIEKI ZDROWOTNEJ IM.MARSZAŁKA JÓZEFA PIŁSUDSKIEGO W PŁOŃSKU</t>
        </is>
      </c>
      <c r="N633" t="inlineStr">
        <is>
          <t xml:space="preserve">Oddział Chirurgiczny </t>
        </is>
      </c>
      <c r="O633" t="inlineStr">
        <is>
          <t>Svitlana Korobova</t>
        </is>
      </c>
      <c r="P633" t="n">
        <v>4489160</v>
      </c>
      <c r="Q633" t="inlineStr">
        <is>
          <t>R10</t>
        </is>
      </c>
      <c r="R633" t="inlineStr">
        <is>
          <t>tdzozplonsk</t>
        </is>
      </c>
      <c r="S633" s="1" t="n">
        <v>46163.36666666667</v>
      </c>
      <c r="T633" t="n">
        <v>0</v>
      </c>
      <c r="U633" t="inlineStr">
        <is>
          <t>BUJALSKI TOMASZ</t>
        </is>
      </c>
    </row>
    <row r="634">
      <c r="A634" s="1" t="n">
        <v>46163</v>
      </c>
      <c r="B634" t="inlineStr">
        <is>
          <t>CT_26_001736</t>
        </is>
      </c>
      <c r="C634" t="inlineStr">
        <is>
          <t>EDMUND KOBUSZEWSKI</t>
        </is>
      </c>
      <c r="D634" t="n">
        <v>37113006119</v>
      </c>
      <c r="E634" s="1" t="n">
        <v>46163</v>
      </c>
      <c r="F634" t="inlineStr">
        <is>
          <t>CITO-CITO</t>
        </is>
      </c>
      <c r="G634" t="inlineStr">
        <is>
          <t>TK</t>
        </is>
      </c>
      <c r="H634" t="inlineStr">
        <is>
          <t>TK głowy</t>
        </is>
      </c>
      <c r="I634" t="inlineStr">
        <is>
          <t>TK Onkologia</t>
        </is>
      </c>
      <c r="J634" t="inlineStr">
        <is>
          <t>1 okolica anatomiczna</t>
        </is>
      </c>
      <c r="K634" t="inlineStr">
        <is>
          <t>Tomasz Bujalski</t>
        </is>
      </c>
      <c r="L634" t="inlineStr">
        <is>
          <t> </t>
        </is>
      </c>
      <c r="M634" t="inlineStr">
        <is>
          <t>SAMODZIELNY PUBLICZNY ZESPÓŁ ZAKŁADÓW OPIEKI ZDROWOTNEJ IM.MARSZAŁKA JÓZEFA PIŁSUDSKIEGO W PŁOŃSKU</t>
        </is>
      </c>
      <c r="N634" t="inlineStr">
        <is>
          <t>SOR</t>
        </is>
      </c>
      <c r="O634" t="inlineStr">
        <is>
          <t>Henandzi Hulnitski</t>
        </is>
      </c>
      <c r="P634" t="n">
        <v>3963181</v>
      </c>
      <c r="Q634" t="inlineStr">
        <is>
          <t>R55</t>
        </is>
      </c>
      <c r="R634" t="inlineStr">
        <is>
          <t>tdzozplonsk</t>
        </is>
      </c>
      <c r="S634" s="1" t="n">
        <v>46163.42638888889</v>
      </c>
      <c r="T634" t="n">
        <v>0</v>
      </c>
      <c r="U634" t="inlineStr">
        <is>
          <t>BUJALSKI TOMASZ</t>
        </is>
      </c>
    </row>
    <row r="635">
      <c r="A635" s="1" t="n">
        <v>46164</v>
      </c>
      <c r="B635" t="inlineStr">
        <is>
          <t>CT_26_001763</t>
        </is>
      </c>
      <c r="C635" t="inlineStr">
        <is>
          <t>KRYSTYNA MAKOWSKA</t>
        </is>
      </c>
      <c r="D635" t="n">
        <v>56071911789</v>
      </c>
      <c r="E635" s="1" t="n">
        <v>46164</v>
      </c>
      <c r="F635" t="inlineStr">
        <is>
          <t>CITO-CITO</t>
        </is>
      </c>
      <c r="G635" t="inlineStr">
        <is>
          <t>TK</t>
        </is>
      </c>
      <c r="H635" t="inlineStr">
        <is>
          <t>TK j.brzusznej i miednicy</t>
        </is>
      </c>
      <c r="I635" t="inlineStr">
        <is>
          <t>TK Zwykłe</t>
        </is>
      </c>
      <c r="J635" t="inlineStr">
        <is>
          <t>2 okolice anatomiczne</t>
        </is>
      </c>
      <c r="K635" t="inlineStr">
        <is>
          <t>Tomasz Bujalski</t>
        </is>
      </c>
      <c r="L635" t="inlineStr">
        <is>
          <t> </t>
        </is>
      </c>
      <c r="M635" t="inlineStr">
        <is>
          <t>SAMODZIELNY PUBLICZNY ZESPÓŁ ZAKŁADÓW OPIEKI ZDROWOTNEJ IM.MARSZAŁKA JÓZEFA PIŁSUDSKIEGO W PŁOŃSKU</t>
        </is>
      </c>
      <c r="N635" t="inlineStr">
        <is>
          <t>Oddział chorób wewnętrznych z pododdziałem diabetologicznym</t>
        </is>
      </c>
      <c r="O635" t="inlineStr">
        <is>
          <t>Ewa Wojciechowska</t>
        </is>
      </c>
      <c r="P635" t="n">
        <v>3306361</v>
      </c>
      <c r="Q635" t="inlineStr">
        <is>
          <t>A04.7</t>
        </is>
      </c>
      <c r="R635" t="inlineStr">
        <is>
          <t>tdzozplonsk</t>
        </is>
      </c>
      <c r="S635" s="1" t="n">
        <v>46164.44375</v>
      </c>
      <c r="T635" t="n">
        <v>0</v>
      </c>
      <c r="U635" t="inlineStr">
        <is>
          <t>BUJALSKI TOMASZ</t>
        </is>
      </c>
    </row>
    <row r="636">
      <c r="A636" s="1" t="n">
        <v>46167</v>
      </c>
      <c r="B636" t="inlineStr">
        <is>
          <t>CT_26_001809</t>
        </is>
      </c>
      <c r="C636" t="inlineStr">
        <is>
          <t>STANISLAW NOWICKI</t>
        </is>
      </c>
      <c r="D636" t="n">
        <v>57070503276</v>
      </c>
      <c r="E636" s="1" t="n">
        <v>46167</v>
      </c>
      <c r="F636" t="inlineStr">
        <is>
          <t>CITO-CITO</t>
        </is>
      </c>
      <c r="G636" t="inlineStr">
        <is>
          <t>TK</t>
        </is>
      </c>
      <c r="H636" t="inlineStr">
        <is>
          <t>TK j.brzusznej i miednicy</t>
        </is>
      </c>
      <c r="I636" t="inlineStr">
        <is>
          <t>TK Zwykłe</t>
        </is>
      </c>
      <c r="J636" t="inlineStr">
        <is>
          <t>2 okolice anatomiczne</t>
        </is>
      </c>
      <c r="K636" t="inlineStr">
        <is>
          <t>Tomasz Bujalski</t>
        </is>
      </c>
      <c r="L636" t="inlineStr">
        <is>
          <t> </t>
        </is>
      </c>
      <c r="M636" t="inlineStr">
        <is>
          <t>SAMODZIELNY PUBLICZNY ZESPÓŁ ZAKŁADÓW OPIEKI ZDROWOTNEJ IM.MARSZAŁKA JÓZEFA PIŁSUDSKIEGO W PŁOŃSKU</t>
        </is>
      </c>
      <c r="N636" t="inlineStr">
        <is>
          <t>SOR</t>
        </is>
      </c>
      <c r="O636" t="inlineStr">
        <is>
          <t>Paweł Rambuszek</t>
        </is>
      </c>
      <c r="P636" t="n">
        <v>2164800</v>
      </c>
      <c r="Q636" t="inlineStr">
        <is>
          <t>R10.4</t>
        </is>
      </c>
      <c r="R636" t="inlineStr">
        <is>
          <t>tdzozplonsk</t>
        </is>
      </c>
      <c r="S636" s="1" t="n">
        <v>46167.36736111111</v>
      </c>
      <c r="T636" t="n">
        <v>0</v>
      </c>
      <c r="U636" t="inlineStr">
        <is>
          <t>BUJALSKI TOMASZ</t>
        </is>
      </c>
    </row>
    <row r="637">
      <c r="A637" s="1" t="n">
        <v>46168</v>
      </c>
      <c r="B637" t="inlineStr">
        <is>
          <t>CT_26_001857</t>
        </is>
      </c>
      <c r="C637" t="inlineStr">
        <is>
          <t>MIROSLAWA STRYJEWSKA</t>
        </is>
      </c>
      <c r="D637" t="n">
        <v>55082210744</v>
      </c>
      <c r="E637" s="1" t="n">
        <v>46168</v>
      </c>
      <c r="F637" t="inlineStr">
        <is>
          <t>CITO-CITO</t>
        </is>
      </c>
      <c r="G637" t="inlineStr">
        <is>
          <t>TK</t>
        </is>
      </c>
      <c r="H637" t="inlineStr">
        <is>
          <t>TK głowy</t>
        </is>
      </c>
      <c r="I637" t="inlineStr">
        <is>
          <t>TK Onkologia</t>
        </is>
      </c>
      <c r="J637" t="inlineStr">
        <is>
          <t>1 okolica anatomiczna</t>
        </is>
      </c>
      <c r="K637" t="inlineStr">
        <is>
          <t>Tomasz Bujalski</t>
        </is>
      </c>
      <c r="L637" t="inlineStr">
        <is>
          <t> </t>
        </is>
      </c>
      <c r="M637" t="inlineStr">
        <is>
          <t>SAMODZIELNY PUBLICZNY ZESPÓŁ ZAKŁADÓW OPIEKI ZDROWOTNEJ IM.MARSZAŁKA JÓZEFA PIŁSUDSKIEGO W PŁOŃSKU</t>
        </is>
      </c>
      <c r="N637" t="inlineStr">
        <is>
          <t>SOR</t>
        </is>
      </c>
      <c r="O637" t="inlineStr">
        <is>
          <t>Andrei Trafimovich</t>
        </is>
      </c>
      <c r="P637" t="n">
        <v>4243562</v>
      </c>
      <c r="Q637" t="inlineStr">
        <is>
          <t>S00.0</t>
        </is>
      </c>
      <c r="R637" t="inlineStr">
        <is>
          <t>tdzozplonsk</t>
        </is>
      </c>
      <c r="S637" s="1" t="n">
        <v>46168.44305555556</v>
      </c>
      <c r="T637" t="n">
        <v>0</v>
      </c>
      <c r="U637" t="inlineStr">
        <is>
          <t>BUJALSKI TOMASZ</t>
        </is>
      </c>
    </row>
    <row r="638">
      <c r="A638" s="1" t="n">
        <v>46169</v>
      </c>
      <c r="B638" t="inlineStr">
        <is>
          <t>CT_26_001911</t>
        </is>
      </c>
      <c r="C638" t="inlineStr">
        <is>
          <t>KATARZYNA MUCHOWSKA</t>
        </is>
      </c>
      <c r="D638" t="n">
        <v>73041506725</v>
      </c>
      <c r="E638" s="1" t="n">
        <v>46169</v>
      </c>
      <c r="F638" t="inlineStr">
        <is>
          <t>CITO-CITO</t>
        </is>
      </c>
      <c r="G638" t="inlineStr">
        <is>
          <t>TK</t>
        </is>
      </c>
      <c r="H638" t="inlineStr">
        <is>
          <t>TK klatki piersiowej z kontrastem</t>
        </is>
      </c>
      <c r="I638" t="inlineStr">
        <is>
          <t>TK Zwykłe</t>
        </is>
      </c>
      <c r="J638" t="inlineStr">
        <is>
          <t>1 okolica anatomiczna</t>
        </is>
      </c>
      <c r="K638" t="inlineStr">
        <is>
          <t>Tomasz Bujalski</t>
        </is>
      </c>
      <c r="L638" t="inlineStr">
        <is>
          <t> </t>
        </is>
      </c>
      <c r="M638" t="inlineStr">
        <is>
          <t>SAMODZIELNY PUBLICZNY ZESPÓŁ ZAKŁADÓW OPIEKI ZDROWOTNEJ IM.MARSZAŁKA JÓZEFA PIŁSUDSKIEGO W PŁOŃSKU</t>
        </is>
      </c>
      <c r="N638" t="inlineStr">
        <is>
          <t>Oddział chorób wewnętrznych z pododdziałem diabetologicznym</t>
        </is>
      </c>
      <c r="O638" t="inlineStr">
        <is>
          <t>Piotr Gryglas</t>
        </is>
      </c>
      <c r="P638" t="n">
        <v>2717146</v>
      </c>
      <c r="Q638" t="inlineStr">
        <is>
          <t>R06.0</t>
        </is>
      </c>
      <c r="R638" t="inlineStr">
        <is>
          <t>tdzozplonsk</t>
        </is>
      </c>
      <c r="S638" s="1" t="n">
        <v>46169.50833333333</v>
      </c>
      <c r="T638" t="n">
        <v>0</v>
      </c>
      <c r="U638" t="inlineStr">
        <is>
          <t>BUJALSKI TOMASZ</t>
        </is>
      </c>
    </row>
    <row r="639">
      <c r="A639" s="1" t="n">
        <v>46169</v>
      </c>
      <c r="B639" t="inlineStr">
        <is>
          <t>CT_26_001923</t>
        </is>
      </c>
      <c r="C639" t="inlineStr">
        <is>
          <t>SYLWIA PIORKOWSKA</t>
        </is>
      </c>
      <c r="D639" t="n">
        <v>87032409467</v>
      </c>
      <c r="E639" s="1" t="n">
        <v>46169</v>
      </c>
      <c r="F639" t="inlineStr">
        <is>
          <t>CITO-CITO</t>
        </is>
      </c>
      <c r="G639" t="inlineStr">
        <is>
          <t>TK</t>
        </is>
      </c>
      <c r="H639" t="inlineStr">
        <is>
          <t>Tomografia dwóch okolic anatomicznych</t>
        </is>
      </c>
      <c r="I639" t="inlineStr">
        <is>
          <t>TK Zwykłe</t>
        </is>
      </c>
      <c r="J639" t="inlineStr">
        <is>
          <t>2 okolice anatomiczne</t>
        </is>
      </c>
      <c r="K639" t="inlineStr">
        <is>
          <t>Tomasz Bujalski</t>
        </is>
      </c>
      <c r="L639" t="inlineStr">
        <is>
          <t> </t>
        </is>
      </c>
      <c r="M639" t="inlineStr">
        <is>
          <t>SAMODZIELNY PUBLICZNY ZESPÓŁ ZAKŁADÓW OPIEKI ZDROWOTNEJ IM.MARSZAŁKA JÓZEFA PIŁSUDSKIEGO W PŁOŃSKU</t>
        </is>
      </c>
      <c r="N639" t="inlineStr">
        <is>
          <t>SOR</t>
        </is>
      </c>
      <c r="O639" t="inlineStr">
        <is>
          <t>Artur  Miecznikowski</t>
        </is>
      </c>
      <c r="P639" t="n">
        <v>2162823</v>
      </c>
      <c r="Q639" t="inlineStr">
        <is>
          <t>R07.4</t>
        </is>
      </c>
      <c r="R639" t="inlineStr">
        <is>
          <t>tdzozplonsk</t>
        </is>
      </c>
      <c r="S639" s="1" t="n">
        <v>46169.61041666667</v>
      </c>
      <c r="T639" t="n">
        <v>0</v>
      </c>
      <c r="U639" t="inlineStr">
        <is>
          <t>BUJALSKI TOMASZ</t>
        </is>
      </c>
    </row>
    <row r="640">
      <c r="A640" s="1" t="n">
        <v>46169</v>
      </c>
      <c r="B640" t="inlineStr">
        <is>
          <t>CT_26_001925</t>
        </is>
      </c>
      <c r="C640" t="inlineStr">
        <is>
          <t>HELENA KRZEMINSKA</t>
        </is>
      </c>
      <c r="D640" t="n">
        <v>41012506980</v>
      </c>
      <c r="E640" s="1" t="n">
        <v>46169</v>
      </c>
      <c r="F640" t="inlineStr">
        <is>
          <t>CITO-CITO</t>
        </is>
      </c>
      <c r="G640" t="inlineStr">
        <is>
          <t>TK</t>
        </is>
      </c>
      <c r="H640" t="inlineStr">
        <is>
          <t>Tomografia dwóch okolic anatomicznych</t>
        </is>
      </c>
      <c r="I640" t="inlineStr">
        <is>
          <t>TK Zwykłe</t>
        </is>
      </c>
      <c r="J640" t="inlineStr">
        <is>
          <t>2 okolice anatomiczne</t>
        </is>
      </c>
      <c r="K640" t="inlineStr">
        <is>
          <t>Tomasz Bujalski</t>
        </is>
      </c>
      <c r="L640" t="inlineStr">
        <is>
          <t> </t>
        </is>
      </c>
      <c r="M640" t="inlineStr">
        <is>
          <t>SAMODZIELNY PUBLICZNY ZESPÓŁ ZAKŁADÓW OPIEKI ZDROWOTNEJ IM.MARSZAŁKA JÓZEFA PIŁSUDSKIEGO W PŁOŃSKU</t>
        </is>
      </c>
      <c r="N640" t="inlineStr">
        <is>
          <t>SOR</t>
        </is>
      </c>
      <c r="O640" t="inlineStr">
        <is>
          <t>Artur  Miecznikowski</t>
        </is>
      </c>
      <c r="P640" t="n">
        <v>2162823</v>
      </c>
      <c r="Q640" t="inlineStr">
        <is>
          <t>R55</t>
        </is>
      </c>
      <c r="R640" t="inlineStr">
        <is>
          <t>tdzozplonsk</t>
        </is>
      </c>
      <c r="S640" s="1" t="n">
        <v>46169.63888888889</v>
      </c>
      <c r="T640" t="n">
        <v>0</v>
      </c>
      <c r="U640" t="inlineStr">
        <is>
          <t>BUJALSKI TOMASZ</t>
        </is>
      </c>
    </row>
    <row r="641">
      <c r="A641" s="1" t="n">
        <v>46169</v>
      </c>
      <c r="B641" t="inlineStr">
        <is>
          <t>CT_26_001927</t>
        </is>
      </c>
      <c r="C641" t="inlineStr">
        <is>
          <t>HELENA KRZEMINSKA</t>
        </is>
      </c>
      <c r="D641" t="n">
        <v>41012506980</v>
      </c>
      <c r="E641" s="1" t="n">
        <v>46169</v>
      </c>
      <c r="F641" t="inlineStr">
        <is>
          <t>CITO-CITO</t>
        </is>
      </c>
      <c r="G641" t="inlineStr">
        <is>
          <t>TK</t>
        </is>
      </c>
      <c r="H641" t="inlineStr">
        <is>
          <t>TK angio tętnic płucnych</t>
        </is>
      </c>
      <c r="I641" t="inlineStr">
        <is>
          <t>TK Angiografia</t>
        </is>
      </c>
      <c r="J641" t="inlineStr">
        <is>
          <t>1 okolica anatomiczna</t>
        </is>
      </c>
      <c r="K641" t="inlineStr">
        <is>
          <t>Tomasz Bujalski</t>
        </is>
      </c>
      <c r="L641" t="inlineStr">
        <is>
          <t> </t>
        </is>
      </c>
      <c r="M641" t="inlineStr">
        <is>
          <t>SAMODZIELNY PUBLICZNY ZESPÓŁ ZAKŁADÓW OPIEKI ZDROWOTNEJ IM.MARSZAŁKA JÓZEFA PIŁSUDSKIEGO W PŁOŃSKU</t>
        </is>
      </c>
      <c r="N641" t="inlineStr">
        <is>
          <t>SOR</t>
        </is>
      </c>
      <c r="O641" t="inlineStr">
        <is>
          <t>Artur  Miecznikowski</t>
        </is>
      </c>
      <c r="P641" t="n">
        <v>2162823</v>
      </c>
      <c r="Q641" t="inlineStr">
        <is>
          <t>Z00.0</t>
        </is>
      </c>
      <c r="R641" t="inlineStr">
        <is>
          <t>tdzozplonsk</t>
        </is>
      </c>
      <c r="S641" s="1" t="n">
        <v>46169.74097222222</v>
      </c>
      <c r="T641" t="n">
        <v>0</v>
      </c>
      <c r="U641" t="inlineStr">
        <is>
          <t>BUJALSKI TOMASZ</t>
        </is>
      </c>
    </row>
    <row r="642">
      <c r="A642" s="1" t="n">
        <v>46170</v>
      </c>
      <c r="B642" t="inlineStr">
        <is>
          <t>CT_26_001825</t>
        </is>
      </c>
      <c r="C642" t="inlineStr">
        <is>
          <t>ZENON PIEKUT</t>
        </is>
      </c>
      <c r="D642" t="n">
        <v>59032709434</v>
      </c>
      <c r="E642" s="1" t="n">
        <v>46170</v>
      </c>
      <c r="F642" t="inlineStr">
        <is>
          <t>CITO-CITO</t>
        </is>
      </c>
      <c r="G642" t="inlineStr">
        <is>
          <t>TK</t>
        </is>
      </c>
      <c r="H642" t="inlineStr">
        <is>
          <t>TK klatki piersiowej</t>
        </is>
      </c>
      <c r="I642" t="inlineStr">
        <is>
          <t>TK Zwykłe</t>
        </is>
      </c>
      <c r="J642" t="inlineStr">
        <is>
          <t>1 okolica anatomiczna</t>
        </is>
      </c>
      <c r="K642" t="inlineStr">
        <is>
          <t>Tomasz Bujalski</t>
        </is>
      </c>
      <c r="L642" t="inlineStr">
        <is>
          <t> </t>
        </is>
      </c>
      <c r="M642" t="inlineStr">
        <is>
          <t>SAMODZIELNY PUBLICZNY ZESPÓŁ ZAKŁADÓW OPIEKI ZDROWOTNEJ IM.MARSZAŁKA JÓZEFA PIŁSUDSKIEGO W PŁOŃSKU</t>
        </is>
      </c>
      <c r="N642" t="inlineStr">
        <is>
          <t>Oddział chorób wewnętrznych z pododdziałem diabetologicznym</t>
        </is>
      </c>
      <c r="O642" t="inlineStr">
        <is>
          <t>Ewa Wojciechowska</t>
        </is>
      </c>
      <c r="P642" t="n">
        <v>3306361</v>
      </c>
      <c r="Q642" t="inlineStr">
        <is>
          <t>I50.9</t>
        </is>
      </c>
      <c r="R642" t="inlineStr">
        <is>
          <t>tdzozplonsk</t>
        </is>
      </c>
      <c r="S642" s="1" t="n">
        <v>46170.44236111111</v>
      </c>
      <c r="T642" t="n">
        <v>0</v>
      </c>
      <c r="U642" t="inlineStr">
        <is>
          <t>BUJALSKI TOMASZ</t>
        </is>
      </c>
    </row>
    <row r="643">
      <c r="A643" s="1" t="n">
        <v>46170</v>
      </c>
      <c r="B643" t="inlineStr">
        <is>
          <t>CT_26_001919</t>
        </is>
      </c>
      <c r="C643" t="inlineStr">
        <is>
          <t>WIESLAW NOWAKOWSKI</t>
        </is>
      </c>
      <c r="D643" t="n">
        <v>56070803393</v>
      </c>
      <c r="E643" s="1" t="n">
        <v>46170</v>
      </c>
      <c r="F643" t="inlineStr">
        <is>
          <t>CITO-CITO</t>
        </is>
      </c>
      <c r="G643" t="inlineStr">
        <is>
          <t>TK</t>
        </is>
      </c>
      <c r="H643" t="inlineStr">
        <is>
          <t>Tomografia trzech okolic anatomicznych</t>
        </is>
      </c>
      <c r="I643" t="inlineStr">
        <is>
          <t>TK Zwykłe</t>
        </is>
      </c>
      <c r="J643" t="inlineStr">
        <is>
          <t>3 okolice anatomiczne</t>
        </is>
      </c>
      <c r="K643" t="inlineStr">
        <is>
          <t>Tomasz Bujalski</t>
        </is>
      </c>
      <c r="L643" t="inlineStr">
        <is>
          <t> </t>
        </is>
      </c>
      <c r="M643" t="inlineStr">
        <is>
          <t>SAMODZIELNY PUBLICZNY ZESPÓŁ ZAKŁADÓW OPIEKI ZDROWOTNEJ IM.MARSZAŁKA JÓZEFA PIŁSUDSKIEGO W PŁOŃSKU</t>
        </is>
      </c>
      <c r="N643" t="inlineStr">
        <is>
          <t>Oddział chorób wewnętrznych z pododdziałem diabetologicznym</t>
        </is>
      </c>
      <c r="O643" t="inlineStr">
        <is>
          <t>Ewa Wojciechowska</t>
        </is>
      </c>
      <c r="P643" t="n">
        <v>3306361</v>
      </c>
      <c r="Q643" t="inlineStr">
        <is>
          <t>A41.9</t>
        </is>
      </c>
      <c r="R643" t="inlineStr">
        <is>
          <t>tdzozplonsk</t>
        </is>
      </c>
      <c r="S643" s="1" t="n">
        <v>46170.4</v>
      </c>
      <c r="T643" t="n">
        <v>0</v>
      </c>
      <c r="U643" t="inlineStr">
        <is>
          <t>BUJALSKI TOMASZ</t>
        </is>
      </c>
    </row>
    <row r="644">
      <c r="A644" s="1" t="n">
        <v>46170</v>
      </c>
      <c r="B644" t="inlineStr">
        <is>
          <t>CT_26_001933</t>
        </is>
      </c>
      <c r="C644" t="inlineStr">
        <is>
          <t>BOGUMIL STANISZEWSKI</t>
        </is>
      </c>
      <c r="D644" t="n">
        <v>61012313311</v>
      </c>
      <c r="E644" s="1" t="n">
        <v>46170</v>
      </c>
      <c r="F644" t="inlineStr">
        <is>
          <t>CITO-CITO</t>
        </is>
      </c>
      <c r="G644" t="inlineStr">
        <is>
          <t>TK</t>
        </is>
      </c>
      <c r="H644" t="inlineStr">
        <is>
          <t>TK angio klatki piersiowej</t>
        </is>
      </c>
      <c r="I644" t="inlineStr">
        <is>
          <t>TK Angiografia</t>
        </is>
      </c>
      <c r="J644" t="inlineStr">
        <is>
          <t>1 okolica anatomiczna</t>
        </is>
      </c>
      <c r="K644" t="inlineStr">
        <is>
          <t>Tomasz Bujalski</t>
        </is>
      </c>
      <c r="L644" t="inlineStr">
        <is>
          <t> </t>
        </is>
      </c>
      <c r="M644" t="inlineStr">
        <is>
          <t>SAMODZIELNY PUBLICZNY ZESPÓŁ ZAKŁADÓW OPIEKI ZDROWOTNEJ IM.MARSZAŁKA JÓZEFA PIŁSUDSKIEGO W PŁOŃSKU</t>
        </is>
      </c>
      <c r="N644" t="inlineStr">
        <is>
          <t>SOR</t>
        </is>
      </c>
      <c r="O644" t="inlineStr">
        <is>
          <t>Artur  Miecznikowski</t>
        </is>
      </c>
      <c r="P644" t="n">
        <v>2162823</v>
      </c>
      <c r="Q644" t="inlineStr">
        <is>
          <t>I26</t>
        </is>
      </c>
      <c r="R644" t="inlineStr">
        <is>
          <t>tdzozplonsk</t>
        </is>
      </c>
      <c r="S644" s="1" t="n">
        <v>46170.3125</v>
      </c>
      <c r="T644" t="n">
        <v>0</v>
      </c>
      <c r="U644" t="inlineStr">
        <is>
          <t>BUJALSKI TOMASZ</t>
        </is>
      </c>
    </row>
    <row r="645">
      <c r="A645" s="1" t="n">
        <v>46170</v>
      </c>
      <c r="B645" t="inlineStr">
        <is>
          <t>CT_26_001936</t>
        </is>
      </c>
      <c r="C645" t="inlineStr">
        <is>
          <t>MALGORZATA TRACZYK</t>
        </is>
      </c>
      <c r="D645" t="n">
        <v>62041316520</v>
      </c>
      <c r="E645" s="1" t="n">
        <v>46170</v>
      </c>
      <c r="F645" t="inlineStr">
        <is>
          <t>CITO-CITO</t>
        </is>
      </c>
      <c r="G645" t="inlineStr">
        <is>
          <t>TK</t>
        </is>
      </c>
      <c r="H645" t="inlineStr">
        <is>
          <t>TK głowy</t>
        </is>
      </c>
      <c r="I645" t="inlineStr">
        <is>
          <t>TK Onkologia</t>
        </is>
      </c>
      <c r="J645" t="inlineStr">
        <is>
          <t>1 okolica anatomiczna</t>
        </is>
      </c>
      <c r="K645" t="inlineStr">
        <is>
          <t>Tomasz Bujalski</t>
        </is>
      </c>
      <c r="L645" t="inlineStr">
        <is>
          <t> </t>
        </is>
      </c>
      <c r="M645" t="inlineStr">
        <is>
          <t>SAMODZIELNY PUBLICZNY ZESPÓŁ ZAKŁADÓW OPIEKI ZDROWOTNEJ IM.MARSZAŁKA JÓZEFA PIŁSUDSKIEGO W PŁOŃSKU</t>
        </is>
      </c>
      <c r="N645" t="inlineStr">
        <is>
          <t>SOR</t>
        </is>
      </c>
      <c r="O645" t="inlineStr">
        <is>
          <t>Henandzi Hulnitski</t>
        </is>
      </c>
      <c r="P645" t="n">
        <v>3963181</v>
      </c>
      <c r="Q645" t="inlineStr">
        <is>
          <t>R42</t>
        </is>
      </c>
      <c r="R645" t="inlineStr">
        <is>
          <t>tdzozplonsk</t>
        </is>
      </c>
      <c r="S645" s="1" t="n">
        <v>46170.3125</v>
      </c>
      <c r="T645" t="n">
        <v>0</v>
      </c>
      <c r="U645" t="inlineStr">
        <is>
          <t>BUJALSKI TOMASZ</t>
        </is>
      </c>
    </row>
    <row r="646">
      <c r="A646" s="1" t="n">
        <v>46170</v>
      </c>
      <c r="B646" t="inlineStr">
        <is>
          <t>CT_26_001938</t>
        </is>
      </c>
      <c r="C646" t="inlineStr">
        <is>
          <t>TOMASZ PNIEWSKI</t>
        </is>
      </c>
      <c r="D646" t="n">
        <v>78010807157</v>
      </c>
      <c r="E646" s="1" t="n">
        <v>46170</v>
      </c>
      <c r="F646" t="inlineStr">
        <is>
          <t>CITO-CITO</t>
        </is>
      </c>
      <c r="G646" t="inlineStr">
        <is>
          <t>TK</t>
        </is>
      </c>
      <c r="H646" t="inlineStr">
        <is>
          <t>TK głowy</t>
        </is>
      </c>
      <c r="I646" t="inlineStr">
        <is>
          <t>TK Onkologia</t>
        </is>
      </c>
      <c r="J646" t="inlineStr">
        <is>
          <t>1 okolica anatomiczna</t>
        </is>
      </c>
      <c r="K646" t="inlineStr">
        <is>
          <t>Tomasz Bujalski</t>
        </is>
      </c>
      <c r="L646" t="inlineStr">
        <is>
          <t> </t>
        </is>
      </c>
      <c r="M646" t="inlineStr">
        <is>
          <t>SAMODZIELNY PUBLICZNY ZESPÓŁ ZAKŁADÓW OPIEKI ZDROWOTNEJ IM.MARSZAŁKA JÓZEFA PIŁSUDSKIEGO W PŁOŃSKU</t>
        </is>
      </c>
      <c r="N646" t="inlineStr">
        <is>
          <t>SOR</t>
        </is>
      </c>
      <c r="O646" t="inlineStr">
        <is>
          <t>Henandzi Hulnitski</t>
        </is>
      </c>
      <c r="P646" t="n">
        <v>3963181</v>
      </c>
      <c r="Q646" t="inlineStr">
        <is>
          <t>G40</t>
        </is>
      </c>
      <c r="R646" t="inlineStr">
        <is>
          <t>tdzozplonsk</t>
        </is>
      </c>
      <c r="S646" s="1" t="n">
        <v>46170.34513888889</v>
      </c>
      <c r="T646" t="n">
        <v>0</v>
      </c>
      <c r="U646" t="inlineStr">
        <is>
          <t>BUJALSKI TOMASZ</t>
        </is>
      </c>
    </row>
    <row r="647">
      <c r="A647" s="1" t="n">
        <v>46170</v>
      </c>
      <c r="B647" t="inlineStr">
        <is>
          <t>CT_26_001939</t>
        </is>
      </c>
      <c r="C647" t="inlineStr">
        <is>
          <t>DANIEL LESAK</t>
        </is>
      </c>
      <c r="D647" t="n">
        <v>81080515895</v>
      </c>
      <c r="E647" s="1" t="n">
        <v>46170</v>
      </c>
      <c r="F647" t="inlineStr">
        <is>
          <t>CITO-CITO</t>
        </is>
      </c>
      <c r="G647" t="inlineStr">
        <is>
          <t>TK</t>
        </is>
      </c>
      <c r="H647" t="inlineStr">
        <is>
          <t>TK głowy</t>
        </is>
      </c>
      <c r="I647" t="inlineStr">
        <is>
          <t>TK Onkologia</t>
        </is>
      </c>
      <c r="J647" t="inlineStr">
        <is>
          <t>1 okolica anatomiczna</t>
        </is>
      </c>
      <c r="K647" t="inlineStr">
        <is>
          <t>Tomasz Bujalski</t>
        </is>
      </c>
      <c r="L647" t="inlineStr">
        <is>
          <t> </t>
        </is>
      </c>
      <c r="M647" t="inlineStr">
        <is>
          <t>SAMODZIELNY PUBLICZNY ZESPÓŁ ZAKŁADÓW OPIEKI ZDROWOTNEJ IM.MARSZAŁKA JÓZEFA PIŁSUDSKIEGO W PŁOŃSKU</t>
        </is>
      </c>
      <c r="N647" t="inlineStr">
        <is>
          <t>SOR</t>
        </is>
      </c>
      <c r="O647" t="inlineStr">
        <is>
          <t>Andrei Trafimovich</t>
        </is>
      </c>
      <c r="P647" t="n">
        <v>4243562</v>
      </c>
      <c r="Q647" t="inlineStr">
        <is>
          <t>R51</t>
        </is>
      </c>
      <c r="R647" t="inlineStr">
        <is>
          <t>tdzozplonsk</t>
        </is>
      </c>
      <c r="S647" s="1" t="n">
        <v>46170.34444444445</v>
      </c>
      <c r="T647" t="n">
        <v>0</v>
      </c>
      <c r="U647" t="inlineStr">
        <is>
          <t>BUJALSKI TOMASZ</t>
        </is>
      </c>
    </row>
    <row r="648">
      <c r="A648" s="1" t="n">
        <v>46170</v>
      </c>
      <c r="B648" t="inlineStr">
        <is>
          <t>CT_26_001943</t>
        </is>
      </c>
      <c r="C648" t="inlineStr">
        <is>
          <t>STANISLAWA ZAKOWSKA</t>
        </is>
      </c>
      <c r="D648" t="n">
        <v>53071017286</v>
      </c>
      <c r="E648" s="1" t="n">
        <v>46170</v>
      </c>
      <c r="F648" t="inlineStr">
        <is>
          <t>CITO-CITO</t>
        </is>
      </c>
      <c r="G648" t="inlineStr">
        <is>
          <t>TK</t>
        </is>
      </c>
      <c r="H648" t="inlineStr">
        <is>
          <t>TK głowy</t>
        </is>
      </c>
      <c r="I648" t="inlineStr">
        <is>
          <t>TK Onkologia</t>
        </is>
      </c>
      <c r="J648" t="inlineStr">
        <is>
          <t>1 okolica anatomiczna</t>
        </is>
      </c>
      <c r="K648" t="inlineStr">
        <is>
          <t>Tomasz Bujalski</t>
        </is>
      </c>
      <c r="L648" t="inlineStr">
        <is>
          <t> </t>
        </is>
      </c>
      <c r="M648" t="inlineStr">
        <is>
          <t>SAMODZIELNY PUBLICZNY ZESPÓŁ ZAKŁADÓW OPIEKI ZDROWOTNEJ IM.MARSZAŁKA JÓZEFA PIŁSUDSKIEGO W PŁOŃSKU</t>
        </is>
      </c>
      <c r="N648" t="inlineStr">
        <is>
          <t>SOR</t>
        </is>
      </c>
      <c r="O648" t="inlineStr">
        <is>
          <t>Henandzi Hulnitski</t>
        </is>
      </c>
      <c r="P648" t="n">
        <v>3963181</v>
      </c>
      <c r="Q648" t="inlineStr">
        <is>
          <t>R55</t>
        </is>
      </c>
      <c r="R648" t="inlineStr">
        <is>
          <t>tdzozplonsk</t>
        </is>
      </c>
      <c r="S648" s="1" t="n">
        <v>46170.36597222222</v>
      </c>
      <c r="T648" t="n">
        <v>0</v>
      </c>
      <c r="U648" t="inlineStr">
        <is>
          <t>BUJALSKI TOMASZ</t>
        </is>
      </c>
    </row>
    <row r="649">
      <c r="A649" s="1" t="n">
        <v>46171</v>
      </c>
      <c r="B649" t="inlineStr">
        <is>
          <t>CT_26_001974</t>
        </is>
      </c>
      <c r="C649" t="inlineStr">
        <is>
          <t>ANDRII FESENKO</t>
        </is>
      </c>
      <c r="D649" t="n">
        <v>8302313734</v>
      </c>
      <c r="E649" s="1" t="n">
        <v>46171</v>
      </c>
      <c r="F649" t="inlineStr">
        <is>
          <t>CITO-CITO</t>
        </is>
      </c>
      <c r="G649" t="inlineStr">
        <is>
          <t>TK</t>
        </is>
      </c>
      <c r="H649" t="inlineStr">
        <is>
          <t>TK głowy</t>
        </is>
      </c>
      <c r="I649" t="inlineStr">
        <is>
          <t>TK Onkologia</t>
        </is>
      </c>
      <c r="J649" t="inlineStr">
        <is>
          <t>1 okolica anatomiczna</t>
        </is>
      </c>
      <c r="K649" t="inlineStr">
        <is>
          <t>Tomasz Bujalski</t>
        </is>
      </c>
      <c r="L649" t="inlineStr">
        <is>
          <t> </t>
        </is>
      </c>
      <c r="M649" t="inlineStr">
        <is>
          <t>SAMODZIELNY PUBLICZNY ZESPÓŁ ZAKŁADÓW OPIEKI ZDROWOTNEJ IM.MARSZAŁKA JÓZEFA PIŁSUDSKIEGO W PŁOŃSKU</t>
        </is>
      </c>
      <c r="N649" t="inlineStr">
        <is>
          <t>SOR</t>
        </is>
      </c>
      <c r="O649" t="inlineStr">
        <is>
          <t>Paweł Szewczyk</t>
        </is>
      </c>
      <c r="P649" t="n">
        <v>2712912</v>
      </c>
      <c r="Q649" t="inlineStr">
        <is>
          <t>S00</t>
        </is>
      </c>
      <c r="R649" t="inlineStr">
        <is>
          <t>tdzozplonsk</t>
        </is>
      </c>
      <c r="S649" s="1" t="n">
        <v>46171.32361111111</v>
      </c>
      <c r="T649" t="n">
        <v>0</v>
      </c>
      <c r="U649" t="inlineStr">
        <is>
          <t>BUJALSKI TOMASZ</t>
        </is>
      </c>
    </row>
    <row r="650">
      <c r="A650" s="1" t="n">
        <v>46150</v>
      </c>
      <c r="B650" t="inlineStr">
        <is>
          <t>1/78458I\S\RIS</t>
        </is>
      </c>
      <c r="C650" t="inlineStr">
        <is>
          <t>Małgorzata Onufrowicz</t>
        </is>
      </c>
      <c r="D650" t="n">
        <v>70070100724</v>
      </c>
      <c r="E650" s="1" t="n">
        <v>46139</v>
      </c>
      <c r="F650" t="inlineStr">
        <is>
          <t>Planowy</t>
        </is>
      </c>
      <c r="G650" t="inlineStr">
        <is>
          <t>MR</t>
        </is>
      </c>
      <c r="H650" t="inlineStr">
        <is>
          <t>CHOLANGIOGRAFIA</t>
        </is>
      </c>
      <c r="I650" t="inlineStr">
        <is>
          <t>MR Inne - wtym prostata, miednica, jama brzuszna tkanki miekkie</t>
        </is>
      </c>
      <c r="J650" t="inlineStr">
        <is>
          <t>1 okolica anatomiczna</t>
        </is>
      </c>
      <c r="K650" t="inlineStr">
        <is>
          <t>Tomasz Bujalski</t>
        </is>
      </c>
      <c r="L650" t="inlineStr">
        <is>
          <t> </t>
        </is>
      </c>
      <c r="M650" t="inlineStr">
        <is>
          <t>MAZOWIECKIE SPECJALISTYCZNE CENTRUM ZDROWIA IM. PROF. JANA MAZURKIEWICZA W PRUSZKOWIE</t>
        </is>
      </c>
      <c r="N650" t="inlineStr">
        <is>
          <t>Sprzedaż usług medycznych– Badania-BAD</t>
        </is>
      </c>
      <c r="O650" t="inlineStr">
        <is>
          <t> </t>
        </is>
      </c>
      <c r="P650" t="inlineStr">
        <is>
          <t> </t>
        </is>
      </c>
      <c r="Q650" t="inlineStr">
        <is>
          <t>K83.1</t>
        </is>
      </c>
      <c r="R650" t="inlineStr">
        <is>
          <t>tworki</t>
        </is>
      </c>
      <c r="S650" s="1" t="n">
        <v>46148.64375</v>
      </c>
      <c r="T650" t="n">
        <v>1</v>
      </c>
      <c r="U650" t="inlineStr">
        <is>
          <t>BUJALSKI TOMASZ</t>
        </is>
      </c>
    </row>
    <row r="651">
      <c r="A651" s="1" t="n">
        <v>46149</v>
      </c>
      <c r="B651" t="inlineStr">
        <is>
          <t>CN82507463</t>
        </is>
      </c>
      <c r="C651" t="inlineStr">
        <is>
          <t>ALBIN LUBAK</t>
        </is>
      </c>
      <c r="D651" t="n">
        <v>94060411410</v>
      </c>
      <c r="E651" s="1" t="n">
        <v>46057</v>
      </c>
      <c r="F651" t="inlineStr">
        <is>
          <t>Pilny</t>
        </is>
      </c>
      <c r="G651" t="inlineStr">
        <is>
          <t>TK</t>
        </is>
      </c>
      <c r="H651" t="inlineStr">
        <is>
          <t>TK, klatki piersiowej bez i ze wzmocnieniem kontrastowym</t>
        </is>
      </c>
      <c r="I651" t="inlineStr">
        <is>
          <t>TK Zwykłe</t>
        </is>
      </c>
      <c r="J651" t="inlineStr">
        <is>
          <t>1 okolica anatomiczna</t>
        </is>
      </c>
      <c r="K651" t="inlineStr">
        <is>
          <t>Tomasz Bujalski</t>
        </is>
      </c>
      <c r="L651" t="inlineStr">
        <is>
          <t> </t>
        </is>
      </c>
      <c r="M651" t="inlineStr">
        <is>
          <t>UNIWERSYTECKI SZPITAL KLINICZNY W BIAŁYMSTOKU</t>
        </is>
      </c>
      <c r="N651" t="inlineStr">
        <is>
          <t>Oddział Chirurgii Klatki Piersiowej (Skłodowskiej-Curie)</t>
        </is>
      </c>
      <c r="O651" t="inlineStr">
        <is>
          <t>PRZEMYSŁAW KOSTRO</t>
        </is>
      </c>
      <c r="P651" t="inlineStr">
        <is>
          <t>3553399</t>
        </is>
      </c>
      <c r="Q651" t="inlineStr">
        <is>
          <t>J86.9</t>
        </is>
      </c>
      <c r="R651" t="inlineStr">
        <is>
          <t>uskbialystok</t>
        </is>
      </c>
      <c r="S651" s="1" t="n">
        <v>46146.63263888889</v>
      </c>
      <c r="T651" t="n">
        <v>0</v>
      </c>
      <c r="U651" t="inlineStr">
        <is>
          <t>BUJALSKI TOMASZ</t>
        </is>
      </c>
    </row>
    <row r="652">
      <c r="A652" s="1" t="n">
        <v>46149</v>
      </c>
      <c r="B652" t="inlineStr">
        <is>
          <t>CN85589722</t>
        </is>
      </c>
      <c r="C652" t="inlineStr">
        <is>
          <t>ALBIN LUBAK</t>
        </is>
      </c>
      <c r="D652" t="n">
        <v>94060411410</v>
      </c>
      <c r="E652" s="1" t="n">
        <v>46146</v>
      </c>
      <c r="F652" t="inlineStr">
        <is>
          <t>Pilny</t>
        </is>
      </c>
      <c r="G652" t="inlineStr">
        <is>
          <t>TK</t>
        </is>
      </c>
      <c r="H652" t="inlineStr">
        <is>
          <t>TK, klatki piersiowej bez i ze wzmocnieniem kontrastowym</t>
        </is>
      </c>
      <c r="I652" t="inlineStr">
        <is>
          <t>TK Zwykłe</t>
        </is>
      </c>
      <c r="J652" t="inlineStr">
        <is>
          <t>1 okolica anatomiczna</t>
        </is>
      </c>
      <c r="K652" t="inlineStr">
        <is>
          <t>Tomasz Bujalski</t>
        </is>
      </c>
      <c r="L652" t="inlineStr">
        <is>
          <t> </t>
        </is>
      </c>
      <c r="M652" t="inlineStr">
        <is>
          <t>UNIWERSYTECKI SZPITAL KLINICZNY W BIAŁYMSTOKU</t>
        </is>
      </c>
      <c r="N652" t="inlineStr">
        <is>
          <t>Oddział Chirurgii Klatki Piersiowej (Skłodowskiej-Curie)</t>
        </is>
      </c>
      <c r="O652" t="inlineStr">
        <is>
          <t>Mirosław Dariusz Kozłowski</t>
        </is>
      </c>
      <c r="P652" t="inlineStr">
        <is>
          <t>2475368</t>
        </is>
      </c>
      <c r="Q652" t="inlineStr">
        <is>
          <t>J86.9</t>
        </is>
      </c>
      <c r="R652" t="inlineStr">
        <is>
          <t>uskbialystok</t>
        </is>
      </c>
      <c r="S652" s="1" t="n">
        <v>46148.28055555555</v>
      </c>
      <c r="T652" t="n">
        <v>1</v>
      </c>
      <c r="U652" t="inlineStr">
        <is>
          <t>BUJALSKI TOMASZ</t>
        </is>
      </c>
    </row>
    <row r="653">
      <c r="A653" s="1" t="n">
        <v>46150</v>
      </c>
      <c r="B653" t="inlineStr">
        <is>
          <t>CN85710715</t>
        </is>
      </c>
      <c r="C653" t="inlineStr">
        <is>
          <t>ZOFIA MACIEJCZUK</t>
        </is>
      </c>
      <c r="D653" t="n">
        <v>49061505387</v>
      </c>
      <c r="E653" s="1" t="n">
        <v>46149</v>
      </c>
      <c r="F653" t="inlineStr">
        <is>
          <t>Pilny</t>
        </is>
      </c>
      <c r="G653" t="inlineStr">
        <is>
          <t>TK</t>
        </is>
      </c>
      <c r="H653" t="inlineStr">
        <is>
          <t>TK, klatki piersiowej bez i ze wzmocnieniem kontrastowym</t>
        </is>
      </c>
      <c r="I653" t="inlineStr">
        <is>
          <t>TK Onkologia</t>
        </is>
      </c>
      <c r="J653" t="inlineStr">
        <is>
          <t>1 okolica anatomiczna</t>
        </is>
      </c>
      <c r="K653" t="inlineStr">
        <is>
          <t>Tomasz Bujalski</t>
        </is>
      </c>
      <c r="L653" t="inlineStr">
        <is>
          <t> </t>
        </is>
      </c>
      <c r="M653" t="inlineStr">
        <is>
          <t>UNIWERSYTECKI SZPITAL KLINICZNY W BIAŁYMSTOKU</t>
        </is>
      </c>
      <c r="N653" t="inlineStr">
        <is>
          <t>I Oddział Chorób Płuc, Raka Płuca i Chorób Wewnętrznych (Żurawia)</t>
        </is>
      </c>
      <c r="O653" t="inlineStr">
        <is>
          <t>MARTYNA KOWALIK</t>
        </is>
      </c>
      <c r="P653" t="inlineStr">
        <is>
          <t>3325429</t>
        </is>
      </c>
      <c r="Q653" t="inlineStr">
        <is>
          <t>D38.1</t>
        </is>
      </c>
      <c r="R653" t="inlineStr">
        <is>
          <t>uskbialystok</t>
        </is>
      </c>
      <c r="S653" s="1" t="n">
        <v>46149.35902777778</v>
      </c>
      <c r="T653" t="n">
        <v>0</v>
      </c>
      <c r="U653" t="inlineStr">
        <is>
          <t>BUJALSKI TOMASZ</t>
        </is>
      </c>
    </row>
    <row r="654">
      <c r="A654" s="1" t="n">
        <v>46151</v>
      </c>
      <c r="B654" t="inlineStr">
        <is>
          <t>CN85707595</t>
        </is>
      </c>
      <c r="C654" t="inlineStr">
        <is>
          <t>BOŻENA NIEDBAŁA</t>
        </is>
      </c>
      <c r="D654" t="n">
        <v>70053108666</v>
      </c>
      <c r="E654" s="1" t="n">
        <v>46148</v>
      </c>
      <c r="F654" t="inlineStr">
        <is>
          <t>Pilny</t>
        </is>
      </c>
      <c r="G654" t="inlineStr">
        <is>
          <t>TK</t>
        </is>
      </c>
      <c r="H654" t="inlineStr">
        <is>
          <t>TK, odcinek lędźwiowy kręgosłupa bez wzmocnienia kontrastowego</t>
        </is>
      </c>
      <c r="I654" t="inlineStr">
        <is>
          <t>TK Zwykłe</t>
        </is>
      </c>
      <c r="J654" t="inlineStr">
        <is>
          <t>1 okolica anatomiczna</t>
        </is>
      </c>
      <c r="K654" t="inlineStr">
        <is>
          <t>Tomasz Bujalski</t>
        </is>
      </c>
      <c r="L654" t="inlineStr">
        <is>
          <t> </t>
        </is>
      </c>
      <c r="M654" t="inlineStr">
        <is>
          <t>UNIWERSYTECKI SZPITAL KLINICZNY W BIAŁYMSTOKU</t>
        </is>
      </c>
      <c r="N654" t="inlineStr">
        <is>
          <t>Oddział Neurochirurgii (Skłodowskiej-Curie)</t>
        </is>
      </c>
      <c r="O654" t="inlineStr">
        <is>
          <t>PAWEŁ WILK</t>
        </is>
      </c>
      <c r="P654" t="inlineStr">
        <is>
          <t>3325164</t>
        </is>
      </c>
      <c r="Q654" t="inlineStr">
        <is>
          <t>M51</t>
        </is>
      </c>
      <c r="R654" t="inlineStr">
        <is>
          <t>uskbialystok</t>
        </is>
      </c>
      <c r="S654" s="1" t="n">
        <v>46149.84236111111</v>
      </c>
      <c r="T654" t="n">
        <v>1</v>
      </c>
      <c r="U654" t="inlineStr">
        <is>
          <t>BUJALSKI TOMASZ</t>
        </is>
      </c>
    </row>
    <row r="655">
      <c r="A655" s="1" t="n">
        <v>46151</v>
      </c>
      <c r="B655" t="inlineStr">
        <is>
          <t>CN85811472</t>
        </is>
      </c>
      <c r="C655" t="inlineStr">
        <is>
          <t>KRZYSZTOF HARBUZ</t>
        </is>
      </c>
      <c r="D655" t="n">
        <v>49032802299</v>
      </c>
      <c r="E655" s="1" t="n">
        <v>46151</v>
      </c>
      <c r="F655" t="inlineStr">
        <is>
          <t>CITO-CITO</t>
        </is>
      </c>
      <c r="G655" t="inlineStr">
        <is>
          <t>TK</t>
        </is>
      </c>
      <c r="H655" t="inlineStr">
        <is>
          <t>TK, głowa, bez wzmocnienia kontrastowego</t>
        </is>
      </c>
      <c r="I655" t="inlineStr">
        <is>
          <t>TK Zwykłe</t>
        </is>
      </c>
      <c r="J655" t="inlineStr">
        <is>
          <t>1 okolica anatomiczna</t>
        </is>
      </c>
      <c r="K655" t="inlineStr">
        <is>
          <t>Tomasz Bujalski</t>
        </is>
      </c>
      <c r="L655" t="inlineStr">
        <is>
          <t> </t>
        </is>
      </c>
      <c r="M655" t="inlineStr">
        <is>
          <t>UNIWERSYTECKI SZPITAL KLINICZNY W BIAŁYMSTOKU</t>
        </is>
      </c>
      <c r="N655" t="inlineStr">
        <is>
          <t>Oddział Endokrynologii, Diabetologii i Chorób Wewnętrznych (S-C)</t>
        </is>
      </c>
      <c r="O655" t="inlineStr">
        <is>
          <t>PAULINA KOSSAKOWSKA-MALINOWSKA</t>
        </is>
      </c>
      <c r="P655" t="inlineStr">
        <is>
          <t>3708135</t>
        </is>
      </c>
      <c r="Q655" t="inlineStr">
        <is>
          <t> </t>
        </is>
      </c>
      <c r="R655" t="inlineStr">
        <is>
          <t>uskbialystok</t>
        </is>
      </c>
      <c r="S655" s="1" t="n">
        <v>46151.63125</v>
      </c>
      <c r="T655" t="n">
        <v>0</v>
      </c>
      <c r="U655" t="inlineStr">
        <is>
          <t>BUJALSKI TOMASZ</t>
        </is>
      </c>
    </row>
    <row r="656">
      <c r="A656" s="1" t="n">
        <v>46151</v>
      </c>
      <c r="B656" t="inlineStr">
        <is>
          <t>CN85812614</t>
        </is>
      </c>
      <c r="C656" t="inlineStr">
        <is>
          <t>PIOTR SZEFER</t>
        </is>
      </c>
      <c r="D656" t="n">
        <v>69060406694</v>
      </c>
      <c r="E656" s="1" t="n">
        <v>46151</v>
      </c>
      <c r="F656" t="inlineStr">
        <is>
          <t>CITO-CITO</t>
        </is>
      </c>
      <c r="G656" t="inlineStr">
        <is>
          <t>TK</t>
        </is>
      </c>
      <c r="H656" t="inlineStr">
        <is>
          <t>Angio-TK, jama brzuszna, miednica mniejsza</t>
        </is>
      </c>
      <c r="I656" t="inlineStr">
        <is>
          <t>TK Angiografia</t>
        </is>
      </c>
      <c r="J656" t="inlineStr">
        <is>
          <t>2 okolice anatomiczne</t>
        </is>
      </c>
      <c r="K656" t="inlineStr">
        <is>
          <t>Tomasz Bujalski</t>
        </is>
      </c>
      <c r="L656" t="inlineStr">
        <is>
          <t> </t>
        </is>
      </c>
      <c r="M656" t="inlineStr">
        <is>
          <t>UNIWERSYTECKI SZPITAL KLINICZNY W BIAŁYMSTOKU</t>
        </is>
      </c>
      <c r="N656" t="inlineStr">
        <is>
          <t>Oddział Anestezjologii i Intensywnej Terapii  (Skł-Curie)</t>
        </is>
      </c>
      <c r="O656" t="inlineStr">
        <is>
          <t>KLAUDIUSZ TYSA</t>
        </is>
      </c>
      <c r="P656" t="inlineStr">
        <is>
          <t>3642260</t>
        </is>
      </c>
      <c r="Q656" t="inlineStr">
        <is>
          <t>I10</t>
        </is>
      </c>
      <c r="R656" t="inlineStr">
        <is>
          <t>uskbialystok</t>
        </is>
      </c>
      <c r="S656" s="1" t="n">
        <v>46151.57986111111</v>
      </c>
      <c r="T656" t="n">
        <v>0</v>
      </c>
      <c r="U656" t="inlineStr">
        <is>
          <t>BUJALSKI TOMASZ</t>
        </is>
      </c>
    </row>
    <row r="657">
      <c r="A657" s="1" t="n">
        <v>46151</v>
      </c>
      <c r="B657" t="inlineStr">
        <is>
          <t>CN85813250</t>
        </is>
      </c>
      <c r="C657" t="inlineStr">
        <is>
          <t>PIOTR SZOCIK</t>
        </is>
      </c>
      <c r="D657" t="n">
        <v>3291701470</v>
      </c>
      <c r="E657" s="1" t="n">
        <v>46151</v>
      </c>
      <c r="F657" t="inlineStr">
        <is>
          <t>CITO-CITO</t>
        </is>
      </c>
      <c r="G657" t="inlineStr">
        <is>
          <t>TK</t>
        </is>
      </c>
      <c r="H657" t="inlineStr">
        <is>
          <t>TK, klatka piersiowa, bez wzmocnienia kontrastowego</t>
        </is>
      </c>
      <c r="I657" t="inlineStr">
        <is>
          <t>TK Onkologia</t>
        </is>
      </c>
      <c r="J657" t="inlineStr">
        <is>
          <t>1 okolica anatomiczna</t>
        </is>
      </c>
      <c r="K657" t="inlineStr">
        <is>
          <t>Tomasz Bujalski</t>
        </is>
      </c>
      <c r="L657" t="inlineStr">
        <is>
          <t> </t>
        </is>
      </c>
      <c r="M657" t="inlineStr">
        <is>
          <t>UNIWERSYTECKI SZPITAL KLINICZNY W BIAŁYMSTOKU</t>
        </is>
      </c>
      <c r="N657" t="inlineStr">
        <is>
          <t>II Oddział Chorób Płuc, Raka Płuca i Chorób Wewnętrznych (Żurawia)</t>
        </is>
      </c>
      <c r="O657" t="inlineStr">
        <is>
          <t>BARTŁOMIEJ MRÓZ</t>
        </is>
      </c>
      <c r="P657" t="inlineStr">
        <is>
          <t>3595496</t>
        </is>
      </c>
      <c r="Q657" t="inlineStr">
        <is>
          <t>J47</t>
        </is>
      </c>
      <c r="R657" t="inlineStr">
        <is>
          <t>uskbialystok</t>
        </is>
      </c>
      <c r="S657" s="1" t="n">
        <v>46151.58541666667</v>
      </c>
      <c r="T657" t="n">
        <v>0</v>
      </c>
      <c r="U657" t="inlineStr">
        <is>
          <t>BUJALSKI TOMASZ</t>
        </is>
      </c>
    </row>
    <row r="658">
      <c r="A658" s="1" t="n">
        <v>46153</v>
      </c>
      <c r="B658" t="inlineStr">
        <is>
          <t>CN85762090</t>
        </is>
      </c>
      <c r="C658" t="inlineStr">
        <is>
          <t>ANNA GULKO</t>
        </is>
      </c>
      <c r="D658" t="n">
        <v>46032006067</v>
      </c>
      <c r="E658" s="1" t="n">
        <v>46151</v>
      </c>
      <c r="F658" t="inlineStr">
        <is>
          <t>Pilny</t>
        </is>
      </c>
      <c r="G658" t="inlineStr">
        <is>
          <t>TK</t>
        </is>
      </c>
      <c r="H658" t="inlineStr">
        <is>
          <t>TK, jamy brzusznej i miednicy bez i ze wzmocnieniem kontrastowym</t>
        </is>
      </c>
      <c r="I658" t="inlineStr">
        <is>
          <t>TK Onkologia</t>
        </is>
      </c>
      <c r="J658" t="inlineStr">
        <is>
          <t>2 okolice anatomiczne</t>
        </is>
      </c>
      <c r="K658" t="inlineStr">
        <is>
          <t>Tomasz Bujalski</t>
        </is>
      </c>
      <c r="L658" t="inlineStr">
        <is>
          <t> </t>
        </is>
      </c>
      <c r="M658" t="inlineStr">
        <is>
          <t>UNIWERSYTECKI SZPITAL KLINICZNY W BIAŁYMSTOKU</t>
        </is>
      </c>
      <c r="N658" t="inlineStr">
        <is>
          <t>II Klinika Nefrologii, Hipertensjologii i Chorób Wewnętrzych z Ośrodkiem Dializ (Skłodowskiej-Curie)</t>
        </is>
      </c>
      <c r="O658" t="inlineStr">
        <is>
          <t>JOANNA DUDZIK</t>
        </is>
      </c>
      <c r="P658" t="inlineStr">
        <is>
          <t>3889643</t>
        </is>
      </c>
      <c r="Q658" t="inlineStr">
        <is>
          <t>D37.7</t>
        </is>
      </c>
      <c r="R658" t="inlineStr">
        <is>
          <t>uskbialystok</t>
        </is>
      </c>
      <c r="S658" s="1" t="n">
        <v>46151.55833333333</v>
      </c>
      <c r="T658" t="n">
        <v>0</v>
      </c>
      <c r="U658" t="inlineStr">
        <is>
          <t>BUJALSKI TOMASZ</t>
        </is>
      </c>
    </row>
    <row r="659">
      <c r="A659" s="1" t="n">
        <v>46153</v>
      </c>
      <c r="B659" t="inlineStr">
        <is>
          <t>CN85762094</t>
        </is>
      </c>
      <c r="C659" t="inlineStr">
        <is>
          <t>ANNA GULKO</t>
        </is>
      </c>
      <c r="D659" t="n">
        <v>46032006067</v>
      </c>
      <c r="E659" s="1" t="n">
        <v>46151</v>
      </c>
      <c r="F659" t="inlineStr">
        <is>
          <t>Pilny</t>
        </is>
      </c>
      <c r="G659" t="inlineStr">
        <is>
          <t>TK</t>
        </is>
      </c>
      <c r="H659" t="inlineStr">
        <is>
          <t>TK, klatki piersiowej bez i ze wzmocnieniem kontrastowym</t>
        </is>
      </c>
      <c r="I659" t="inlineStr">
        <is>
          <t>TK Onkologia</t>
        </is>
      </c>
      <c r="J659" t="inlineStr">
        <is>
          <t>1 okolica anatomiczna</t>
        </is>
      </c>
      <c r="K659" t="inlineStr">
        <is>
          <t>Tomasz Bujalski</t>
        </is>
      </c>
      <c r="L659" t="inlineStr">
        <is>
          <t> </t>
        </is>
      </c>
      <c r="M659" t="inlineStr">
        <is>
          <t>UNIWERSYTECKI SZPITAL KLINICZNY W BIAŁYMSTOKU</t>
        </is>
      </c>
      <c r="N659" t="inlineStr">
        <is>
          <t>II Klinika Nefrologii, Hipertensjologii i Chorób Wewnętrzych z Ośrodkiem Dializ (Skłodowskiej-Curie)</t>
        </is>
      </c>
      <c r="O659" t="inlineStr">
        <is>
          <t>JOANNA DUDZIK</t>
        </is>
      </c>
      <c r="P659" t="inlineStr">
        <is>
          <t>3889643</t>
        </is>
      </c>
      <c r="Q659" t="inlineStr">
        <is>
          <t>D37.7</t>
        </is>
      </c>
      <c r="R659" t="inlineStr">
        <is>
          <t>uskbialystok</t>
        </is>
      </c>
      <c r="S659" s="1" t="n">
        <v>46151.55763888889</v>
      </c>
      <c r="T659" t="n">
        <v>0</v>
      </c>
      <c r="U659" t="inlineStr">
        <is>
          <t>BUJALSKI TOMASZ</t>
        </is>
      </c>
    </row>
    <row r="660">
      <c r="A660" s="1" t="n">
        <v>46153</v>
      </c>
      <c r="B660" t="inlineStr">
        <is>
          <t>CN85836864</t>
        </is>
      </c>
      <c r="C660" t="inlineStr">
        <is>
          <t>JOANNA KANIUKA</t>
        </is>
      </c>
      <c r="D660" t="n">
        <v>77041113244</v>
      </c>
      <c r="E660" s="1" t="n">
        <v>46153</v>
      </c>
      <c r="F660" t="inlineStr">
        <is>
          <t>Pilny</t>
        </is>
      </c>
      <c r="G660" t="inlineStr">
        <is>
          <t>TK</t>
        </is>
      </c>
      <c r="H660" t="inlineStr">
        <is>
          <t>TK, głowa, bez wzmocnienia kontrastowego</t>
        </is>
      </c>
      <c r="I660" t="inlineStr">
        <is>
          <t>TK Onkologia</t>
        </is>
      </c>
      <c r="J660" t="inlineStr">
        <is>
          <t>1 okolica anatomiczna</t>
        </is>
      </c>
      <c r="K660" t="inlineStr">
        <is>
          <t>Tomasz Bujalski</t>
        </is>
      </c>
      <c r="L660" t="inlineStr">
        <is>
          <t> </t>
        </is>
      </c>
      <c r="M660" t="inlineStr">
        <is>
          <t>UNIWERSYTECKI SZPITAL KLINICZNY W BIAŁYMSTOKU</t>
        </is>
      </c>
      <c r="N660" t="inlineStr">
        <is>
          <t>Oddział Neurochirurgii (Skłodowskiej-Curie)</t>
        </is>
      </c>
      <c r="O660" t="inlineStr">
        <is>
          <t>MAGDALENA RYBACZEK</t>
        </is>
      </c>
      <c r="P660" t="inlineStr">
        <is>
          <t>3888590</t>
        </is>
      </c>
      <c r="Q660" t="inlineStr">
        <is>
          <t>G91.9</t>
        </is>
      </c>
      <c r="R660" t="inlineStr">
        <is>
          <t>uskbialystok</t>
        </is>
      </c>
      <c r="S660" s="1" t="n">
        <v>46153.05763888889</v>
      </c>
      <c r="T660" t="n">
        <v>0</v>
      </c>
      <c r="U660" t="inlineStr">
        <is>
          <t>BUJALSKI TOMASZ</t>
        </is>
      </c>
    </row>
    <row r="661">
      <c r="A661" s="1" t="n">
        <v>46154</v>
      </c>
      <c r="B661" t="inlineStr">
        <is>
          <t>CN85753282</t>
        </is>
      </c>
      <c r="C661" t="inlineStr">
        <is>
          <t>ZOFIA CYLWIK</t>
        </is>
      </c>
      <c r="D661" t="n">
        <v>49031301560</v>
      </c>
      <c r="E661" s="1" t="n">
        <v>46153</v>
      </c>
      <c r="F661" t="inlineStr">
        <is>
          <t>Pilny</t>
        </is>
      </c>
      <c r="G661" t="inlineStr">
        <is>
          <t>TK</t>
        </is>
      </c>
      <c r="H661" t="inlineStr">
        <is>
          <t>Angio-TK, tętnice szyjne</t>
        </is>
      </c>
      <c r="I661" t="inlineStr">
        <is>
          <t>TK Angiografia</t>
        </is>
      </c>
      <c r="J661" t="inlineStr">
        <is>
          <t>1 okolica anatomiczna</t>
        </is>
      </c>
      <c r="K661" t="inlineStr">
        <is>
          <t>Tomasz Bujalski</t>
        </is>
      </c>
      <c r="L661" t="inlineStr">
        <is>
          <t> </t>
        </is>
      </c>
      <c r="M661" t="inlineStr">
        <is>
          <t>UNIWERSYTECKI SZPITAL KLINICZNY W BIAŁYMSTOKU</t>
        </is>
      </c>
      <c r="N661" t="inlineStr">
        <is>
          <t>Klinika Kardiologii, Lipidologii i Chorób Wewnętrznych z OINK (Żurawia)</t>
        </is>
      </c>
      <c r="O661" t="inlineStr">
        <is>
          <t>MARYIA MILESHKA</t>
        </is>
      </c>
      <c r="P661" t="inlineStr">
        <is>
          <t>4650307</t>
        </is>
      </c>
      <c r="Q661" t="inlineStr">
        <is>
          <t>I50.1</t>
        </is>
      </c>
      <c r="R661" t="inlineStr">
        <is>
          <t>uskbialystok</t>
        </is>
      </c>
      <c r="S661" s="1" t="n">
        <v>46153.50486111111</v>
      </c>
      <c r="T661" t="n">
        <v>0</v>
      </c>
      <c r="U661" t="inlineStr">
        <is>
          <t>BUJALSKI TOMASZ</t>
        </is>
      </c>
    </row>
    <row r="662">
      <c r="A662" s="1" t="n">
        <v>46154</v>
      </c>
      <c r="B662" t="inlineStr">
        <is>
          <t>CN85769908</t>
        </is>
      </c>
      <c r="C662" t="inlineStr">
        <is>
          <t>KRYSTYNA MIASTKOWSKA</t>
        </is>
      </c>
      <c r="D662" t="n">
        <v>63081208448</v>
      </c>
      <c r="E662" s="1" t="n">
        <v>46151</v>
      </c>
      <c r="F662" t="inlineStr">
        <is>
          <t>Pilny</t>
        </is>
      </c>
      <c r="G662" t="inlineStr">
        <is>
          <t>TK</t>
        </is>
      </c>
      <c r="H662" t="inlineStr">
        <is>
          <t>TK, klatki piersiowej bez i ze wzmocnieniem kontrastowym</t>
        </is>
      </c>
      <c r="I662" t="inlineStr">
        <is>
          <t>TK Onkologia</t>
        </is>
      </c>
      <c r="J662" t="inlineStr">
        <is>
          <t>1 okolica anatomiczna</t>
        </is>
      </c>
      <c r="K662" t="inlineStr">
        <is>
          <t>Tomasz Bujalski</t>
        </is>
      </c>
      <c r="L662" t="inlineStr">
        <is>
          <t> </t>
        </is>
      </c>
      <c r="M662" t="inlineStr">
        <is>
          <t>UNIWERSYTECKI SZPITAL KLINICZNY W BIAŁYMSTOKU</t>
        </is>
      </c>
      <c r="N662" t="inlineStr">
        <is>
          <t>Oddział Otolaryngologii (Skłodowskiej-Curie)</t>
        </is>
      </c>
      <c r="O662" t="inlineStr">
        <is>
          <t>DANIEL RAKIEĆ</t>
        </is>
      </c>
      <c r="P662" t="inlineStr">
        <is>
          <t>4649963</t>
        </is>
      </c>
      <c r="Q662" t="inlineStr">
        <is>
          <t>C01</t>
        </is>
      </c>
      <c r="R662" t="inlineStr">
        <is>
          <t>uskbialystok</t>
        </is>
      </c>
      <c r="S662" s="1" t="n">
        <v>46153.27430555555</v>
      </c>
      <c r="T662" t="n">
        <v>0</v>
      </c>
      <c r="U662" t="inlineStr">
        <is>
          <t>BUJALSKI TOMASZ</t>
        </is>
      </c>
    </row>
    <row r="663">
      <c r="A663" s="1" t="n">
        <v>46154</v>
      </c>
      <c r="B663" t="inlineStr">
        <is>
          <t>CN85769913</t>
        </is>
      </c>
      <c r="C663" t="inlineStr">
        <is>
          <t>KRYSTYNA MIASTKOWSKA</t>
        </is>
      </c>
      <c r="D663" t="n">
        <v>63081208448</v>
      </c>
      <c r="E663" s="1" t="n">
        <v>46151</v>
      </c>
      <c r="F663" t="inlineStr">
        <is>
          <t>Pilny</t>
        </is>
      </c>
      <c r="G663" t="inlineStr">
        <is>
          <t>TK</t>
        </is>
      </c>
      <c r="H663" t="inlineStr">
        <is>
          <t>TK szyi z konrastem</t>
        </is>
      </c>
      <c r="I663" t="inlineStr">
        <is>
          <t>TK Onkologia</t>
        </is>
      </c>
      <c r="J663" t="inlineStr">
        <is>
          <t>2 okolice anatomiczne</t>
        </is>
      </c>
      <c r="K663" t="inlineStr">
        <is>
          <t>Tomasz Bujalski</t>
        </is>
      </c>
      <c r="L663" t="inlineStr">
        <is>
          <t> </t>
        </is>
      </c>
      <c r="M663" t="inlineStr">
        <is>
          <t>UNIWERSYTECKI SZPITAL KLINICZNY W BIAŁYMSTOKU</t>
        </is>
      </c>
      <c r="N663" t="inlineStr">
        <is>
          <t>Oddział Otolaryngologii (Skłodowskiej-Curie)</t>
        </is>
      </c>
      <c r="O663" t="inlineStr">
        <is>
          <t>DANIEL RAKIEĆ</t>
        </is>
      </c>
      <c r="P663" t="inlineStr">
        <is>
          <t>4649963</t>
        </is>
      </c>
      <c r="Q663" t="inlineStr">
        <is>
          <t>C01</t>
        </is>
      </c>
      <c r="R663" t="inlineStr">
        <is>
          <t>uskbialystok</t>
        </is>
      </c>
      <c r="S663" s="1" t="n">
        <v>46153.275</v>
      </c>
      <c r="T663" t="n">
        <v>0</v>
      </c>
      <c r="U663" t="inlineStr">
        <is>
          <t>BUJALSKI TOMASZ</t>
        </is>
      </c>
    </row>
    <row r="664">
      <c r="A664" s="1" t="n">
        <v>46155</v>
      </c>
      <c r="B664" t="inlineStr">
        <is>
          <t>CN85942188</t>
        </is>
      </c>
      <c r="C664" t="inlineStr">
        <is>
          <t>MAREK BUDZANOWSKI</t>
        </is>
      </c>
      <c r="D664" t="n">
        <v>53030119138</v>
      </c>
      <c r="E664" s="1" t="n">
        <v>46155</v>
      </c>
      <c r="F664" t="inlineStr">
        <is>
          <t>CITO-CITO</t>
        </is>
      </c>
      <c r="G664" t="inlineStr">
        <is>
          <t>TK</t>
        </is>
      </c>
      <c r="H664" t="inlineStr">
        <is>
          <t>Angio-TK, jama brzuszna, miednica mniejsza</t>
        </is>
      </c>
      <c r="I664" t="inlineStr">
        <is>
          <t>TK Onkologia</t>
        </is>
      </c>
      <c r="J664" t="inlineStr">
        <is>
          <t>2 okolice anatomiczne</t>
        </is>
      </c>
      <c r="K664" t="inlineStr">
        <is>
          <t>Tomasz Bujalski</t>
        </is>
      </c>
      <c r="L664" t="inlineStr">
        <is>
          <t> </t>
        </is>
      </c>
      <c r="M664" t="inlineStr">
        <is>
          <t>UNIWERSYTECKI SZPITAL KLINICZNY W BIAŁYMSTOKU</t>
        </is>
      </c>
      <c r="N664" t="inlineStr">
        <is>
          <t>Oddział Endokrynologii, Diabetologii i Chorób Wewnętrznych (S-C)</t>
        </is>
      </c>
      <c r="O664" t="inlineStr">
        <is>
          <t>PAULINA KOSSAKOWSKA-MALINOWSKA</t>
        </is>
      </c>
      <c r="P664" t="inlineStr">
        <is>
          <t>3708135</t>
        </is>
      </c>
      <c r="Q664" t="inlineStr">
        <is>
          <t> </t>
        </is>
      </c>
      <c r="R664" t="inlineStr">
        <is>
          <t>uskbialystok</t>
        </is>
      </c>
      <c r="S664" s="1" t="n">
        <v>46155.59444444445</v>
      </c>
      <c r="T664" t="n">
        <v>0</v>
      </c>
      <c r="U664" t="inlineStr">
        <is>
          <t>BUJALSKI TOMASZ</t>
        </is>
      </c>
    </row>
    <row r="665">
      <c r="A665" s="1" t="n">
        <v>46155</v>
      </c>
      <c r="B665" t="inlineStr">
        <is>
          <t>CN85968488</t>
        </is>
      </c>
      <c r="C665" t="inlineStr">
        <is>
          <t>JERZY ONISZCZUK</t>
        </is>
      </c>
      <c r="D665" t="n">
        <v>53042911395</v>
      </c>
      <c r="E665" s="1" t="n">
        <v>46155</v>
      </c>
      <c r="F665" t="inlineStr">
        <is>
          <t>CITO-CITO</t>
        </is>
      </c>
      <c r="G665" t="inlineStr">
        <is>
          <t>TK</t>
        </is>
      </c>
      <c r="H665" t="inlineStr">
        <is>
          <t>Angio-TK, jama brzuszna, miednica mniejsza</t>
        </is>
      </c>
      <c r="I665" t="inlineStr">
        <is>
          <t>TK Angiografia</t>
        </is>
      </c>
      <c r="J665" t="inlineStr">
        <is>
          <t>2 okolice anatomiczne</t>
        </is>
      </c>
      <c r="K665" t="inlineStr">
        <is>
          <t>Tomasz Bujalski</t>
        </is>
      </c>
      <c r="L665" t="inlineStr">
        <is>
          <t> </t>
        </is>
      </c>
      <c r="M665" t="inlineStr">
        <is>
          <t>UNIWERSYTECKI SZPITAL KLINICZNY W BIAŁYMSTOKU</t>
        </is>
      </c>
      <c r="N665" t="inlineStr">
        <is>
          <t>Oddział Chorób Wewnętrznych i Chorób Metabolicznych</t>
        </is>
      </c>
      <c r="O665" t="inlineStr">
        <is>
          <t>NATALIA ROMAŃCZUK-OSENKA</t>
        </is>
      </c>
      <c r="P665" t="inlineStr">
        <is>
          <t>4184715</t>
        </is>
      </c>
      <c r="Q665" t="inlineStr">
        <is>
          <t>K55.0</t>
        </is>
      </c>
      <c r="R665" t="inlineStr">
        <is>
          <t>uskbialystok</t>
        </is>
      </c>
      <c r="S665" s="1" t="n">
        <v>46155.66875</v>
      </c>
      <c r="T665" t="n">
        <v>0</v>
      </c>
      <c r="U665" t="inlineStr">
        <is>
          <t>BUJALSKI TOMASZ</t>
        </is>
      </c>
    </row>
    <row r="666">
      <c r="A666" s="1" t="n">
        <v>46156</v>
      </c>
      <c r="B666" t="inlineStr">
        <is>
          <t>CN85888986</t>
        </is>
      </c>
      <c r="C666" t="inlineStr">
        <is>
          <t>KAMIL ZASTOCKI</t>
        </is>
      </c>
      <c r="D666" t="n">
        <v>91071604734</v>
      </c>
      <c r="E666" s="1" t="n">
        <v>46155</v>
      </c>
      <c r="F666" t="inlineStr">
        <is>
          <t>Pilny</t>
        </is>
      </c>
      <c r="G666" t="inlineStr">
        <is>
          <t>TK</t>
        </is>
      </c>
      <c r="H666" t="inlineStr">
        <is>
          <t>Angio-TK, głowa</t>
        </is>
      </c>
      <c r="I666" t="inlineStr">
        <is>
          <t>TK Angiografia</t>
        </is>
      </c>
      <c r="J666" t="inlineStr">
        <is>
          <t>2 okolice anatomiczne</t>
        </is>
      </c>
      <c r="K666" t="inlineStr">
        <is>
          <t>Tomasz Bujalski</t>
        </is>
      </c>
      <c r="L666" t="inlineStr">
        <is>
          <t> </t>
        </is>
      </c>
      <c r="M666" t="inlineStr">
        <is>
          <t>UNIWERSYTECKI SZPITAL KLINICZNY W BIAŁYMSTOKU</t>
        </is>
      </c>
      <c r="N666" t="inlineStr">
        <is>
          <t>Klinika Hematologii, Chorób Wewnętrznych i Angiologii z Pododdziałem Transplantacji Komórek Krwiotwórczych (SC)</t>
        </is>
      </c>
      <c r="O666" t="inlineStr">
        <is>
          <t>Ewa ŁUKSZA</t>
        </is>
      </c>
      <c r="P666" t="inlineStr">
        <is>
          <t>5199256</t>
        </is>
      </c>
      <c r="Q666" t="inlineStr">
        <is>
          <t>Z51.3</t>
        </is>
      </c>
      <c r="R666" t="inlineStr">
        <is>
          <t>uskbialystok</t>
        </is>
      </c>
      <c r="S666" s="1" t="n">
        <v>46155.72708333333</v>
      </c>
      <c r="T666" t="n">
        <v>2</v>
      </c>
      <c r="U666" t="inlineStr">
        <is>
          <t>BUJALSKI TOMASZ</t>
        </is>
      </c>
    </row>
    <row r="667">
      <c r="A667" s="1" t="n">
        <v>46156</v>
      </c>
      <c r="B667" t="inlineStr">
        <is>
          <t>CN85943879</t>
        </is>
      </c>
      <c r="C667" t="inlineStr">
        <is>
          <t>ZBIGNIEW FILIPEK</t>
        </is>
      </c>
      <c r="D667" t="n">
        <v>80050217735</v>
      </c>
      <c r="E667" s="1" t="n">
        <v>46155</v>
      </c>
      <c r="F667" t="inlineStr">
        <is>
          <t>Pilny</t>
        </is>
      </c>
      <c r="G667" t="inlineStr">
        <is>
          <t>TK</t>
        </is>
      </c>
      <c r="H667" t="inlineStr">
        <is>
          <t>TK 4-okolic ciała bez i z kontrastem (szyja, kl.p, jama brzuszna, miednica)</t>
        </is>
      </c>
      <c r="I667" t="inlineStr">
        <is>
          <t>TK Onkologia</t>
        </is>
      </c>
      <c r="J667" t="inlineStr">
        <is>
          <t>4 okolice anatomiczne</t>
        </is>
      </c>
      <c r="K667" t="inlineStr">
        <is>
          <t>Tomasz Bujalski</t>
        </is>
      </c>
      <c r="L667" t="inlineStr">
        <is>
          <t> </t>
        </is>
      </c>
      <c r="M667" t="inlineStr">
        <is>
          <t>UNIWERSYTECKI SZPITAL KLINICZNY W BIAŁYMSTOKU</t>
        </is>
      </c>
      <c r="N667" t="inlineStr">
        <is>
          <t>Oddział Reumatologii i Chorób Wewnętrznych (Skłodowskiej-Curie)</t>
        </is>
      </c>
      <c r="O667" t="inlineStr">
        <is>
          <t>SYLWIA ZDUN</t>
        </is>
      </c>
      <c r="P667" t="inlineStr">
        <is>
          <t>4002062</t>
        </is>
      </c>
      <c r="Q667" t="inlineStr">
        <is>
          <t> </t>
        </is>
      </c>
      <c r="R667" t="inlineStr">
        <is>
          <t>uskbialystok</t>
        </is>
      </c>
      <c r="S667" s="1" t="n">
        <v>46155.79097222222</v>
      </c>
      <c r="T667" t="n">
        <v>0</v>
      </c>
      <c r="U667" t="inlineStr">
        <is>
          <t>BUJALSKI TOMASZ</t>
        </is>
      </c>
    </row>
    <row r="668">
      <c r="A668" s="1" t="n">
        <v>46159</v>
      </c>
      <c r="B668" t="inlineStr">
        <is>
          <t>CN86036818</t>
        </is>
      </c>
      <c r="C668" t="inlineStr">
        <is>
          <t>ANTONI GOŁĘBIEWSKI</t>
        </is>
      </c>
      <c r="D668" t="n">
        <v>55061307577</v>
      </c>
      <c r="E668" s="1" t="n">
        <v>46158</v>
      </c>
      <c r="F668" t="inlineStr">
        <is>
          <t>Pilny</t>
        </is>
      </c>
      <c r="G668" t="inlineStr">
        <is>
          <t>TK</t>
        </is>
      </c>
      <c r="H668" t="inlineStr">
        <is>
          <t>TK, jamy brzusznej i miednicy bez i ze wzmocnieniem kontrastowym</t>
        </is>
      </c>
      <c r="I668" t="inlineStr">
        <is>
          <t>TK Onkologia</t>
        </is>
      </c>
      <c r="J668" t="inlineStr">
        <is>
          <t>2 okolice anatomiczne</t>
        </is>
      </c>
      <c r="K668" t="inlineStr">
        <is>
          <t>Tomasz Bujalski</t>
        </is>
      </c>
      <c r="L668" t="inlineStr">
        <is>
          <t> </t>
        </is>
      </c>
      <c r="M668" t="inlineStr">
        <is>
          <t>UNIWERSYTECKI SZPITAL KLINICZNY W BIAŁYMSTOKU</t>
        </is>
      </c>
      <c r="N668" t="inlineStr">
        <is>
          <t>Oddział Neurochirurgii (Skłodowskiej-Curie)</t>
        </is>
      </c>
      <c r="O668" t="inlineStr">
        <is>
          <t>MIKOŁAJ KRUPA</t>
        </is>
      </c>
      <c r="P668" t="inlineStr">
        <is>
          <t>4537867</t>
        </is>
      </c>
      <c r="Q668" t="inlineStr">
        <is>
          <t>D47.9</t>
        </is>
      </c>
      <c r="R668" t="inlineStr">
        <is>
          <t>uskbialystok</t>
        </is>
      </c>
      <c r="S668" s="1" t="n">
        <v>46158.62638888889</v>
      </c>
      <c r="T668" t="n">
        <v>0</v>
      </c>
      <c r="U668" t="inlineStr">
        <is>
          <t>BUJALSKI TOMASZ</t>
        </is>
      </c>
    </row>
    <row r="669">
      <c r="A669" s="1" t="n">
        <v>46159</v>
      </c>
      <c r="B669" t="inlineStr">
        <is>
          <t>CN86036819</t>
        </is>
      </c>
      <c r="C669" t="inlineStr">
        <is>
          <t>ANTONI GOŁĘBIEWSKI</t>
        </is>
      </c>
      <c r="D669" t="n">
        <v>55061307577</v>
      </c>
      <c r="E669" s="1" t="n">
        <v>46158</v>
      </c>
      <c r="F669" t="inlineStr">
        <is>
          <t>Pilny</t>
        </is>
      </c>
      <c r="G669" t="inlineStr">
        <is>
          <t>TK</t>
        </is>
      </c>
      <c r="H669" t="inlineStr">
        <is>
          <t>TK, klatki piersiowej bez i ze wzmocnieniem kontrastowym</t>
        </is>
      </c>
      <c r="I669" t="inlineStr">
        <is>
          <t>TK Onkologia</t>
        </is>
      </c>
      <c r="J669" t="inlineStr">
        <is>
          <t>1 okolica anatomiczna</t>
        </is>
      </c>
      <c r="K669" t="inlineStr">
        <is>
          <t>Tomasz Bujalski</t>
        </is>
      </c>
      <c r="L669" t="inlineStr">
        <is>
          <t> </t>
        </is>
      </c>
      <c r="M669" t="inlineStr">
        <is>
          <t>UNIWERSYTECKI SZPITAL KLINICZNY W BIAŁYMSTOKU</t>
        </is>
      </c>
      <c r="N669" t="inlineStr">
        <is>
          <t>Oddział Neurochirurgii (Skłodowskiej-Curie)</t>
        </is>
      </c>
      <c r="O669" t="inlineStr">
        <is>
          <t>MIKOŁAJ KRUPA</t>
        </is>
      </c>
      <c r="P669" t="inlineStr">
        <is>
          <t>4537867</t>
        </is>
      </c>
      <c r="Q669" t="inlineStr">
        <is>
          <t>D47.9</t>
        </is>
      </c>
      <c r="R669" t="inlineStr">
        <is>
          <t>uskbialystok</t>
        </is>
      </c>
      <c r="S669" s="1" t="n">
        <v>46158.62569444445</v>
      </c>
      <c r="T669" t="n">
        <v>0</v>
      </c>
      <c r="U669" t="inlineStr">
        <is>
          <t>BUJALSKI TOMASZ</t>
        </is>
      </c>
    </row>
    <row r="670">
      <c r="A670" s="1" t="n">
        <v>46160</v>
      </c>
      <c r="B670" t="inlineStr">
        <is>
          <t>CN86114872</t>
        </is>
      </c>
      <c r="C670" t="inlineStr">
        <is>
          <t>JERZY FIEDORUK</t>
        </is>
      </c>
      <c r="D670" t="n">
        <v>56022602759</v>
      </c>
      <c r="E670" s="1" t="n">
        <v>46160</v>
      </c>
      <c r="F670" t="inlineStr">
        <is>
          <t>CITO-CITO</t>
        </is>
      </c>
      <c r="G670" t="inlineStr">
        <is>
          <t>TK</t>
        </is>
      </c>
      <c r="H670" t="inlineStr">
        <is>
          <t>TK, głowy bez i ze wzmocnieniem kontrastowym</t>
        </is>
      </c>
      <c r="I670" t="inlineStr">
        <is>
          <t>TK Zwykłe</t>
        </is>
      </c>
      <c r="J670" t="inlineStr">
        <is>
          <t>1 okolica anatomiczna</t>
        </is>
      </c>
      <c r="K670" t="inlineStr">
        <is>
          <t>Tomasz Bujalski</t>
        </is>
      </c>
      <c r="L670" t="inlineStr">
        <is>
          <t> </t>
        </is>
      </c>
      <c r="M670" t="inlineStr">
        <is>
          <t>UNIWERSYTECKI SZPITAL KLINICZNY W BIAŁYMSTOKU</t>
        </is>
      </c>
      <c r="N670" t="inlineStr">
        <is>
          <t>Klinika Hematologii, Chorób Wewnętrznych i Angiologii z Pododdziałem Transplantacji Komórek Krwiotwórczych (SC)</t>
        </is>
      </c>
      <c r="O670" t="inlineStr">
        <is>
          <t>Katarzyna GODLEWSKA</t>
        </is>
      </c>
      <c r="P670" t="inlineStr">
        <is>
          <t>3127075</t>
        </is>
      </c>
      <c r="Q670" t="inlineStr">
        <is>
          <t>C92.0</t>
        </is>
      </c>
      <c r="R670" t="inlineStr">
        <is>
          <t>uskbialystok</t>
        </is>
      </c>
      <c r="S670" s="1" t="n">
        <v>46160.64513888889</v>
      </c>
      <c r="T670" t="n">
        <v>1</v>
      </c>
      <c r="U670" t="inlineStr">
        <is>
          <t>BUJALSKI TOMASZ</t>
        </is>
      </c>
    </row>
    <row r="671">
      <c r="A671" s="1" t="n">
        <v>46161</v>
      </c>
      <c r="B671" t="inlineStr">
        <is>
          <t>CN85664548</t>
        </is>
      </c>
      <c r="C671" t="inlineStr">
        <is>
          <t>ALBIN PATRZYKĄT</t>
        </is>
      </c>
      <c r="D671" t="n">
        <v>43102406415</v>
      </c>
      <c r="E671" s="1" t="n">
        <v>46148</v>
      </c>
      <c r="F671" t="inlineStr">
        <is>
          <t>Planowy</t>
        </is>
      </c>
      <c r="G671" t="inlineStr">
        <is>
          <t>TK</t>
        </is>
      </c>
      <c r="H671" t="inlineStr">
        <is>
          <t>TK, jamy brzusznej i miednicy bez i ze wzmocnieniem kontrastowym</t>
        </is>
      </c>
      <c r="I671" t="inlineStr">
        <is>
          <t>TK Zwykłe</t>
        </is>
      </c>
      <c r="J671" t="inlineStr">
        <is>
          <t>2 okolice anatomiczne</t>
        </is>
      </c>
      <c r="K671" t="inlineStr">
        <is>
          <t>Tomasz Bujalski</t>
        </is>
      </c>
      <c r="L671" t="inlineStr">
        <is>
          <t> </t>
        </is>
      </c>
      <c r="M671" t="inlineStr">
        <is>
          <t>UNIWERSYTECKI SZPITAL KLINICZNY W BIAŁYMSTOKU</t>
        </is>
      </c>
      <c r="N671" t="inlineStr">
        <is>
          <t>Klinika Hematologii, Chorób Wewnętrznych i Angiologii z Pododdziałem Transplantacji Komórek Krwiotwórczych (SC)</t>
        </is>
      </c>
      <c r="O671" t="inlineStr">
        <is>
          <t>PAWEŁ BERNATOWICZ</t>
        </is>
      </c>
      <c r="P671" t="inlineStr">
        <is>
          <t>2757163</t>
        </is>
      </c>
      <c r="Q671" t="inlineStr">
        <is>
          <t>C90.0</t>
        </is>
      </c>
      <c r="R671" t="inlineStr">
        <is>
          <t>uskbialystok</t>
        </is>
      </c>
      <c r="S671" s="1" t="n">
        <v>46157.45416666667</v>
      </c>
      <c r="T671" t="n">
        <v>2</v>
      </c>
      <c r="U671" t="inlineStr">
        <is>
          <t>BUJALSKI TOMASZ</t>
        </is>
      </c>
    </row>
    <row r="672">
      <c r="A672" s="1" t="n">
        <v>46161</v>
      </c>
      <c r="B672" t="inlineStr">
        <is>
          <t>CN86114286</t>
        </is>
      </c>
      <c r="C672" t="inlineStr">
        <is>
          <t>MARZENA SOKOŁOWSKA</t>
        </is>
      </c>
      <c r="D672" t="n">
        <v>69080407840</v>
      </c>
      <c r="E672" s="1" t="n">
        <v>46161</v>
      </c>
      <c r="F672" t="inlineStr">
        <is>
          <t>Pilny</t>
        </is>
      </c>
      <c r="G672" t="inlineStr">
        <is>
          <t>TK</t>
        </is>
      </c>
      <c r="H672" t="inlineStr">
        <is>
          <t>TK, odcinek lędźwiowy kręgosłupa bez wzmocnienia kontrastowego</t>
        </is>
      </c>
      <c r="I672" t="inlineStr">
        <is>
          <t>TK Zwykłe</t>
        </is>
      </c>
      <c r="J672" t="inlineStr">
        <is>
          <t>2 okolice anatomiczne</t>
        </is>
      </c>
      <c r="K672" t="inlineStr">
        <is>
          <t>Tomasz Bujalski</t>
        </is>
      </c>
      <c r="L672" t="inlineStr">
        <is>
          <t> </t>
        </is>
      </c>
      <c r="M672" t="inlineStr">
        <is>
          <t>UNIWERSYTECKI SZPITAL KLINICZNY W BIAŁYMSTOKU</t>
        </is>
      </c>
      <c r="N672" t="inlineStr">
        <is>
          <t>Oddział Neurochirurgii (Skłodowskiej-Curie)</t>
        </is>
      </c>
      <c r="O672" t="inlineStr">
        <is>
          <t>Kacper PROKOP</t>
        </is>
      </c>
      <c r="P672" t="inlineStr">
        <is>
          <t>4538780</t>
        </is>
      </c>
      <c r="Q672" t="inlineStr">
        <is>
          <t>M51.3</t>
        </is>
      </c>
      <c r="R672" t="inlineStr">
        <is>
          <t>uskbialystok</t>
        </is>
      </c>
      <c r="S672" s="1" t="n">
        <v>46161.29444444444</v>
      </c>
      <c r="T672" t="n">
        <v>0</v>
      </c>
      <c r="U672" t="inlineStr">
        <is>
          <t>BUJALSKI TOMASZ</t>
        </is>
      </c>
    </row>
    <row r="673">
      <c r="A673" s="1" t="n">
        <v>46161</v>
      </c>
      <c r="B673" t="inlineStr">
        <is>
          <t>CN86127255</t>
        </is>
      </c>
      <c r="C673" t="inlineStr">
        <is>
          <t>BARTOSZ GUSTAK</t>
        </is>
      </c>
      <c r="D673" t="n">
        <v>72120100771</v>
      </c>
      <c r="E673" s="1" t="n">
        <v>46161</v>
      </c>
      <c r="F673" t="inlineStr">
        <is>
          <t>CITO-CITO</t>
        </is>
      </c>
      <c r="G673" t="inlineStr">
        <is>
          <t>TK</t>
        </is>
      </c>
      <c r="H673" t="inlineStr">
        <is>
          <t>TK, kręgosłup szyjny, bez wzmocnienia kontrastowego</t>
        </is>
      </c>
      <c r="I673" t="inlineStr">
        <is>
          <t>TK Zwykłe</t>
        </is>
      </c>
      <c r="J673" t="inlineStr">
        <is>
          <t>1 okolica anatomiczna</t>
        </is>
      </c>
      <c r="K673" t="inlineStr">
        <is>
          <t>Tomasz Bujalski</t>
        </is>
      </c>
      <c r="L673" t="inlineStr">
        <is>
          <t> </t>
        </is>
      </c>
      <c r="M673" t="inlineStr">
        <is>
          <t>UNIWERSYTECKI SZPITAL KLINICZNY W BIAŁYMSTOKU</t>
        </is>
      </c>
      <c r="N673" t="inlineStr">
        <is>
          <t>Oddział Neurochirurgii (Skłodowskiej-Curie)</t>
        </is>
      </c>
      <c r="O673" t="inlineStr">
        <is>
          <t>Kacper PROKOP</t>
        </is>
      </c>
      <c r="P673" t="inlineStr">
        <is>
          <t>4538780</t>
        </is>
      </c>
      <c r="Q673" t="inlineStr">
        <is>
          <t>M51</t>
        </is>
      </c>
      <c r="R673" t="inlineStr">
        <is>
          <t>uskbialystok</t>
        </is>
      </c>
      <c r="S673" s="1" t="n">
        <v>46161.29375</v>
      </c>
      <c r="T673" t="n">
        <v>0</v>
      </c>
      <c r="U673" t="inlineStr">
        <is>
          <t>BUJALSKI TOMASZ</t>
        </is>
      </c>
    </row>
    <row r="674">
      <c r="A674" s="1" t="n">
        <v>46162</v>
      </c>
      <c r="B674" t="inlineStr">
        <is>
          <t>CN86199551</t>
        </is>
      </c>
      <c r="C674" t="inlineStr">
        <is>
          <t>BARBARA PONIATOWSKA</t>
        </is>
      </c>
      <c r="D674" t="n">
        <v>60052915206</v>
      </c>
      <c r="E674" s="1" t="n">
        <v>46162</v>
      </c>
      <c r="F674" t="inlineStr">
        <is>
          <t>CITO-CITO</t>
        </is>
      </c>
      <c r="G674" t="inlineStr">
        <is>
          <t>TK</t>
        </is>
      </c>
      <c r="H674" t="inlineStr">
        <is>
          <t>TK, głowy bez i ze wzmocnieniem kontrastowym</t>
        </is>
      </c>
      <c r="I674" t="inlineStr">
        <is>
          <t>TK Zwykłe</t>
        </is>
      </c>
      <c r="J674" t="inlineStr">
        <is>
          <t>1 okolica anatomiczna</t>
        </is>
      </c>
      <c r="K674" t="inlineStr">
        <is>
          <t>Tomasz Bujalski</t>
        </is>
      </c>
      <c r="L674" t="inlineStr">
        <is>
          <t> </t>
        </is>
      </c>
      <c r="M674" t="inlineStr">
        <is>
          <t>UNIWERSYTECKI SZPITAL KLINICZNY W BIAŁYMSTOKU</t>
        </is>
      </c>
      <c r="N674" t="inlineStr">
        <is>
          <t>Oddział Chirurgii Klatki Piersiowej (Skłodowskiej-Curie)</t>
        </is>
      </c>
      <c r="O674" t="inlineStr">
        <is>
          <t>WOJCIECH LAUDAŃSKI</t>
        </is>
      </c>
      <c r="P674" t="inlineStr">
        <is>
          <t>1582139</t>
        </is>
      </c>
      <c r="Q674" t="inlineStr">
        <is>
          <t>C34</t>
        </is>
      </c>
      <c r="R674" t="inlineStr">
        <is>
          <t>uskbialystok</t>
        </is>
      </c>
      <c r="S674" s="1" t="n">
        <v>46162.70069444444</v>
      </c>
      <c r="T674" t="n">
        <v>0</v>
      </c>
      <c r="U674" t="inlineStr">
        <is>
          <t>BUJALSKI TOMASZ</t>
        </is>
      </c>
    </row>
    <row r="675">
      <c r="A675" s="1" t="n">
        <v>46163</v>
      </c>
      <c r="B675" t="inlineStr">
        <is>
          <t>CN86097347</t>
        </is>
      </c>
      <c r="C675" t="inlineStr">
        <is>
          <t>WŁADYSŁAWA KUTNIK</t>
        </is>
      </c>
      <c r="D675" t="n">
        <v>44010907760</v>
      </c>
      <c r="E675" s="1" t="n">
        <v>46161</v>
      </c>
      <c r="F675" t="inlineStr">
        <is>
          <t>Pilny</t>
        </is>
      </c>
      <c r="G675" t="inlineStr">
        <is>
          <t>TK</t>
        </is>
      </c>
      <c r="H675" t="inlineStr">
        <is>
          <t>TK, klatki piersiowej bez i ze wzmocnieniem kontrastowym</t>
        </is>
      </c>
      <c r="I675" t="inlineStr">
        <is>
          <t>TK Zwykłe</t>
        </is>
      </c>
      <c r="J675" t="inlineStr">
        <is>
          <t>1 okolica anatomiczna</t>
        </is>
      </c>
      <c r="K675" t="inlineStr">
        <is>
          <t>Tomasz Bujalski</t>
        </is>
      </c>
      <c r="L675" t="inlineStr">
        <is>
          <t> </t>
        </is>
      </c>
      <c r="M675" t="inlineStr">
        <is>
          <t>UNIWERSYTECKI SZPITAL KLINICZNY W BIAŁYMSTOKU</t>
        </is>
      </c>
      <c r="N675" t="inlineStr">
        <is>
          <t>Oddział Alergologii i Chorób Wewnętrznych (Skłodowskiej-Curie)</t>
        </is>
      </c>
      <c r="O675" t="inlineStr">
        <is>
          <t>TOMASZ KISIEL</t>
        </is>
      </c>
      <c r="P675" t="inlineStr">
        <is>
          <t>3708021</t>
        </is>
      </c>
      <c r="Q675" t="inlineStr">
        <is>
          <t>K62.5</t>
        </is>
      </c>
      <c r="R675" t="inlineStr">
        <is>
          <t>uskbialystok</t>
        </is>
      </c>
      <c r="S675" s="1" t="n">
        <v>46162.48958333334</v>
      </c>
      <c r="T675" t="n">
        <v>1</v>
      </c>
      <c r="U675" t="inlineStr">
        <is>
          <t>BUJALSKI TOMASZ</t>
        </is>
      </c>
    </row>
    <row r="676">
      <c r="A676" s="1" t="n">
        <v>46164</v>
      </c>
      <c r="B676" t="inlineStr">
        <is>
          <t>CN85875404</t>
        </is>
      </c>
      <c r="C676" t="inlineStr">
        <is>
          <t>GRAŻYNA JAWOROWSKA</t>
        </is>
      </c>
      <c r="D676" t="n">
        <v>62121512064</v>
      </c>
      <c r="E676" s="1" t="n">
        <v>46153</v>
      </c>
      <c r="F676" t="inlineStr">
        <is>
          <t>Planowy</t>
        </is>
      </c>
      <c r="G676" t="inlineStr">
        <is>
          <t>TK</t>
        </is>
      </c>
      <c r="H676" t="inlineStr">
        <is>
          <t>TK szyi z konrastem</t>
        </is>
      </c>
      <c r="I676" t="inlineStr">
        <is>
          <t>TK Onkologia</t>
        </is>
      </c>
      <c r="J676" t="inlineStr">
        <is>
          <t>1 okolica anatomiczna</t>
        </is>
      </c>
      <c r="K676" t="inlineStr">
        <is>
          <t>Tomasz Bujalski</t>
        </is>
      </c>
      <c r="L676" t="inlineStr">
        <is>
          <t> </t>
        </is>
      </c>
      <c r="M676" t="inlineStr">
        <is>
          <t>UNIWERSYTECKI SZPITAL KLINICZNY W BIAŁYMSTOKU</t>
        </is>
      </c>
      <c r="N676" t="inlineStr">
        <is>
          <t>Oddział Otolaryngologii (Skłodowskiej-Curie)</t>
        </is>
      </c>
      <c r="O676" t="inlineStr">
        <is>
          <t>JOLANTA BISZEWSKA</t>
        </is>
      </c>
      <c r="P676" t="inlineStr">
        <is>
          <t>9196867</t>
        </is>
      </c>
      <c r="Q676" t="inlineStr">
        <is>
          <t>D38.0</t>
        </is>
      </c>
      <c r="R676" t="inlineStr">
        <is>
          <t>uskbialystok</t>
        </is>
      </c>
      <c r="S676" s="1" t="n">
        <v>46157.45555555556</v>
      </c>
      <c r="T676" t="n">
        <v>0</v>
      </c>
      <c r="U676" t="inlineStr">
        <is>
          <t>BUJALSKI TOMASZ</t>
        </is>
      </c>
    </row>
    <row r="677">
      <c r="A677" s="1" t="n">
        <v>46167</v>
      </c>
      <c r="B677" t="inlineStr">
        <is>
          <t>CN86246521</t>
        </is>
      </c>
      <c r="C677" t="inlineStr">
        <is>
          <t>HALINA JABŁOŃSKA</t>
        </is>
      </c>
      <c r="D677" t="n">
        <v>50051519280</v>
      </c>
      <c r="E677" s="1" t="n">
        <v>46163</v>
      </c>
      <c r="F677" t="inlineStr">
        <is>
          <t>Pilny</t>
        </is>
      </c>
      <c r="G677" t="inlineStr">
        <is>
          <t>TK</t>
        </is>
      </c>
      <c r="H677" t="inlineStr">
        <is>
          <t>TK szyi bez kontrastu</t>
        </is>
      </c>
      <c r="I677" t="inlineStr">
        <is>
          <t>TK Zwykłe</t>
        </is>
      </c>
      <c r="J677" t="inlineStr">
        <is>
          <t>1 okolica anatomiczna</t>
        </is>
      </c>
      <c r="K677" t="inlineStr">
        <is>
          <t>Tomasz Bujalski</t>
        </is>
      </c>
      <c r="L677" t="inlineStr">
        <is>
          <t> </t>
        </is>
      </c>
      <c r="M677" t="inlineStr">
        <is>
          <t>UNIWERSYTECKI SZPITAL KLINICZNY W BIAŁYMSTOKU</t>
        </is>
      </c>
      <c r="N677" t="inlineStr">
        <is>
          <t>I Oddział Chirurgii Ogólnej, Onkologicznej i Endokrynologicznej (SC)</t>
        </is>
      </c>
      <c r="O677" t="inlineStr">
        <is>
          <t>GABRIELA DUDA</t>
        </is>
      </c>
      <c r="P677" t="inlineStr">
        <is>
          <t>3888914</t>
        </is>
      </c>
      <c r="Q677" t="inlineStr">
        <is>
          <t>E04</t>
        </is>
      </c>
      <c r="R677" t="inlineStr">
        <is>
          <t>uskbialystok</t>
        </is>
      </c>
      <c r="S677" s="1" t="n">
        <v>46163.81736111111</v>
      </c>
      <c r="T677" t="n">
        <v>0</v>
      </c>
      <c r="U677" t="inlineStr">
        <is>
          <t>BUJALSKI TOMASZ</t>
        </is>
      </c>
    </row>
    <row r="678">
      <c r="A678" s="1" t="n">
        <v>46168</v>
      </c>
      <c r="B678" t="inlineStr">
        <is>
          <t>CN86294704</t>
        </is>
      </c>
      <c r="C678" t="inlineStr">
        <is>
          <t>ERICA D'COSTA</t>
        </is>
      </c>
      <c r="D678" t="n">
        <v>5310813229</v>
      </c>
      <c r="E678" s="1" t="n">
        <v>46168</v>
      </c>
      <c r="F678" t="inlineStr">
        <is>
          <t>Pilny</t>
        </is>
      </c>
      <c r="G678" t="inlineStr">
        <is>
          <t>TK</t>
        </is>
      </c>
      <c r="H678" t="inlineStr">
        <is>
          <t>TK, jamy brzusznej bez i ze wzmocnieniem kontrastowym</t>
        </is>
      </c>
      <c r="I678" t="inlineStr">
        <is>
          <t>TK Onkologia</t>
        </is>
      </c>
      <c r="J678" t="inlineStr">
        <is>
          <t>1 okolica anatomiczna</t>
        </is>
      </c>
      <c r="K678" t="inlineStr">
        <is>
          <t>Tomasz Bujalski</t>
        </is>
      </c>
      <c r="L678" t="inlineStr">
        <is>
          <t> </t>
        </is>
      </c>
      <c r="M678" t="inlineStr">
        <is>
          <t>UNIWERSYTECKI SZPITAL KLINICZNY W BIAŁYMSTOKU</t>
        </is>
      </c>
      <c r="N678" t="inlineStr">
        <is>
          <t>Oddział Endokrynologii, Diabetologii i Chorób Wewnętrznych (S-C)</t>
        </is>
      </c>
      <c r="O678" t="inlineStr">
        <is>
          <t>Katarzyna SOBIESKA</t>
        </is>
      </c>
      <c r="P678" t="inlineStr">
        <is>
          <t>3889540</t>
        </is>
      </c>
      <c r="Q678" t="inlineStr">
        <is>
          <t> </t>
        </is>
      </c>
      <c r="R678" t="inlineStr">
        <is>
          <t>uskbialystok</t>
        </is>
      </c>
      <c r="S678" s="1" t="n">
        <v>46168.40833333333</v>
      </c>
      <c r="T678" t="n">
        <v>0</v>
      </c>
      <c r="U678" t="inlineStr">
        <is>
          <t>BUJALSKI TOMASZ</t>
        </is>
      </c>
    </row>
    <row r="679">
      <c r="A679" s="1" t="n">
        <v>46169</v>
      </c>
      <c r="B679" t="inlineStr">
        <is>
          <t>CN86435947</t>
        </is>
      </c>
      <c r="C679" t="inlineStr">
        <is>
          <t>ALICJA POPŁAWSKA</t>
        </is>
      </c>
      <c r="D679" t="n">
        <v>49061811387</v>
      </c>
      <c r="E679" s="1" t="n">
        <v>46169</v>
      </c>
      <c r="F679" t="inlineStr">
        <is>
          <t>CITO-CITO</t>
        </is>
      </c>
      <c r="G679" t="inlineStr">
        <is>
          <t>TK</t>
        </is>
      </c>
      <c r="H679" t="inlineStr">
        <is>
          <t>TK, klatki piersiowej bez i ze wzmocnieniem kontrastowym</t>
        </is>
      </c>
      <c r="I679" t="inlineStr">
        <is>
          <t>TK Zwykłe</t>
        </is>
      </c>
      <c r="J679" t="inlineStr">
        <is>
          <t>1 okolica anatomiczna</t>
        </is>
      </c>
      <c r="K679" t="inlineStr">
        <is>
          <t>Tomasz Bujalski</t>
        </is>
      </c>
      <c r="L679" t="inlineStr">
        <is>
          <t> </t>
        </is>
      </c>
      <c r="M679" t="inlineStr">
        <is>
          <t>UNIWERSYTECKI SZPITAL KLINICZNY W BIAŁYMSTOKU</t>
        </is>
      </c>
      <c r="N679" t="inlineStr">
        <is>
          <t>Oddział Alergologii i Chorób Wewnętrznych (Skłodowskiej-Curie)</t>
        </is>
      </c>
      <c r="O679" t="inlineStr">
        <is>
          <t>MATEUSZ GROCHOWSKI</t>
        </is>
      </c>
      <c r="P679" t="inlineStr">
        <is>
          <t>3709622</t>
        </is>
      </c>
      <c r="Q679" t="inlineStr">
        <is>
          <t> </t>
        </is>
      </c>
      <c r="R679" t="inlineStr">
        <is>
          <t>uskbialystok</t>
        </is>
      </c>
      <c r="S679" s="1" t="n">
        <v>46169.65277777778</v>
      </c>
      <c r="T679" t="n">
        <v>0</v>
      </c>
      <c r="U679" t="inlineStr">
        <is>
          <t>BUJALSKI TOMASZ</t>
        </is>
      </c>
    </row>
    <row r="680">
      <c r="A680" s="1" t="n">
        <v>46170</v>
      </c>
      <c r="B680" t="inlineStr">
        <is>
          <t>CN86434524</t>
        </is>
      </c>
      <c r="C680" t="inlineStr">
        <is>
          <t>PIOTR ZWOLIŃSKI</t>
        </is>
      </c>
      <c r="D680" t="n">
        <v>62012714119</v>
      </c>
      <c r="E680" s="1" t="n">
        <v>46169</v>
      </c>
      <c r="F680" t="inlineStr">
        <is>
          <t>Pilny</t>
        </is>
      </c>
      <c r="G680" t="inlineStr">
        <is>
          <t>TK</t>
        </is>
      </c>
      <c r="H680" t="inlineStr">
        <is>
          <t>Angio-TK, głowa</t>
        </is>
      </c>
      <c r="I680" t="inlineStr">
        <is>
          <t>TK Angiografia</t>
        </is>
      </c>
      <c r="J680" t="inlineStr">
        <is>
          <t>2 okolice anatomiczne</t>
        </is>
      </c>
      <c r="K680" t="inlineStr">
        <is>
          <t>Tomasz Bujalski</t>
        </is>
      </c>
      <c r="L680" t="inlineStr">
        <is>
          <t> </t>
        </is>
      </c>
      <c r="M680" t="inlineStr">
        <is>
          <t>UNIWERSYTECKI SZPITAL KLINICZNY W BIAŁYMSTOKU</t>
        </is>
      </c>
      <c r="N680" t="inlineStr">
        <is>
          <t>Oddział Neurochirurgii (Skłodowskiej-Curie)</t>
        </is>
      </c>
      <c r="O680" t="inlineStr">
        <is>
          <t>WOJCIECH ŁEBKOWSKI</t>
        </is>
      </c>
      <c r="P680" t="inlineStr">
        <is>
          <t>1391844</t>
        </is>
      </c>
      <c r="Q680" t="inlineStr">
        <is>
          <t>I67.1</t>
        </is>
      </c>
      <c r="R680" t="inlineStr">
        <is>
          <t>uskbialystok</t>
        </is>
      </c>
      <c r="S680" s="1" t="n">
        <v>46169.83888888889</v>
      </c>
      <c r="T680" t="n">
        <v>0</v>
      </c>
      <c r="U680" t="inlineStr">
        <is>
          <t>BUJALSKI TOMASZ</t>
        </is>
      </c>
    </row>
    <row r="681">
      <c r="A681" s="1" t="n">
        <v>46170</v>
      </c>
      <c r="B681" t="inlineStr">
        <is>
          <t>CN86464177</t>
        </is>
      </c>
      <c r="C681" t="inlineStr">
        <is>
          <t>SEBASTIAN KORDYŃSKI</t>
        </is>
      </c>
      <c r="D681" t="n">
        <v>1211806050</v>
      </c>
      <c r="E681" s="1" t="n">
        <v>46169</v>
      </c>
      <c r="F681" t="inlineStr">
        <is>
          <t>Pilny</t>
        </is>
      </c>
      <c r="G681" t="inlineStr">
        <is>
          <t>TK</t>
        </is>
      </c>
      <c r="H681" t="inlineStr">
        <is>
          <t>TK, głowa, bez wzmocnienia kontrastowego</t>
        </is>
      </c>
      <c r="I681" t="inlineStr">
        <is>
          <t>TK Zwykłe</t>
        </is>
      </c>
      <c r="J681" t="inlineStr">
        <is>
          <t>1 okolica anatomiczna</t>
        </is>
      </c>
      <c r="K681" t="inlineStr">
        <is>
          <t>Tomasz Bujalski</t>
        </is>
      </c>
      <c r="L681" t="inlineStr">
        <is>
          <t> </t>
        </is>
      </c>
      <c r="M681" t="inlineStr">
        <is>
          <t>UNIWERSYTECKI SZPITAL KLINICZNY W BIAŁYMSTOKU</t>
        </is>
      </c>
      <c r="N681" t="inlineStr">
        <is>
          <t>Oddział Neurochirurgii (Skłodowskiej-Curie)</t>
        </is>
      </c>
      <c r="O681" t="inlineStr">
        <is>
          <t>MAREK JADESZKO</t>
        </is>
      </c>
      <c r="P681" t="inlineStr">
        <is>
          <t>3471902</t>
        </is>
      </c>
      <c r="Q681" t="inlineStr">
        <is>
          <t>G91.8</t>
        </is>
      </c>
      <c r="R681" t="inlineStr">
        <is>
          <t>uskbialystok</t>
        </is>
      </c>
      <c r="S681" s="1" t="n">
        <v>46169.83888888889</v>
      </c>
      <c r="T681" t="n">
        <v>0</v>
      </c>
      <c r="U681" t="inlineStr">
        <is>
          <t>BUJALSKI TOMASZ</t>
        </is>
      </c>
    </row>
    <row r="682">
      <c r="A682" s="1" t="n">
        <v>46156</v>
      </c>
      <c r="B682" t="inlineStr">
        <is>
          <t>TK/24/9454</t>
        </is>
      </c>
      <c r="C682" t="inlineStr">
        <is>
          <t>Mariusz Krupa</t>
        </is>
      </c>
      <c r="D682" t="inlineStr">
        <is>
          <t>74090806873</t>
        </is>
      </c>
      <c r="E682" s="1" t="n">
        <v>46156</v>
      </c>
      <c r="F682" t="inlineStr">
        <is>
          <t>CITO-CITO</t>
        </is>
      </c>
      <c r="G682" t="inlineStr">
        <is>
          <t>TK</t>
        </is>
      </c>
      <c r="H682" t="inlineStr">
        <is>
          <t>TK jamy brzusznej i miednicy małej z kontrastem</t>
        </is>
      </c>
      <c r="I682" t="inlineStr">
        <is>
          <t>TK Zwykłe</t>
        </is>
      </c>
      <c r="J682" t="inlineStr">
        <is>
          <t>2 okolice anatomiczne</t>
        </is>
      </c>
      <c r="K682" t="inlineStr">
        <is>
          <t>Tomasz Bujalski</t>
        </is>
      </c>
      <c r="L682" t="inlineStr">
        <is>
          <t> </t>
        </is>
      </c>
      <c r="M682" t="inlineStr">
        <is>
          <t>UNIWERSYTECKI SZPITAL KLINICZNY W POZNANIU</t>
        </is>
      </c>
      <c r="N682" t="inlineStr">
        <is>
          <t>Szpitalny Oddział Ratunkowy</t>
        </is>
      </c>
      <c r="O682" t="inlineStr">
        <is>
          <t>Sebastian Rauhut</t>
        </is>
      </c>
      <c r="P682" t="inlineStr">
        <is>
          <t>4354241</t>
        </is>
      </c>
      <c r="Q682" t="inlineStr">
        <is>
          <t> </t>
        </is>
      </c>
      <c r="R682" t="inlineStr">
        <is>
          <t>uskpoznan</t>
        </is>
      </c>
      <c r="S682" s="1" t="n">
        <v>46156.29861111111</v>
      </c>
      <c r="T682" t="n">
        <v>0</v>
      </c>
      <c r="U682" t="inlineStr">
        <is>
          <t>BUJALSKI TOMASZ</t>
        </is>
      </c>
    </row>
    <row r="683">
      <c r="A683" s="1" t="n">
        <v>46156</v>
      </c>
      <c r="B683" t="inlineStr">
        <is>
          <t>TK/26/10165</t>
        </is>
      </c>
      <c r="C683" t="inlineStr">
        <is>
          <t>Ryszard Głowiński</t>
        </is>
      </c>
      <c r="D683" t="inlineStr">
        <is>
          <t>49031410231</t>
        </is>
      </c>
      <c r="E683" s="1" t="n">
        <v>46156</v>
      </c>
      <c r="F683" t="inlineStr">
        <is>
          <t>CITO-UDAR</t>
        </is>
      </c>
      <c r="G683" t="inlineStr">
        <is>
          <t>TK</t>
        </is>
      </c>
      <c r="H683" t="inlineStr">
        <is>
          <t>TK angiografia głowy i szyi</t>
        </is>
      </c>
      <c r="I683" t="inlineStr">
        <is>
          <t>TK Angiografia</t>
        </is>
      </c>
      <c r="J683" t="inlineStr">
        <is>
          <t>2 okolice anatomiczne</t>
        </is>
      </c>
      <c r="K683" t="inlineStr">
        <is>
          <t>Tomasz Bujalski</t>
        </is>
      </c>
      <c r="L683" t="inlineStr">
        <is>
          <t> </t>
        </is>
      </c>
      <c r="M683" t="inlineStr">
        <is>
          <t>UNIWERSYTECKI SZPITAL KLINICZNY W POZNANIU</t>
        </is>
      </c>
      <c r="N683" t="inlineStr">
        <is>
          <t>O. Chir. Ogólnej i Transpl. 2</t>
        </is>
      </c>
      <c r="O683" t="inlineStr">
        <is>
          <t>Tadeusz Rajczyk</t>
        </is>
      </c>
      <c r="P683" t="inlineStr">
        <is>
          <t>4048775</t>
        </is>
      </c>
      <c r="Q683" t="inlineStr">
        <is>
          <t>C16.9</t>
        </is>
      </c>
      <c r="R683" t="inlineStr">
        <is>
          <t>uskpoznan</t>
        </is>
      </c>
      <c r="S683" s="1" t="n">
        <v>46156.20277777778</v>
      </c>
      <c r="T683" t="n">
        <v>0</v>
      </c>
      <c r="U683" t="inlineStr">
        <is>
          <t>BUJALSKI TOMASZ</t>
        </is>
      </c>
    </row>
    <row r="684">
      <c r="A684" s="1" t="n">
        <v>46156</v>
      </c>
      <c r="B684" t="inlineStr">
        <is>
          <t>TK/26/10166</t>
        </is>
      </c>
      <c r="C684" t="inlineStr">
        <is>
          <t>Ryszard Głowiński</t>
        </is>
      </c>
      <c r="D684" t="inlineStr">
        <is>
          <t>49031410231</t>
        </is>
      </c>
      <c r="E684" s="1" t="n">
        <v>46156</v>
      </c>
      <c r="F684" t="inlineStr">
        <is>
          <t>CITO-UDAR</t>
        </is>
      </c>
      <c r="G684" t="inlineStr">
        <is>
          <t>TK</t>
        </is>
      </c>
      <c r="H684" t="inlineStr">
        <is>
          <t>TK głowy (mózgowia) bez kontrastu</t>
        </is>
      </c>
      <c r="I684" t="inlineStr">
        <is>
          <t>TK Angiografia</t>
        </is>
      </c>
      <c r="J684" t="inlineStr">
        <is>
          <t>1 okolica anatomiczna</t>
        </is>
      </c>
      <c r="K684" t="inlineStr">
        <is>
          <t>Tomasz Bujalski</t>
        </is>
      </c>
      <c r="L684" t="inlineStr">
        <is>
          <t> </t>
        </is>
      </c>
      <c r="M684" t="inlineStr">
        <is>
          <t>UNIWERSYTECKI SZPITAL KLINICZNY W POZNANIU</t>
        </is>
      </c>
      <c r="N684" t="inlineStr">
        <is>
          <t>O. Chir. Ogólnej i Transpl. 2</t>
        </is>
      </c>
      <c r="O684" t="inlineStr">
        <is>
          <t>Tadeusz Rajczyk</t>
        </is>
      </c>
      <c r="P684" t="inlineStr">
        <is>
          <t>4048775</t>
        </is>
      </c>
      <c r="Q684" t="inlineStr">
        <is>
          <t>C16.9</t>
        </is>
      </c>
      <c r="R684" t="inlineStr">
        <is>
          <t>uskpoznan</t>
        </is>
      </c>
      <c r="S684" s="1" t="n">
        <v>46156.20138888889</v>
      </c>
      <c r="T684" t="n">
        <v>1</v>
      </c>
      <c r="U684" t="inlineStr">
        <is>
          <t>BUJALSKI TOMASZ</t>
        </is>
      </c>
    </row>
    <row r="685">
      <c r="A685" s="1" t="n">
        <v>46158</v>
      </c>
      <c r="B685" t="inlineStr">
        <is>
          <t>TK/26/10345</t>
        </is>
      </c>
      <c r="C685" t="inlineStr">
        <is>
          <t>Anita Sikora</t>
        </is>
      </c>
      <c r="D685" t="inlineStr">
        <is>
          <t>75011908467</t>
        </is>
      </c>
      <c r="E685" s="1" t="n">
        <v>46158</v>
      </c>
      <c r="F685" t="inlineStr">
        <is>
          <t>CITO-CITO</t>
        </is>
      </c>
      <c r="G685" t="inlineStr">
        <is>
          <t>TK</t>
        </is>
      </c>
      <c r="H685" t="inlineStr">
        <is>
          <t>TK głowy (mózgowia) bez kontrastu</t>
        </is>
      </c>
      <c r="I685" t="inlineStr">
        <is>
          <t>TK Angiografia</t>
        </is>
      </c>
      <c r="J685" t="inlineStr">
        <is>
          <t>1 okolica anatomiczna</t>
        </is>
      </c>
      <c r="K685" t="inlineStr">
        <is>
          <t>Tomasz Bujalski</t>
        </is>
      </c>
      <c r="L685" t="inlineStr">
        <is>
          <t> </t>
        </is>
      </c>
      <c r="M685" t="inlineStr">
        <is>
          <t> </t>
        </is>
      </c>
      <c r="N685" t="inlineStr">
        <is>
          <t> </t>
        </is>
      </c>
      <c r="O685" t="inlineStr">
        <is>
          <t>Karolina Wieromiej</t>
        </is>
      </c>
      <c r="P685" t="inlineStr">
        <is>
          <t>4350107</t>
        </is>
      </c>
      <c r="Q685" t="inlineStr">
        <is>
          <t> </t>
        </is>
      </c>
      <c r="R685" t="inlineStr">
        <is>
          <t>uskpoznan</t>
        </is>
      </c>
      <c r="S685" s="1" t="n">
        <v>46158.56666666667</v>
      </c>
      <c r="T685" t="n">
        <v>0</v>
      </c>
      <c r="U685" t="inlineStr">
        <is>
          <t>BUJALSKI TOMASZ</t>
        </is>
      </c>
    </row>
    <row r="686">
      <c r="A686" s="1" t="n">
        <v>46158</v>
      </c>
      <c r="B686" t="inlineStr">
        <is>
          <t>TK/26/10349</t>
        </is>
      </c>
      <c r="C686" t="inlineStr">
        <is>
          <t>Przemysław Rafałko</t>
        </is>
      </c>
      <c r="D686" t="inlineStr">
        <is>
          <t>79120903038</t>
        </is>
      </c>
      <c r="E686" s="1" t="n">
        <v>46158</v>
      </c>
      <c r="F686" t="inlineStr">
        <is>
          <t>CITO-CITO</t>
        </is>
      </c>
      <c r="G686" t="inlineStr">
        <is>
          <t>TK</t>
        </is>
      </c>
      <c r="H686" t="inlineStr">
        <is>
          <t>TK głowy (mózgowia) bez kontrastu</t>
        </is>
      </c>
      <c r="I686" t="inlineStr">
        <is>
          <t>TK Angiografia</t>
        </is>
      </c>
      <c r="J686" t="inlineStr">
        <is>
          <t>1 okolica anatomiczna</t>
        </is>
      </c>
      <c r="K686" t="inlineStr">
        <is>
          <t>Tomasz Bujalski</t>
        </is>
      </c>
      <c r="L686" t="inlineStr">
        <is>
          <t> </t>
        </is>
      </c>
      <c r="M686" t="inlineStr">
        <is>
          <t>UNIWERSYTECKI SZPITAL KLINICZNY W POZNANIU</t>
        </is>
      </c>
      <c r="N686" t="inlineStr">
        <is>
          <t>Szpitalny Oddział Ratunkowy</t>
        </is>
      </c>
      <c r="O686" t="inlineStr">
        <is>
          <t>Marcin Blachowski</t>
        </is>
      </c>
      <c r="P686" t="inlineStr">
        <is>
          <t>3613998</t>
        </is>
      </c>
      <c r="Q686" t="inlineStr">
        <is>
          <t> </t>
        </is>
      </c>
      <c r="R686" t="inlineStr">
        <is>
          <t>uskpoznan</t>
        </is>
      </c>
      <c r="S686" s="1" t="n">
        <v>46158.64652777778</v>
      </c>
      <c r="T686" t="n">
        <v>0</v>
      </c>
      <c r="U686" t="inlineStr">
        <is>
          <t>BUJALSKI TOMASZ</t>
        </is>
      </c>
    </row>
    <row r="687">
      <c r="A687" s="1" t="n">
        <v>46160</v>
      </c>
      <c r="B687" t="inlineStr">
        <is>
          <t>TK/26/10477</t>
        </is>
      </c>
      <c r="C687" t="inlineStr">
        <is>
          <t>Damian Andrzejewski</t>
        </is>
      </c>
      <c r="D687" t="inlineStr">
        <is>
          <t>87072403199</t>
        </is>
      </c>
      <c r="E687" s="1" t="n">
        <v>46160</v>
      </c>
      <c r="F687" t="inlineStr">
        <is>
          <t>CITO-CITO</t>
        </is>
      </c>
      <c r="G687" t="inlineStr">
        <is>
          <t>TK</t>
        </is>
      </c>
      <c r="H687" t="inlineStr">
        <is>
          <t>TK twarzoczaszka z kontrastem</t>
        </is>
      </c>
      <c r="I687" t="inlineStr">
        <is>
          <t>TK Zwykłe</t>
        </is>
      </c>
      <c r="J687" t="inlineStr">
        <is>
          <t>1 okolica anatomiczna</t>
        </is>
      </c>
      <c r="K687" t="inlineStr">
        <is>
          <t>Tomasz Bujalski</t>
        </is>
      </c>
      <c r="L687" t="inlineStr">
        <is>
          <t> </t>
        </is>
      </c>
      <c r="M687" t="inlineStr">
        <is>
          <t>UNIWERSYTECKI SZPITAL KLINICZNY W POZNANIU</t>
        </is>
      </c>
      <c r="N687" t="inlineStr">
        <is>
          <t>Szpitalny Oddział Ratunkowy</t>
        </is>
      </c>
      <c r="O687" t="inlineStr">
        <is>
          <t>Olga Radziejewska</t>
        </is>
      </c>
      <c r="P687" t="inlineStr">
        <is>
          <t>4352139</t>
        </is>
      </c>
      <c r="Q687" t="inlineStr">
        <is>
          <t> </t>
        </is>
      </c>
      <c r="R687" t="inlineStr">
        <is>
          <t>uskpoznan</t>
        </is>
      </c>
      <c r="S687" s="1" t="n">
        <v>46160.5375</v>
      </c>
      <c r="T687" t="n">
        <v>0</v>
      </c>
      <c r="U687" t="inlineStr">
        <is>
          <t>BUJALSKI TOMASZ</t>
        </is>
      </c>
    </row>
    <row r="688">
      <c r="A688" s="1" t="n">
        <v>46160</v>
      </c>
      <c r="B688" t="inlineStr">
        <is>
          <t>TK/26/10479</t>
        </is>
      </c>
      <c r="C688" t="inlineStr">
        <is>
          <t>Ryszard Dziurdzielewski</t>
        </is>
      </c>
      <c r="D688" t="inlineStr">
        <is>
          <t>61091000993</t>
        </is>
      </c>
      <c r="E688" s="1" t="n">
        <v>46160</v>
      </c>
      <c r="F688" t="inlineStr">
        <is>
          <t>CITO-CITO</t>
        </is>
      </c>
      <c r="G688" t="inlineStr">
        <is>
          <t>TK</t>
        </is>
      </c>
      <c r="H688" t="inlineStr">
        <is>
          <t>TK angiografia głowy i szyi</t>
        </is>
      </c>
      <c r="I688" t="inlineStr">
        <is>
          <t>TK Angiografia</t>
        </is>
      </c>
      <c r="J688" t="inlineStr">
        <is>
          <t>2 okolice anatomiczne</t>
        </is>
      </c>
      <c r="K688" t="inlineStr">
        <is>
          <t>Tomasz Bujalski</t>
        </is>
      </c>
      <c r="L688" t="inlineStr">
        <is>
          <t> </t>
        </is>
      </c>
      <c r="M688" t="inlineStr">
        <is>
          <t>UNIWERSYTECKI SZPITAL KLINICZNY W POZNANIU</t>
        </is>
      </c>
      <c r="N688" t="inlineStr">
        <is>
          <t>Szpitalny Oddział Ratunkowy</t>
        </is>
      </c>
      <c r="O688" t="inlineStr">
        <is>
          <t>Olga Radziejewska</t>
        </is>
      </c>
      <c r="P688" t="inlineStr">
        <is>
          <t>4352139</t>
        </is>
      </c>
      <c r="Q688" t="inlineStr">
        <is>
          <t> </t>
        </is>
      </c>
      <c r="R688" t="inlineStr">
        <is>
          <t>uskpoznan</t>
        </is>
      </c>
      <c r="S688" s="1" t="n">
        <v>46160.54861111111</v>
      </c>
      <c r="T688" t="n">
        <v>0</v>
      </c>
      <c r="U688" t="inlineStr">
        <is>
          <t>BUJALSKI TOMASZ</t>
        </is>
      </c>
    </row>
    <row r="689">
      <c r="A689" s="1" t="n">
        <v>46160</v>
      </c>
      <c r="B689" t="inlineStr">
        <is>
          <t>TK/26/10480</t>
        </is>
      </c>
      <c r="C689" t="inlineStr">
        <is>
          <t>Ryszard Dziurdzielewski</t>
        </is>
      </c>
      <c r="D689" t="inlineStr">
        <is>
          <t>61091000993</t>
        </is>
      </c>
      <c r="E689" s="1" t="n">
        <v>46160</v>
      </c>
      <c r="F689" t="inlineStr">
        <is>
          <t>CITO-CITO</t>
        </is>
      </c>
      <c r="G689" t="inlineStr">
        <is>
          <t>TK</t>
        </is>
      </c>
      <c r="H689" t="inlineStr">
        <is>
          <t>TK głowy (mózgowia) bez kontrastu</t>
        </is>
      </c>
      <c r="I689" t="inlineStr">
        <is>
          <t>TK Angiografia</t>
        </is>
      </c>
      <c r="J689" t="inlineStr">
        <is>
          <t>1 okolica anatomiczna</t>
        </is>
      </c>
      <c r="K689" t="inlineStr">
        <is>
          <t>Tomasz Bujalski</t>
        </is>
      </c>
      <c r="L689" t="inlineStr">
        <is>
          <t> </t>
        </is>
      </c>
      <c r="M689" t="inlineStr">
        <is>
          <t>UNIWERSYTECKI SZPITAL KLINICZNY W POZNANIU</t>
        </is>
      </c>
      <c r="N689" t="inlineStr">
        <is>
          <t>Szpitalny Oddział Ratunkowy</t>
        </is>
      </c>
      <c r="O689" t="inlineStr">
        <is>
          <t>Olga Radziejewska</t>
        </is>
      </c>
      <c r="P689" t="inlineStr">
        <is>
          <t>4352139</t>
        </is>
      </c>
      <c r="Q689" t="inlineStr">
        <is>
          <t> </t>
        </is>
      </c>
      <c r="R689" t="inlineStr">
        <is>
          <t>uskpoznan</t>
        </is>
      </c>
      <c r="S689" s="1" t="n">
        <v>46160.54722222222</v>
      </c>
      <c r="T689" t="n">
        <v>0</v>
      </c>
      <c r="U689" t="inlineStr">
        <is>
          <t>BUJALSKI TOMASZ</t>
        </is>
      </c>
    </row>
    <row r="690">
      <c r="A690" s="1" t="n">
        <v>46160</v>
      </c>
      <c r="B690" t="inlineStr">
        <is>
          <t>TK/26/10481</t>
        </is>
      </c>
      <c r="C690" t="inlineStr">
        <is>
          <t>Przemysław Ciechański</t>
        </is>
      </c>
      <c r="D690" t="inlineStr">
        <is>
          <t>80121508993</t>
        </is>
      </c>
      <c r="E690" s="1" t="n">
        <v>46160</v>
      </c>
      <c r="F690" t="inlineStr">
        <is>
          <t>CITO-CITO</t>
        </is>
      </c>
      <c r="G690" t="inlineStr">
        <is>
          <t>TK</t>
        </is>
      </c>
      <c r="H690" t="inlineStr">
        <is>
          <t>TK głowy (mózgowia) bez kontrastu</t>
        </is>
      </c>
      <c r="I690" t="inlineStr">
        <is>
          <t>TK Angiografia</t>
        </is>
      </c>
      <c r="J690" t="inlineStr">
        <is>
          <t>2 okolice anatomiczne</t>
        </is>
      </c>
      <c r="K690" t="inlineStr">
        <is>
          <t>Tomasz Bujalski</t>
        </is>
      </c>
      <c r="L690" t="inlineStr">
        <is>
          <t> </t>
        </is>
      </c>
      <c r="M690" t="inlineStr">
        <is>
          <t>UNIWERSYTECKI SZPITAL KLINICZNY W POZNANIU</t>
        </is>
      </c>
      <c r="N690" t="inlineStr">
        <is>
          <t>Szpitalny Oddział Ratunkowy</t>
        </is>
      </c>
      <c r="O690" t="inlineStr">
        <is>
          <t>Mateusz Bednorz</t>
        </is>
      </c>
      <c r="P690" t="inlineStr">
        <is>
          <t>3868646</t>
        </is>
      </c>
      <c r="Q690" t="inlineStr">
        <is>
          <t> </t>
        </is>
      </c>
      <c r="R690" t="inlineStr">
        <is>
          <t>uskpoznan</t>
        </is>
      </c>
      <c r="S690" s="1" t="n">
        <v>46160.54236111111</v>
      </c>
      <c r="T690" t="n">
        <v>0</v>
      </c>
      <c r="U690" t="inlineStr">
        <is>
          <t>BUJALSKI TOMASZ</t>
        </is>
      </c>
    </row>
    <row r="691">
      <c r="A691" s="1" t="n">
        <v>46160</v>
      </c>
      <c r="B691" t="inlineStr">
        <is>
          <t>TK/26/10482</t>
        </is>
      </c>
      <c r="C691" t="inlineStr">
        <is>
          <t>Zdzisława Kaszubiak</t>
        </is>
      </c>
      <c r="D691" t="inlineStr">
        <is>
          <t>41111804266</t>
        </is>
      </c>
      <c r="E691" s="1" t="n">
        <v>46160</v>
      </c>
      <c r="F691" t="inlineStr">
        <is>
          <t>CITO-CITO</t>
        </is>
      </c>
      <c r="G691" t="inlineStr">
        <is>
          <t>TK</t>
        </is>
      </c>
      <c r="H691" t="inlineStr">
        <is>
          <t>TK twarzoczaszka bez kontrastu</t>
        </is>
      </c>
      <c r="I691" t="inlineStr">
        <is>
          <t>TK Zwykłe</t>
        </is>
      </c>
      <c r="J691" t="inlineStr">
        <is>
          <t>1 okolica anatomiczna</t>
        </is>
      </c>
      <c r="K691" t="inlineStr">
        <is>
          <t>Tomasz Bujalski</t>
        </is>
      </c>
      <c r="L691" t="inlineStr">
        <is>
          <t> </t>
        </is>
      </c>
      <c r="M691" t="inlineStr">
        <is>
          <t>UNIWERSYTECKI SZPITAL KLINICZNY W POZNANIU</t>
        </is>
      </c>
      <c r="N691" t="inlineStr">
        <is>
          <t>Szpitalny Oddział Ratunkowy</t>
        </is>
      </c>
      <c r="O691" t="inlineStr">
        <is>
          <t>Paweł Zwoliński</t>
        </is>
      </c>
      <c r="P691" t="inlineStr">
        <is>
          <t>2892793</t>
        </is>
      </c>
      <c r="Q691" t="inlineStr">
        <is>
          <t> </t>
        </is>
      </c>
      <c r="R691" t="inlineStr">
        <is>
          <t>uskpoznan</t>
        </is>
      </c>
      <c r="S691" s="1" t="n">
        <v>46160.5375</v>
      </c>
      <c r="T691" t="n">
        <v>0</v>
      </c>
      <c r="U691" t="inlineStr">
        <is>
          <t>BUJALSKI TOMASZ</t>
        </is>
      </c>
    </row>
    <row r="692">
      <c r="A692" s="1" t="n">
        <v>46160</v>
      </c>
      <c r="B692" t="inlineStr">
        <is>
          <t>TK/26/10483</t>
        </is>
      </c>
      <c r="C692" t="inlineStr">
        <is>
          <t>Zdzisława Kaszubiak</t>
        </is>
      </c>
      <c r="D692" t="inlineStr">
        <is>
          <t>41111804266</t>
        </is>
      </c>
      <c r="E692" s="1" t="n">
        <v>46160</v>
      </c>
      <c r="F692" t="inlineStr">
        <is>
          <t>CITO-CITO</t>
        </is>
      </c>
      <c r="G692" t="inlineStr">
        <is>
          <t>TK</t>
        </is>
      </c>
      <c r="H692" t="inlineStr">
        <is>
          <t>TK głowy (mózgowia) bez kontrastu</t>
        </is>
      </c>
      <c r="I692" t="inlineStr">
        <is>
          <t>TK Angiografia</t>
        </is>
      </c>
      <c r="J692" t="inlineStr">
        <is>
          <t>1 okolica anatomiczna</t>
        </is>
      </c>
      <c r="K692" t="inlineStr">
        <is>
          <t>Tomasz Bujalski</t>
        </is>
      </c>
      <c r="L692" t="inlineStr">
        <is>
          <t> </t>
        </is>
      </c>
      <c r="M692" t="inlineStr">
        <is>
          <t>UNIWERSYTECKI SZPITAL KLINICZNY W POZNANIU</t>
        </is>
      </c>
      <c r="N692" t="inlineStr">
        <is>
          <t>Szpitalny Oddział Ratunkowy</t>
        </is>
      </c>
      <c r="O692" t="inlineStr">
        <is>
          <t>Paweł Zwoliński</t>
        </is>
      </c>
      <c r="P692" t="inlineStr">
        <is>
          <t>2892793</t>
        </is>
      </c>
      <c r="Q692" t="inlineStr">
        <is>
          <t> </t>
        </is>
      </c>
      <c r="R692" t="inlineStr">
        <is>
          <t>uskpoznan</t>
        </is>
      </c>
      <c r="S692" s="1" t="n">
        <v>46160.53819444445</v>
      </c>
      <c r="T692" t="n">
        <v>1</v>
      </c>
      <c r="U692" t="inlineStr">
        <is>
          <t>BUJALSKI TOMASZ</t>
        </is>
      </c>
    </row>
    <row r="693">
      <c r="A693" s="1" t="n">
        <v>46160</v>
      </c>
      <c r="B693" t="inlineStr">
        <is>
          <t>TK/26/10484</t>
        </is>
      </c>
      <c r="C693" t="inlineStr">
        <is>
          <t>Henryka Łakis</t>
        </is>
      </c>
      <c r="D693" t="inlineStr">
        <is>
          <t>31110503228</t>
        </is>
      </c>
      <c r="E693" s="1" t="n">
        <v>46160</v>
      </c>
      <c r="F693" t="inlineStr">
        <is>
          <t>CITO-CITO</t>
        </is>
      </c>
      <c r="G693" t="inlineStr">
        <is>
          <t>TK</t>
        </is>
      </c>
      <c r="H693" t="inlineStr">
        <is>
          <t>TK głowy (mózgowia) bez kontrastu</t>
        </is>
      </c>
      <c r="I693" t="inlineStr">
        <is>
          <t>TK Angiografia</t>
        </is>
      </c>
      <c r="J693" t="inlineStr">
        <is>
          <t>1 okolica anatomiczna</t>
        </is>
      </c>
      <c r="K693" t="inlineStr">
        <is>
          <t>Tomasz Bujalski</t>
        </is>
      </c>
      <c r="L693" t="inlineStr">
        <is>
          <t> </t>
        </is>
      </c>
      <c r="M693" t="inlineStr">
        <is>
          <t>UNIWERSYTECKI SZPITAL KLINICZNY W POZNANIU</t>
        </is>
      </c>
      <c r="N693" t="inlineStr">
        <is>
          <t>Szpitalny Oddział Ratunkowy</t>
        </is>
      </c>
      <c r="O693" t="inlineStr">
        <is>
          <t>Julia Buchnat</t>
        </is>
      </c>
      <c r="P693" t="inlineStr">
        <is>
          <t>3868289</t>
        </is>
      </c>
      <c r="Q693" t="inlineStr">
        <is>
          <t> </t>
        </is>
      </c>
      <c r="R693" t="inlineStr">
        <is>
          <t>uskpoznan</t>
        </is>
      </c>
      <c r="S693" s="1" t="n">
        <v>46160.57847222222</v>
      </c>
      <c r="T693" t="n">
        <v>0</v>
      </c>
      <c r="U693" t="inlineStr">
        <is>
          <t>BUJALSKI TOMASZ</t>
        </is>
      </c>
    </row>
    <row r="694">
      <c r="A694" s="1" t="n">
        <v>46160</v>
      </c>
      <c r="B694" t="inlineStr">
        <is>
          <t>TK/26/10486</t>
        </is>
      </c>
      <c r="C694" t="inlineStr">
        <is>
          <t>Dawid Mrozicki</t>
        </is>
      </c>
      <c r="D694" t="inlineStr">
        <is>
          <t>03282606452</t>
        </is>
      </c>
      <c r="E694" s="1" t="n">
        <v>46160</v>
      </c>
      <c r="F694" t="inlineStr">
        <is>
          <t>CITO-CITO</t>
        </is>
      </c>
      <c r="G694" t="inlineStr">
        <is>
          <t>TK</t>
        </is>
      </c>
      <c r="H694" t="inlineStr">
        <is>
          <t>TK twarzoczaszka i szyja z kontrastem</t>
        </is>
      </c>
      <c r="I694" t="inlineStr">
        <is>
          <t>TK Zwykłe</t>
        </is>
      </c>
      <c r="J694" t="inlineStr">
        <is>
          <t>2 okolice anatomiczne</t>
        </is>
      </c>
      <c r="K694" t="inlineStr">
        <is>
          <t>Tomasz Bujalski</t>
        </is>
      </c>
      <c r="L694" t="inlineStr">
        <is>
          <t> </t>
        </is>
      </c>
      <c r="M694" t="inlineStr">
        <is>
          <t>UNIWERSYTECKI SZPITAL KLINICZNY W POZNANIU</t>
        </is>
      </c>
      <c r="N694" t="inlineStr">
        <is>
          <t>Szpitalny Oddział Ratunkowy</t>
        </is>
      </c>
      <c r="O694" t="inlineStr">
        <is>
          <t>Anna Maciejewska</t>
        </is>
      </c>
      <c r="P694" t="inlineStr">
        <is>
          <t>3869320</t>
        </is>
      </c>
      <c r="Q694" t="inlineStr">
        <is>
          <t> </t>
        </is>
      </c>
      <c r="R694" t="inlineStr">
        <is>
          <t>uskpoznan</t>
        </is>
      </c>
      <c r="S694" s="1" t="n">
        <v>46160.59652777778</v>
      </c>
      <c r="T694" t="n">
        <v>0</v>
      </c>
      <c r="U694" t="inlineStr">
        <is>
          <t>BUJALSKI TOMASZ</t>
        </is>
      </c>
    </row>
    <row r="695">
      <c r="A695" s="1" t="n">
        <v>46162</v>
      </c>
      <c r="B695" t="inlineStr">
        <is>
          <t>TK/26/10641</t>
        </is>
      </c>
      <c r="C695" t="inlineStr">
        <is>
          <t>Małgorzata Paprocka</t>
        </is>
      </c>
      <c r="D695" t="inlineStr">
        <is>
          <t>52022307441</t>
        </is>
      </c>
      <c r="E695" s="1" t="n">
        <v>46162</v>
      </c>
      <c r="F695" t="inlineStr">
        <is>
          <t>CITO-CITO</t>
        </is>
      </c>
      <c r="G695" t="inlineStr">
        <is>
          <t>TK</t>
        </is>
      </c>
      <c r="H695" t="inlineStr">
        <is>
          <t>TK głowy (mózgowia) z kontrastem</t>
        </is>
      </c>
      <c r="I695" t="inlineStr">
        <is>
          <t>TK Angiografia</t>
        </is>
      </c>
      <c r="J695" t="inlineStr">
        <is>
          <t>1 okolica anatomiczna</t>
        </is>
      </c>
      <c r="K695" t="inlineStr">
        <is>
          <t>Tomasz Bujalski</t>
        </is>
      </c>
      <c r="L695" t="inlineStr">
        <is>
          <t> </t>
        </is>
      </c>
      <c r="M695" t="inlineStr">
        <is>
          <t>UNIWERSYTECKI SZPITAL KLINICZNY W POZNANIU</t>
        </is>
      </c>
      <c r="N695" t="inlineStr">
        <is>
          <t>Szpitalny Oddział Ratunkowy</t>
        </is>
      </c>
      <c r="O695" t="inlineStr">
        <is>
          <t>Tomasz Kłosiewicz</t>
        </is>
      </c>
      <c r="P695" t="inlineStr">
        <is>
          <t>3867001</t>
        </is>
      </c>
      <c r="Q695" t="inlineStr">
        <is>
          <t> </t>
        </is>
      </c>
      <c r="R695" t="inlineStr">
        <is>
          <t>uskpoznan</t>
        </is>
      </c>
      <c r="S695" s="1" t="n">
        <v>46162.62083333333</v>
      </c>
      <c r="T695" t="n">
        <v>0</v>
      </c>
      <c r="U695" t="inlineStr">
        <is>
          <t>BUJALSKI TOMASZ</t>
        </is>
      </c>
    </row>
    <row r="696">
      <c r="A696" s="1" t="n">
        <v>46162</v>
      </c>
      <c r="B696" t="inlineStr">
        <is>
          <t>TK/26/10642</t>
        </is>
      </c>
      <c r="C696" t="inlineStr">
        <is>
          <t>Małgorzata Paprocka</t>
        </is>
      </c>
      <c r="D696" t="inlineStr">
        <is>
          <t>52022307441</t>
        </is>
      </c>
      <c r="E696" s="1" t="n">
        <v>46162</v>
      </c>
      <c r="F696" t="inlineStr">
        <is>
          <t>CITO-CITO</t>
        </is>
      </c>
      <c r="G696" t="inlineStr">
        <is>
          <t>TK</t>
        </is>
      </c>
      <c r="H696" t="inlineStr">
        <is>
          <t>TK angiografia głowy i szyi</t>
        </is>
      </c>
      <c r="I696" t="inlineStr">
        <is>
          <t>TK Angiografia</t>
        </is>
      </c>
      <c r="J696" t="inlineStr">
        <is>
          <t>2 okolice anatomiczne</t>
        </is>
      </c>
      <c r="K696" t="inlineStr">
        <is>
          <t>Tomasz Bujalski</t>
        </is>
      </c>
      <c r="L696" t="inlineStr">
        <is>
          <t> </t>
        </is>
      </c>
      <c r="M696" t="inlineStr">
        <is>
          <t>UNIWERSYTECKI SZPITAL KLINICZNY W POZNANIU</t>
        </is>
      </c>
      <c r="N696" t="inlineStr">
        <is>
          <t>Szpitalny Oddział Ratunkowy</t>
        </is>
      </c>
      <c r="O696" t="inlineStr">
        <is>
          <t>Tomasz Kłosiewicz</t>
        </is>
      </c>
      <c r="P696" t="inlineStr">
        <is>
          <t>3867001</t>
        </is>
      </c>
      <c r="Q696" t="inlineStr">
        <is>
          <t> </t>
        </is>
      </c>
      <c r="R696" t="inlineStr">
        <is>
          <t>uskpoznan</t>
        </is>
      </c>
      <c r="S696" s="1" t="n">
        <v>46162.61875</v>
      </c>
      <c r="T696" t="n">
        <v>0</v>
      </c>
      <c r="U696" t="inlineStr">
        <is>
          <t>BUJALSKI TOMASZ</t>
        </is>
      </c>
    </row>
    <row r="697">
      <c r="A697" s="1" t="n">
        <v>46162</v>
      </c>
      <c r="B697" t="inlineStr">
        <is>
          <t>TK/26/10643</t>
        </is>
      </c>
      <c r="C697" t="inlineStr">
        <is>
          <t>Małgorzata Paprocka</t>
        </is>
      </c>
      <c r="D697" t="inlineStr">
        <is>
          <t>52022307441</t>
        </is>
      </c>
      <c r="E697" s="1" t="n">
        <v>46162</v>
      </c>
      <c r="F697" t="inlineStr">
        <is>
          <t>CITO-CITO</t>
        </is>
      </c>
      <c r="G697" t="inlineStr">
        <is>
          <t>TK</t>
        </is>
      </c>
      <c r="H697" t="inlineStr">
        <is>
          <t>TK głowy (mózgowia) bez kontrastu</t>
        </is>
      </c>
      <c r="I697" t="inlineStr">
        <is>
          <t>TK Angiografia</t>
        </is>
      </c>
      <c r="J697" t="inlineStr">
        <is>
          <t>1 okolica anatomiczna</t>
        </is>
      </c>
      <c r="K697" t="inlineStr">
        <is>
          <t>Tomasz Bujalski</t>
        </is>
      </c>
      <c r="L697" t="inlineStr">
        <is>
          <t> </t>
        </is>
      </c>
      <c r="M697" t="inlineStr">
        <is>
          <t>UNIWERSYTECKI SZPITAL KLINICZNY W POZNANIU</t>
        </is>
      </c>
      <c r="N697" t="inlineStr">
        <is>
          <t>Szpitalny Oddział Ratunkowy</t>
        </is>
      </c>
      <c r="O697" t="inlineStr">
        <is>
          <t>Tomasz Kłosiewicz</t>
        </is>
      </c>
      <c r="P697" t="inlineStr">
        <is>
          <t>3867001</t>
        </is>
      </c>
      <c r="Q697" t="inlineStr">
        <is>
          <t> </t>
        </is>
      </c>
      <c r="R697" t="inlineStr">
        <is>
          <t>uskpoznan</t>
        </is>
      </c>
      <c r="S697" s="1" t="n">
        <v>46162.61875</v>
      </c>
      <c r="T697" t="n">
        <v>0</v>
      </c>
      <c r="U697" t="inlineStr">
        <is>
          <t>BUJALSKI TOMASZ</t>
        </is>
      </c>
    </row>
    <row r="698">
      <c r="A698" s="1" t="n">
        <v>46162</v>
      </c>
      <c r="B698" t="inlineStr">
        <is>
          <t>TK/26/10647</t>
        </is>
      </c>
      <c r="C698" t="inlineStr">
        <is>
          <t>Krzysztof Norek</t>
        </is>
      </c>
      <c r="D698" t="inlineStr">
        <is>
          <t>82050312076</t>
        </is>
      </c>
      <c r="E698" s="1" t="n">
        <v>46162</v>
      </c>
      <c r="F698" t="inlineStr">
        <is>
          <t>CITO-CITO</t>
        </is>
      </c>
      <c r="G698" t="inlineStr">
        <is>
          <t>TK</t>
        </is>
      </c>
      <c r="H698" t="inlineStr">
        <is>
          <t>TK angiografia aorty brzusznej</t>
        </is>
      </c>
      <c r="I698" t="inlineStr">
        <is>
          <t>TK Angiografia</t>
        </is>
      </c>
      <c r="J698" t="inlineStr">
        <is>
          <t>2 okolice anatomiczne</t>
        </is>
      </c>
      <c r="K698" t="inlineStr">
        <is>
          <t>Tomasz Bujalski</t>
        </is>
      </c>
      <c r="L698" t="inlineStr">
        <is>
          <t> </t>
        </is>
      </c>
      <c r="M698" t="inlineStr">
        <is>
          <t>UNIWERSYTECKI SZPITAL KLINICZNY W POZNANIU</t>
        </is>
      </c>
      <c r="N698" t="inlineStr">
        <is>
          <t>Szpitalny Oddział Ratunkowy</t>
        </is>
      </c>
      <c r="O698" t="inlineStr">
        <is>
          <t>Konrad Ruciński</t>
        </is>
      </c>
      <c r="P698" t="inlineStr">
        <is>
          <t>4038459</t>
        </is>
      </c>
      <c r="Q698" t="inlineStr">
        <is>
          <t> </t>
        </is>
      </c>
      <c r="R698" t="inlineStr">
        <is>
          <t>uskpoznan</t>
        </is>
      </c>
      <c r="S698" s="1" t="n">
        <v>46162.62777777778</v>
      </c>
      <c r="T698" t="n">
        <v>2</v>
      </c>
      <c r="U698" t="inlineStr">
        <is>
          <t>BUJALSKI TOMASZ</t>
        </is>
      </c>
    </row>
    <row r="699">
      <c r="A699" s="1" t="n">
        <v>46162</v>
      </c>
      <c r="B699" t="inlineStr">
        <is>
          <t>TK/26/10648</t>
        </is>
      </c>
      <c r="C699" t="inlineStr">
        <is>
          <t>Krzysztof Norek</t>
        </is>
      </c>
      <c r="D699" t="inlineStr">
        <is>
          <t>82050312076</t>
        </is>
      </c>
      <c r="E699" s="1" t="n">
        <v>46162</v>
      </c>
      <c r="F699" t="inlineStr">
        <is>
          <t>CITO-CITO</t>
        </is>
      </c>
      <c r="G699" t="inlineStr">
        <is>
          <t>TK</t>
        </is>
      </c>
      <c r="H699" t="inlineStr">
        <is>
          <t>TK angiografia aorty piersiowej</t>
        </is>
      </c>
      <c r="I699" t="inlineStr">
        <is>
          <t>TK Angiografia</t>
        </is>
      </c>
      <c r="J699" t="inlineStr">
        <is>
          <t>1 okolica anatomiczna</t>
        </is>
      </c>
      <c r="K699" t="inlineStr">
        <is>
          <t>Tomasz Bujalski</t>
        </is>
      </c>
      <c r="L699" t="inlineStr">
        <is>
          <t> </t>
        </is>
      </c>
      <c r="M699" t="inlineStr">
        <is>
          <t>UNIWERSYTECKI SZPITAL KLINICZNY W POZNANIU</t>
        </is>
      </c>
      <c r="N699" t="inlineStr">
        <is>
          <t>Szpitalny Oddział Ratunkowy</t>
        </is>
      </c>
      <c r="O699" t="inlineStr">
        <is>
          <t>Konrad Ruciński</t>
        </is>
      </c>
      <c r="P699" t="inlineStr">
        <is>
          <t>4038459</t>
        </is>
      </c>
      <c r="Q699" t="inlineStr">
        <is>
          <t> </t>
        </is>
      </c>
      <c r="R699" t="inlineStr">
        <is>
          <t>uskpoznan</t>
        </is>
      </c>
      <c r="S699" s="1" t="n">
        <v>46162.63472222222</v>
      </c>
      <c r="T699" t="n">
        <v>0</v>
      </c>
      <c r="U699" t="inlineStr">
        <is>
          <t>BUJALSKI TOMASZ</t>
        </is>
      </c>
    </row>
    <row r="700">
      <c r="A700" s="1" t="n">
        <v>46162</v>
      </c>
      <c r="B700" t="inlineStr">
        <is>
          <t>TK/26/10649</t>
        </is>
      </c>
      <c r="C700" t="inlineStr">
        <is>
          <t>Beata Cholewińska</t>
        </is>
      </c>
      <c r="D700" t="inlineStr">
        <is>
          <t>70071801266</t>
        </is>
      </c>
      <c r="E700" s="1" t="n">
        <v>46162</v>
      </c>
      <c r="F700" t="inlineStr">
        <is>
          <t>CITO-CITO</t>
        </is>
      </c>
      <c r="G700" t="inlineStr">
        <is>
          <t>TK</t>
        </is>
      </c>
      <c r="H700" t="inlineStr">
        <is>
          <t>TK głowy (mózgowia) wielofazowo</t>
        </is>
      </c>
      <c r="I700" t="inlineStr">
        <is>
          <t>TK Zwykłe</t>
        </is>
      </c>
      <c r="J700" t="inlineStr">
        <is>
          <t>1 okolica anatomiczna</t>
        </is>
      </c>
      <c r="K700" t="inlineStr">
        <is>
          <t>Tomasz Bujalski</t>
        </is>
      </c>
      <c r="L700" t="inlineStr">
        <is>
          <t> </t>
        </is>
      </c>
      <c r="M700" t="inlineStr">
        <is>
          <t>UNIWERSYTECKI SZPITAL KLINICZNY W POZNANIU</t>
        </is>
      </c>
      <c r="N700" t="inlineStr">
        <is>
          <t>Szpitalny Oddział Ratunkowy</t>
        </is>
      </c>
      <c r="O700" t="inlineStr">
        <is>
          <t>Jakub Olszewski</t>
        </is>
      </c>
      <c r="P700" t="inlineStr">
        <is>
          <t>3415902</t>
        </is>
      </c>
      <c r="Q700" t="inlineStr">
        <is>
          <t> </t>
        </is>
      </c>
      <c r="R700" t="inlineStr">
        <is>
          <t>uskpoznan</t>
        </is>
      </c>
      <c r="S700" s="1" t="n">
        <v>46162.64166666667</v>
      </c>
      <c r="T700" t="n">
        <v>0</v>
      </c>
      <c r="U700" t="inlineStr">
        <is>
          <t>BUJALSKI TOMASZ</t>
        </is>
      </c>
    </row>
    <row r="701">
      <c r="A701" s="1" t="n">
        <v>46162</v>
      </c>
      <c r="B701" t="inlineStr">
        <is>
          <t>TK/26/10657</t>
        </is>
      </c>
      <c r="C701" t="inlineStr">
        <is>
          <t>Tadeusz Muszyński</t>
        </is>
      </c>
      <c r="D701" t="inlineStr">
        <is>
          <t>54091609590</t>
        </is>
      </c>
      <c r="E701" s="1" t="n">
        <v>46162</v>
      </c>
      <c r="F701" t="inlineStr">
        <is>
          <t>CITO NA RATUNEK</t>
        </is>
      </c>
      <c r="G701" t="inlineStr">
        <is>
          <t>TK</t>
        </is>
      </c>
      <c r="H701" t="inlineStr">
        <is>
          <t>TK angiografia klatki piersiowej</t>
        </is>
      </c>
      <c r="I701" t="inlineStr">
        <is>
          <t>TK Angiografia</t>
        </is>
      </c>
      <c r="J701" t="inlineStr">
        <is>
          <t>1 okolica anatomiczna</t>
        </is>
      </c>
      <c r="K701" t="inlineStr">
        <is>
          <t>Tomasz Bujalski</t>
        </is>
      </c>
      <c r="L701" t="inlineStr">
        <is>
          <t> </t>
        </is>
      </c>
      <c r="M701" t="inlineStr">
        <is>
          <t>UNIWERSYTECKI SZPITAL KLINICZNY W POZNANIU</t>
        </is>
      </c>
      <c r="N701" t="inlineStr">
        <is>
          <t>Szpitalny Oddział Ratunkowy</t>
        </is>
      </c>
      <c r="O701" t="inlineStr">
        <is>
          <t>Paweł Zwoliński</t>
        </is>
      </c>
      <c r="P701" t="inlineStr">
        <is>
          <t>2892793</t>
        </is>
      </c>
      <c r="Q701" t="inlineStr">
        <is>
          <t> </t>
        </is>
      </c>
      <c r="R701" t="inlineStr">
        <is>
          <t>uskpoznan</t>
        </is>
      </c>
      <c r="S701" s="1" t="n">
        <v>46162.74375</v>
      </c>
      <c r="T701" t="n">
        <v>0</v>
      </c>
      <c r="U701" t="inlineStr">
        <is>
          <t>BUJALSKI TOMASZ</t>
        </is>
      </c>
    </row>
    <row r="702">
      <c r="A702" s="1" t="n">
        <v>46168</v>
      </c>
      <c r="B702" t="inlineStr">
        <is>
          <t>TK/26/11103</t>
        </is>
      </c>
      <c r="C702" t="inlineStr">
        <is>
          <t>Sławomir Klimczak</t>
        </is>
      </c>
      <c r="D702" t="inlineStr">
        <is>
          <t>66062112057</t>
        </is>
      </c>
      <c r="E702" s="1" t="n">
        <v>46168</v>
      </c>
      <c r="F702" t="inlineStr">
        <is>
          <t>CITO-CITO</t>
        </is>
      </c>
      <c r="G702" t="inlineStr">
        <is>
          <t>TK</t>
        </is>
      </c>
      <c r="H702" t="inlineStr">
        <is>
          <t>TK twarzoczaszka z kontrastem</t>
        </is>
      </c>
      <c r="I702" t="inlineStr">
        <is>
          <t>TK Zwykłe</t>
        </is>
      </c>
      <c r="J702" t="inlineStr">
        <is>
          <t>2 okolice anatomiczne</t>
        </is>
      </c>
      <c r="K702" t="inlineStr">
        <is>
          <t>Tomasz Bujalski</t>
        </is>
      </c>
      <c r="L702" t="inlineStr">
        <is>
          <t> </t>
        </is>
      </c>
      <c r="M702" t="inlineStr">
        <is>
          <t>UNIWERSYTECKI SZPITAL KLINICZNY W POZNANIU</t>
        </is>
      </c>
      <c r="N702" t="inlineStr">
        <is>
          <t>Szpitalny Oddział Ratunkowy</t>
        </is>
      </c>
      <c r="O702" t="inlineStr">
        <is>
          <t>Radosław Żubka</t>
        </is>
      </c>
      <c r="P702" t="inlineStr">
        <is>
          <t>3528245</t>
        </is>
      </c>
      <c r="Q702" t="inlineStr">
        <is>
          <t> </t>
        </is>
      </c>
      <c r="R702" t="inlineStr">
        <is>
          <t>uskpoznan</t>
        </is>
      </c>
      <c r="S702" s="1" t="n">
        <v>46168.14722222222</v>
      </c>
      <c r="T702" t="n">
        <v>0</v>
      </c>
      <c r="U702" t="inlineStr">
        <is>
          <t>BUJALSKI TOMASZ</t>
        </is>
      </c>
    </row>
    <row r="703">
      <c r="A703" s="1" t="n">
        <v>46168</v>
      </c>
      <c r="B703" t="inlineStr">
        <is>
          <t>TK/26/11104</t>
        </is>
      </c>
      <c r="C703" t="inlineStr">
        <is>
          <t>Aneta Pokrzycka</t>
        </is>
      </c>
      <c r="D703" t="inlineStr">
        <is>
          <t>98100606343</t>
        </is>
      </c>
      <c r="E703" s="1" t="n">
        <v>46168</v>
      </c>
      <c r="F703" t="inlineStr">
        <is>
          <t>CITO-CITO</t>
        </is>
      </c>
      <c r="G703" t="inlineStr">
        <is>
          <t>TK</t>
        </is>
      </c>
      <c r="H703" t="inlineStr">
        <is>
          <t>TK jamy brzusznej i miednicy małej z kontrastem</t>
        </is>
      </c>
      <c r="I703" t="inlineStr">
        <is>
          <t>TK Zwykłe</t>
        </is>
      </c>
      <c r="J703" t="inlineStr">
        <is>
          <t>2 okolice anatomiczne</t>
        </is>
      </c>
      <c r="K703" t="inlineStr">
        <is>
          <t>Tomasz Bujalski</t>
        </is>
      </c>
      <c r="L703" t="inlineStr">
        <is>
          <t> </t>
        </is>
      </c>
      <c r="M703" t="inlineStr">
        <is>
          <t>UNIWERSYTECKI SZPITAL KLINICZNY W POZNANIU</t>
        </is>
      </c>
      <c r="N703" t="inlineStr">
        <is>
          <t>Szpitalny Oddział Ratunkowy</t>
        </is>
      </c>
      <c r="O703" t="inlineStr">
        <is>
          <t>Paweł Zwoliński</t>
        </is>
      </c>
      <c r="P703" t="inlineStr">
        <is>
          <t>2892793</t>
        </is>
      </c>
      <c r="Q703" t="inlineStr">
        <is>
          <t> </t>
        </is>
      </c>
      <c r="R703" t="inlineStr">
        <is>
          <t>uskpoznan</t>
        </is>
      </c>
      <c r="S703" s="1" t="n">
        <v>46168.20763888889</v>
      </c>
      <c r="T703" t="n">
        <v>0</v>
      </c>
      <c r="U703" t="inlineStr">
        <is>
          <t>BUJALSKI TOMASZ</t>
        </is>
      </c>
    </row>
    <row r="704">
      <c r="A704" s="1" t="n">
        <v>46150</v>
      </c>
      <c r="B704" t="inlineStr">
        <is>
          <t>755/CT/2026</t>
        </is>
      </c>
      <c r="C704" t="inlineStr">
        <is>
          <t>Elżbieta Łapińska</t>
        </is>
      </c>
      <c r="D704" t="inlineStr">
        <is>
          <t>58010311465</t>
        </is>
      </c>
      <c r="E704" s="1" t="n">
        <v>46149</v>
      </c>
      <c r="F704" t="inlineStr">
        <is>
          <t>Planowy</t>
        </is>
      </c>
      <c r="G704" t="inlineStr">
        <is>
          <t>TK</t>
        </is>
      </c>
      <c r="H704" t="inlineStr">
        <is>
          <t>TK tkanek miękkich i kości bez kontrastu</t>
        </is>
      </c>
      <c r="I704" t="inlineStr">
        <is>
          <t>TK Zwykłe</t>
        </is>
      </c>
      <c r="J704" t="inlineStr">
        <is>
          <t>2 okolice anatomiczne</t>
        </is>
      </c>
      <c r="K704" t="inlineStr">
        <is>
          <t>Tomasz Bujalski</t>
        </is>
      </c>
      <c r="L704" t="inlineStr">
        <is>
          <t> </t>
        </is>
      </c>
      <c r="M704" t="inlineStr">
        <is>
          <t>SAMODZIELNY PUBLICZNY ZESPÓŁ OPIEKI ZDROWOTNEJ WE WŁODAWIE</t>
        </is>
      </c>
      <c r="N704" t="inlineStr">
        <is>
          <t>Poradnia Ortopedyczna</t>
        </is>
      </c>
      <c r="O704" t="inlineStr">
        <is>
          <t>Tomasz Kamiński</t>
        </is>
      </c>
      <c r="P704" t="inlineStr">
        <is>
          <t>1893042</t>
        </is>
      </c>
      <c r="Q704" t="inlineStr">
        <is>
          <t>S82.0</t>
        </is>
      </c>
      <c r="R704" t="inlineStr">
        <is>
          <t>wlodawa</t>
        </is>
      </c>
      <c r="S704" s="1" t="n">
        <v>46149.70069444444</v>
      </c>
      <c r="T704" t="n">
        <v>0</v>
      </c>
      <c r="U704" t="inlineStr">
        <is>
          <t>BUJALSKI TOMASZ</t>
        </is>
      </c>
    </row>
    <row r="705">
      <c r="A705" s="1" t="n">
        <v>46151</v>
      </c>
      <c r="B705" t="inlineStr">
        <is>
          <t>774/CT/2026</t>
        </is>
      </c>
      <c r="C705" t="inlineStr">
        <is>
          <t>Józef Hawrył</t>
        </is>
      </c>
      <c r="D705" t="inlineStr">
        <is>
          <t>42112002097</t>
        </is>
      </c>
      <c r="E705" s="1" t="n">
        <v>46151</v>
      </c>
      <c r="F705" t="inlineStr">
        <is>
          <t>CITO-CITO</t>
        </is>
      </c>
      <c r="G705" t="inlineStr">
        <is>
          <t>TK</t>
        </is>
      </c>
      <c r="H705" t="inlineStr">
        <is>
          <t>TK klp brzucha i miednicy bez kontrastu</t>
        </is>
      </c>
      <c r="I705" t="inlineStr">
        <is>
          <t>TK Zwykłe</t>
        </is>
      </c>
      <c r="J705" t="inlineStr">
        <is>
          <t>3 okolice anatomiczne</t>
        </is>
      </c>
      <c r="K705" t="inlineStr">
        <is>
          <t>Tomasz Bujalski</t>
        </is>
      </c>
      <c r="L705" t="inlineStr">
        <is>
          <t> </t>
        </is>
      </c>
      <c r="M705" t="inlineStr">
        <is>
          <t>SAMODZIELNY PUBLICZNY ZESPÓŁ OPIEKI ZDROWOTNEJ WE WŁODAWIE</t>
        </is>
      </c>
      <c r="N705" t="inlineStr">
        <is>
          <t>Izba przyjęć szpitala</t>
        </is>
      </c>
      <c r="O705" t="inlineStr">
        <is>
          <t>Raman Smushchuk</t>
        </is>
      </c>
      <c r="P705" t="inlineStr">
        <is>
          <t>3139964</t>
        </is>
      </c>
      <c r="Q705" t="inlineStr">
        <is>
          <t>S20.3</t>
        </is>
      </c>
      <c r="R705" t="inlineStr">
        <is>
          <t>wlodawa</t>
        </is>
      </c>
      <c r="S705" s="1" t="n">
        <v>46151.55277777778</v>
      </c>
      <c r="T705" t="n">
        <v>0</v>
      </c>
      <c r="U705" t="inlineStr">
        <is>
          <t>BUJALSKI TOMASZ</t>
        </is>
      </c>
    </row>
    <row r="706">
      <c r="A706" s="1" t="n">
        <v>46171</v>
      </c>
      <c r="B706" t="inlineStr">
        <is>
          <t>840/CT/2026</t>
        </is>
      </c>
      <c r="C706" t="inlineStr">
        <is>
          <t>Danuta Szadkowska</t>
        </is>
      </c>
      <c r="D706" t="inlineStr">
        <is>
          <t>54021607683</t>
        </is>
      </c>
      <c r="E706" s="1" t="n">
        <v>46163</v>
      </c>
      <c r="F706" t="inlineStr">
        <is>
          <t>Planowy</t>
        </is>
      </c>
      <c r="G706" t="inlineStr">
        <is>
          <t>TK</t>
        </is>
      </c>
      <c r="H706" t="inlineStr">
        <is>
          <t>TK klp</t>
        </is>
      </c>
      <c r="I706" t="inlineStr">
        <is>
          <t>TK Zwykłe</t>
        </is>
      </c>
      <c r="J706" t="inlineStr">
        <is>
          <t>1 okolica anatomiczna</t>
        </is>
      </c>
      <c r="K706" t="inlineStr">
        <is>
          <t>Tomasz Bujalski</t>
        </is>
      </c>
      <c r="L706" t="inlineStr">
        <is>
          <t> </t>
        </is>
      </c>
      <c r="M706" t="inlineStr">
        <is>
          <t>NIEPUBLICZNY ZAKŁAD OPIEKI ZDROWOTNEJ PRZYCHODNIA</t>
        </is>
      </c>
      <c r="N706" t="inlineStr">
        <is>
          <t>por.neur</t>
        </is>
      </c>
      <c r="O706" t="inlineStr">
        <is>
          <t> </t>
        </is>
      </c>
      <c r="P706" t="inlineStr">
        <is>
          <t> </t>
        </is>
      </c>
      <c r="Q706" t="inlineStr">
        <is>
          <t>J85.1</t>
        </is>
      </c>
      <c r="R706" t="inlineStr">
        <is>
          <t>wlodawa</t>
        </is>
      </c>
      <c r="S706" s="1" t="n">
        <v>46163.53541666667</v>
      </c>
      <c r="T706" t="n">
        <v>0</v>
      </c>
      <c r="U706" t="inlineStr">
        <is>
          <t>BUJALSKI TOMASZ</t>
        </is>
      </c>
    </row>
    <row r="707">
      <c r="A707" s="1" t="n">
        <v>46171</v>
      </c>
      <c r="B707" t="inlineStr">
        <is>
          <t>852/CT/2026</t>
        </is>
      </c>
      <c r="C707" t="inlineStr">
        <is>
          <t>Mikołaj Poźniak</t>
        </is>
      </c>
      <c r="D707" t="inlineStr">
        <is>
          <t>56032014159</t>
        </is>
      </c>
      <c r="E707" s="1" t="n">
        <v>46164</v>
      </c>
      <c r="F707" t="inlineStr">
        <is>
          <t>Planowy</t>
        </is>
      </c>
      <c r="G707" t="inlineStr">
        <is>
          <t>TK</t>
        </is>
      </c>
      <c r="H707" t="inlineStr">
        <is>
          <t>TK klp brzucha i miednicy z kontrastu</t>
        </is>
      </c>
      <c r="I707" t="inlineStr">
        <is>
          <t>TK Onkologia</t>
        </is>
      </c>
      <c r="J707" t="inlineStr">
        <is>
          <t>3 okolice anatomiczne</t>
        </is>
      </c>
      <c r="K707" t="inlineStr">
        <is>
          <t>Tomasz Bujalski</t>
        </is>
      </c>
      <c r="L707" t="inlineStr">
        <is>
          <t> </t>
        </is>
      </c>
      <c r="M707" t="inlineStr">
        <is>
          <t>SAMODZIELNY PUBLICZNY ZESPÓŁ OPIEKI ZDROWOTNEJ WE WŁODAWIE</t>
        </is>
      </c>
      <c r="N707" t="inlineStr">
        <is>
          <t>Oddział geriatryczny</t>
        </is>
      </c>
      <c r="O707" t="inlineStr">
        <is>
          <t>Ryszard Mazgaj</t>
        </is>
      </c>
      <c r="P707" t="inlineStr">
        <is>
          <t>4198190</t>
        </is>
      </c>
      <c r="Q707" t="inlineStr">
        <is>
          <t>C16.9</t>
        </is>
      </c>
      <c r="R707" t="inlineStr">
        <is>
          <t>wlodawa</t>
        </is>
      </c>
      <c r="S707" s="1" t="n">
        <v>46168.54513888889</v>
      </c>
      <c r="T707" t="n">
        <v>0</v>
      </c>
      <c r="U707" t="inlineStr">
        <is>
          <t>BUJALSKI TOMASZ</t>
        </is>
      </c>
    </row>
    <row r="708">
      <c r="A708" s="1" t="n">
        <v>46153</v>
      </c>
      <c r="B708" t="inlineStr">
        <is>
          <t>627867401</t>
        </is>
      </c>
      <c r="C708" t="inlineStr">
        <is>
          <t>ANNA RUSEK-WOLSKA</t>
        </is>
      </c>
      <c r="D708" t="inlineStr">
        <is>
          <t>49121601822</t>
        </is>
      </c>
      <c r="E708" s="1" t="n">
        <v>46090</v>
      </c>
      <c r="F708" t="inlineStr">
        <is>
          <t>Planowy</t>
        </is>
      </c>
      <c r="G708" t="inlineStr">
        <is>
          <t>MR</t>
        </is>
      </c>
      <c r="H708" t="inlineStr">
        <is>
          <t>MR miednicy z kontrastem</t>
        </is>
      </c>
      <c r="I708" t="inlineStr">
        <is>
          <t>MR Onkologia</t>
        </is>
      </c>
      <c r="J708" t="inlineStr">
        <is>
          <t>1 okolica anatomiczna</t>
        </is>
      </c>
      <c r="K708" t="inlineStr">
        <is>
          <t>Tomasz Bujalski</t>
        </is>
      </c>
      <c r="L708" t="inlineStr">
        <is>
          <t> </t>
        </is>
      </c>
      <c r="M708" t="inlineStr">
        <is>
          <t> </t>
        </is>
      </c>
      <c r="N708" t="inlineStr">
        <is>
          <t> </t>
        </is>
      </c>
      <c r="O708" t="inlineStr">
        <is>
          <t> </t>
        </is>
      </c>
      <c r="P708" t="inlineStr">
        <is>
          <t> </t>
        </is>
      </c>
      <c r="Q708" t="inlineStr">
        <is>
          <t> </t>
        </is>
      </c>
      <c r="R708" t="inlineStr">
        <is>
          <t>wsswroclaw</t>
        </is>
      </c>
      <c r="S708" s="1" t="n">
        <v>46125.53819444445</v>
      </c>
      <c r="T708" t="n">
        <v>0</v>
      </c>
      <c r="U708" t="inlineStr">
        <is>
          <t>BUJALSKI TOMASZ</t>
        </is>
      </c>
    </row>
    <row r="709">
      <c r="A709" s="1" t="n">
        <v>46154</v>
      </c>
      <c r="B709" t="inlineStr">
        <is>
          <t>620892102</t>
        </is>
      </c>
      <c r="C709" t="inlineStr">
        <is>
          <t>BERNARD PYCKA</t>
        </is>
      </c>
      <c r="D709" t="inlineStr">
        <is>
          <t>50020606555</t>
        </is>
      </c>
      <c r="E709" s="1" t="n">
        <v>46086</v>
      </c>
      <c r="F709" t="inlineStr">
        <is>
          <t>Planowy</t>
        </is>
      </c>
      <c r="G709" t="inlineStr">
        <is>
          <t>MR</t>
        </is>
      </c>
      <c r="H709" t="inlineStr">
        <is>
          <t>MR miednicy z kontrastem</t>
        </is>
      </c>
      <c r="I709" t="inlineStr">
        <is>
          <t>MR Onkologia</t>
        </is>
      </c>
      <c r="J709" t="inlineStr">
        <is>
          <t>1 okolica anatomiczna</t>
        </is>
      </c>
      <c r="K709" t="inlineStr">
        <is>
          <t>Tomasz Bujalski</t>
        </is>
      </c>
      <c r="L709" t="inlineStr">
        <is>
          <t> </t>
        </is>
      </c>
      <c r="M709" t="inlineStr">
        <is>
          <t> </t>
        </is>
      </c>
      <c r="N709" t="inlineStr">
        <is>
          <t> </t>
        </is>
      </c>
      <c r="O709" t="inlineStr">
        <is>
          <t> </t>
        </is>
      </c>
      <c r="P709" t="inlineStr">
        <is>
          <t> </t>
        </is>
      </c>
      <c r="Q709" t="inlineStr">
        <is>
          <t> </t>
        </is>
      </c>
      <c r="R709" t="inlineStr">
        <is>
          <t>wsswroclaw</t>
        </is>
      </c>
      <c r="S709" s="1" t="n">
        <v>46136.38194444445</v>
      </c>
      <c r="T709" t="n">
        <v>0</v>
      </c>
      <c r="U709" t="inlineStr">
        <is>
          <t>BUJALSKI TOMASZ</t>
        </is>
      </c>
    </row>
    <row r="710">
      <c r="A710" s="1" t="n">
        <v>46154</v>
      </c>
      <c r="B710" t="inlineStr">
        <is>
          <t>635503690</t>
        </is>
      </c>
      <c r="C710" t="inlineStr">
        <is>
          <t>EKATERINA VEDENICHEVA</t>
        </is>
      </c>
      <c r="D710" t="inlineStr">
        <is>
          <t>89110614145</t>
        </is>
      </c>
      <c r="E710" s="1" t="n">
        <v>46115</v>
      </c>
      <c r="F710" t="inlineStr">
        <is>
          <t>Planowy</t>
        </is>
      </c>
      <c r="G710" t="inlineStr">
        <is>
          <t>MR</t>
        </is>
      </c>
      <c r="H710" t="inlineStr">
        <is>
          <t>MR miednicy z kontrastem</t>
        </is>
      </c>
      <c r="I710" t="inlineStr">
        <is>
          <t>MR Onkologia</t>
        </is>
      </c>
      <c r="J710" t="inlineStr">
        <is>
          <t>1 okolica anatomiczna</t>
        </is>
      </c>
      <c r="K710" t="inlineStr">
        <is>
          <t>Tomasz Bujalski</t>
        </is>
      </c>
      <c r="L710" t="inlineStr">
        <is>
          <t> </t>
        </is>
      </c>
      <c r="M710" t="inlineStr">
        <is>
          <t> </t>
        </is>
      </c>
      <c r="N710" t="inlineStr">
        <is>
          <t> </t>
        </is>
      </c>
      <c r="O710" t="inlineStr">
        <is>
          <t> </t>
        </is>
      </c>
      <c r="P710" t="inlineStr">
        <is>
          <t> </t>
        </is>
      </c>
      <c r="Q710" t="inlineStr">
        <is>
          <t> </t>
        </is>
      </c>
      <c r="R710" t="inlineStr">
        <is>
          <t>wsswroclaw</t>
        </is>
      </c>
      <c r="S710" s="1" t="n">
        <v>46136.41388888889</v>
      </c>
      <c r="T710" t="n">
        <v>0</v>
      </c>
      <c r="U710" t="inlineStr">
        <is>
          <t>BUJALSKI TOMASZ</t>
        </is>
      </c>
    </row>
    <row r="711">
      <c r="A711" s="1" t="n">
        <v>46154</v>
      </c>
      <c r="B711" t="inlineStr">
        <is>
          <t>635951542</t>
        </is>
      </c>
      <c r="C711" t="inlineStr">
        <is>
          <t>ALINA KYRYLENKO</t>
        </is>
      </c>
      <c r="D711" t="inlineStr">
        <is>
          <t>03210213121</t>
        </is>
      </c>
      <c r="E711" s="1" t="n">
        <v>46121</v>
      </c>
      <c r="F711" t="inlineStr">
        <is>
          <t>Planowy</t>
        </is>
      </c>
      <c r="G711" t="inlineStr">
        <is>
          <t>MR</t>
        </is>
      </c>
      <c r="H711" t="inlineStr">
        <is>
          <t>MR miednicy z kontrastem</t>
        </is>
      </c>
      <c r="I711" t="inlineStr">
        <is>
          <t>MR Inne - wtym prostata, miednica, jama brzuszna tkanki miekkie</t>
        </is>
      </c>
      <c r="J711" t="inlineStr">
        <is>
          <t>1 okolica anatomiczna</t>
        </is>
      </c>
      <c r="K711" t="inlineStr">
        <is>
          <t>Tomasz Bujalski</t>
        </is>
      </c>
      <c r="L711" t="inlineStr">
        <is>
          <t> </t>
        </is>
      </c>
      <c r="M711" t="inlineStr">
        <is>
          <t> </t>
        </is>
      </c>
      <c r="N711" t="inlineStr">
        <is>
          <t> </t>
        </is>
      </c>
      <c r="O711" t="inlineStr">
        <is>
          <t> </t>
        </is>
      </c>
      <c r="P711" t="inlineStr">
        <is>
          <t> </t>
        </is>
      </c>
      <c r="Q711" t="inlineStr">
        <is>
          <t> </t>
        </is>
      </c>
      <c r="R711" t="inlineStr">
        <is>
          <t>wsswroclaw</t>
        </is>
      </c>
      <c r="S711" s="1" t="n">
        <v>46136.50694444445</v>
      </c>
      <c r="T711" t="n">
        <v>0</v>
      </c>
      <c r="U711" t="inlineStr">
        <is>
          <t>BUJALSKI TOMASZ</t>
        </is>
      </c>
    </row>
    <row r="712">
      <c r="A712" s="1" t="n">
        <v>46154</v>
      </c>
      <c r="B712" t="inlineStr">
        <is>
          <t>638015186</t>
        </is>
      </c>
      <c r="C712" t="inlineStr">
        <is>
          <t>KRYSTYNA LENARTOWICZ</t>
        </is>
      </c>
      <c r="D712" t="inlineStr">
        <is>
          <t>48030126721</t>
        </is>
      </c>
      <c r="E712" s="1" t="n">
        <v>46133</v>
      </c>
      <c r="F712" t="inlineStr">
        <is>
          <t>Planowy</t>
        </is>
      </c>
      <c r="G712" t="inlineStr">
        <is>
          <t>MR</t>
        </is>
      </c>
      <c r="H712" t="inlineStr">
        <is>
          <t>MR miednicy z kontrastem</t>
        </is>
      </c>
      <c r="I712" t="inlineStr">
        <is>
          <t>MR Onkologia</t>
        </is>
      </c>
      <c r="J712" t="inlineStr">
        <is>
          <t>1 okolica anatomiczna</t>
        </is>
      </c>
      <c r="K712" t="inlineStr">
        <is>
          <t>Tomasz Bujalski</t>
        </is>
      </c>
      <c r="L712" t="inlineStr">
        <is>
          <t> </t>
        </is>
      </c>
      <c r="M712" t="inlineStr">
        <is>
          <t> </t>
        </is>
      </c>
      <c r="N712" t="inlineStr">
        <is>
          <t> </t>
        </is>
      </c>
      <c r="O712" t="inlineStr">
        <is>
          <t> </t>
        </is>
      </c>
      <c r="P712" t="inlineStr">
        <is>
          <t> </t>
        </is>
      </c>
      <c r="Q712" t="inlineStr">
        <is>
          <t> </t>
        </is>
      </c>
      <c r="R712" t="inlineStr">
        <is>
          <t>wsswroclaw</t>
        </is>
      </c>
      <c r="S712" s="1" t="n">
        <v>46136.38541666666</v>
      </c>
      <c r="T712" t="n">
        <v>0</v>
      </c>
      <c r="U712" t="inlineStr">
        <is>
          <t>BUJALSKI TOMASZ</t>
        </is>
      </c>
    </row>
    <row r="713">
      <c r="A713" s="1" t="n">
        <v>46154</v>
      </c>
      <c r="B713" t="inlineStr">
        <is>
          <t>639032691</t>
        </is>
      </c>
      <c r="C713" t="inlineStr">
        <is>
          <t>LIUBOMYRA HIRNA</t>
        </is>
      </c>
      <c r="D713" t="inlineStr">
        <is>
          <t>72050416320</t>
        </is>
      </c>
      <c r="E713" s="1" t="n">
        <v>46128</v>
      </c>
      <c r="F713" t="inlineStr">
        <is>
          <t>Planowy</t>
        </is>
      </c>
      <c r="G713" t="inlineStr">
        <is>
          <t>MR</t>
        </is>
      </c>
      <c r="H713" t="inlineStr">
        <is>
          <t>MR miednicy z kontrastem</t>
        </is>
      </c>
      <c r="I713" t="inlineStr">
        <is>
          <t>MR Onkologia</t>
        </is>
      </c>
      <c r="J713" t="inlineStr">
        <is>
          <t>1 okolica anatomiczna</t>
        </is>
      </c>
      <c r="K713" t="inlineStr">
        <is>
          <t>Tomasz Bujalski</t>
        </is>
      </c>
      <c r="L713" t="inlineStr">
        <is>
          <t> </t>
        </is>
      </c>
      <c r="M713" t="inlineStr">
        <is>
          <t> </t>
        </is>
      </c>
      <c r="N713" t="inlineStr">
        <is>
          <t> </t>
        </is>
      </c>
      <c r="O713" t="inlineStr">
        <is>
          <t> </t>
        </is>
      </c>
      <c r="P713" t="inlineStr">
        <is>
          <t> </t>
        </is>
      </c>
      <c r="Q713" t="inlineStr">
        <is>
          <t> </t>
        </is>
      </c>
      <c r="R713" t="inlineStr">
        <is>
          <t>wsswroclaw</t>
        </is>
      </c>
      <c r="S713" s="1" t="n">
        <v>46136.40833333333</v>
      </c>
      <c r="T713" t="n">
        <v>0</v>
      </c>
      <c r="U713" t="inlineStr">
        <is>
          <t>BUJALSKI TOMASZ</t>
        </is>
      </c>
    </row>
    <row r="714">
      <c r="A714" s="1" t="n">
        <v>46155</v>
      </c>
      <c r="B714" t="inlineStr">
        <is>
          <t>647574014</t>
        </is>
      </c>
      <c r="C714" t="inlineStr">
        <is>
          <t>MARIAN NIEDOSPIAL</t>
        </is>
      </c>
      <c r="D714" t="inlineStr">
        <is>
          <t>56042002674</t>
        </is>
      </c>
      <c r="E714" s="1" t="n">
        <v>46155</v>
      </c>
      <c r="F714" t="inlineStr">
        <is>
          <t>CITO-CITO</t>
        </is>
      </c>
      <c r="G714" t="inlineStr">
        <is>
          <t>TK</t>
        </is>
      </c>
      <c r="H714" t="inlineStr">
        <is>
          <t>TK klatki piersiowej z kontrastem</t>
        </is>
      </c>
      <c r="I714" t="inlineStr">
        <is>
          <t>TK Zwykłe</t>
        </is>
      </c>
      <c r="J714" t="inlineStr">
        <is>
          <t>1 okolica anatomiczna</t>
        </is>
      </c>
      <c r="K714" t="inlineStr">
        <is>
          <t>Tomasz Bujalski</t>
        </is>
      </c>
      <c r="L714" t="inlineStr">
        <is>
          <t> </t>
        </is>
      </c>
      <c r="M714" t="inlineStr">
        <is>
          <t> </t>
        </is>
      </c>
      <c r="N714" t="inlineStr">
        <is>
          <t> </t>
        </is>
      </c>
      <c r="O714" t="inlineStr">
        <is>
          <t> </t>
        </is>
      </c>
      <c r="P714" t="inlineStr">
        <is>
          <t> </t>
        </is>
      </c>
      <c r="Q714" t="inlineStr">
        <is>
          <t> </t>
        </is>
      </c>
      <c r="R714" t="inlineStr">
        <is>
          <t>wsswroclaw</t>
        </is>
      </c>
      <c r="S714" s="1" t="n">
        <v>46155.75972222222</v>
      </c>
      <c r="T714" t="n">
        <v>0</v>
      </c>
      <c r="U714" t="inlineStr">
        <is>
          <t>BUJALSKI TOMASZ</t>
        </is>
      </c>
    </row>
    <row r="715">
      <c r="A715" s="1" t="n">
        <v>46156</v>
      </c>
      <c r="B715" t="inlineStr">
        <is>
          <t>608495878</t>
        </is>
      </c>
      <c r="C715" t="inlineStr">
        <is>
          <t>ZOFIA HNATEK</t>
        </is>
      </c>
      <c r="D715" t="inlineStr">
        <is>
          <t>48120602940</t>
        </is>
      </c>
      <c r="E715" s="1" t="n">
        <v>46104</v>
      </c>
      <c r="F715" t="inlineStr">
        <is>
          <t>Planowy</t>
        </is>
      </c>
      <c r="G715" t="inlineStr">
        <is>
          <t>MR</t>
        </is>
      </c>
      <c r="H715" t="inlineStr">
        <is>
          <t>MR miednicy z kontrastem</t>
        </is>
      </c>
      <c r="I715" t="inlineStr">
        <is>
          <t>MR Onkologia</t>
        </is>
      </c>
      <c r="J715" t="inlineStr">
        <is>
          <t>1 okolica anatomiczna</t>
        </is>
      </c>
      <c r="K715" t="inlineStr">
        <is>
          <t>Tomasz Bujalski</t>
        </is>
      </c>
      <c r="L715" t="inlineStr">
        <is>
          <t> </t>
        </is>
      </c>
      <c r="M715" t="inlineStr">
        <is>
          <t> </t>
        </is>
      </c>
      <c r="N715" t="inlineStr">
        <is>
          <t> </t>
        </is>
      </c>
      <c r="O715" t="inlineStr">
        <is>
          <t> </t>
        </is>
      </c>
      <c r="P715" t="inlineStr">
        <is>
          <t> </t>
        </is>
      </c>
      <c r="Q715" t="inlineStr">
        <is>
          <t> </t>
        </is>
      </c>
      <c r="R715" t="inlineStr">
        <is>
          <t>wsswroclaw</t>
        </is>
      </c>
      <c r="S715" s="1" t="n">
        <v>46136.5125</v>
      </c>
      <c r="T715" t="n">
        <v>0</v>
      </c>
      <c r="U715" t="inlineStr">
        <is>
          <t>BUJALSKI TOMASZ</t>
        </is>
      </c>
    </row>
    <row r="716">
      <c r="A716" s="1" t="n">
        <v>46156</v>
      </c>
      <c r="B716" t="inlineStr">
        <is>
          <t>627853969</t>
        </is>
      </c>
      <c r="C716" t="inlineStr">
        <is>
          <t>AGNIESZKA FAFULA</t>
        </is>
      </c>
      <c r="D716" t="inlineStr">
        <is>
          <t>74042313925</t>
        </is>
      </c>
      <c r="E716" s="1" t="n">
        <v>46125</v>
      </c>
      <c r="F716" t="inlineStr">
        <is>
          <t>Planowy</t>
        </is>
      </c>
      <c r="G716" t="inlineStr">
        <is>
          <t>MR</t>
        </is>
      </c>
      <c r="H716" t="inlineStr">
        <is>
          <t>MR miednicy z kontrastem</t>
        </is>
      </c>
      <c r="I716" t="inlineStr">
        <is>
          <t>MR Onkologia</t>
        </is>
      </c>
      <c r="J716" t="inlineStr">
        <is>
          <t>1 okolica anatomiczna</t>
        </is>
      </c>
      <c r="K716" t="inlineStr">
        <is>
          <t>Tomasz Bujalski</t>
        </is>
      </c>
      <c r="L716" t="inlineStr">
        <is>
          <t> </t>
        </is>
      </c>
      <c r="M716" t="inlineStr">
        <is>
          <t> </t>
        </is>
      </c>
      <c r="N716" t="inlineStr">
        <is>
          <t> </t>
        </is>
      </c>
      <c r="O716" t="inlineStr">
        <is>
          <t> </t>
        </is>
      </c>
      <c r="P716" t="inlineStr">
        <is>
          <t> </t>
        </is>
      </c>
      <c r="Q716" t="inlineStr">
        <is>
          <t> </t>
        </is>
      </c>
      <c r="R716" t="inlineStr">
        <is>
          <t>wsswroclaw</t>
        </is>
      </c>
      <c r="S716" s="1" t="n">
        <v>46136.525</v>
      </c>
      <c r="T716" t="n">
        <v>0</v>
      </c>
      <c r="U716" t="inlineStr">
        <is>
          <t>BUJALSKI TOMASZ</t>
        </is>
      </c>
    </row>
    <row r="717">
      <c r="A717" s="1" t="n">
        <v>46156</v>
      </c>
      <c r="B717" t="inlineStr">
        <is>
          <t>636363011</t>
        </is>
      </c>
      <c r="C717" t="inlineStr">
        <is>
          <t>WLADYSLAW DYK</t>
        </is>
      </c>
      <c r="D717" t="inlineStr">
        <is>
          <t>48091000512</t>
        </is>
      </c>
      <c r="E717" s="1" t="n">
        <v>46126</v>
      </c>
      <c r="F717" t="inlineStr">
        <is>
          <t>Planowy</t>
        </is>
      </c>
      <c r="G717" t="inlineStr">
        <is>
          <t>MR</t>
        </is>
      </c>
      <c r="H717" t="inlineStr">
        <is>
          <t>MR miednicy z kontrastem</t>
        </is>
      </c>
      <c r="I717" t="inlineStr">
        <is>
          <t>MR Onkologia</t>
        </is>
      </c>
      <c r="J717" t="inlineStr">
        <is>
          <t>1 okolica anatomiczna</t>
        </is>
      </c>
      <c r="K717" t="inlineStr">
        <is>
          <t>Tomasz Bujalski</t>
        </is>
      </c>
      <c r="L717" t="inlineStr">
        <is>
          <t> </t>
        </is>
      </c>
      <c r="M717" t="inlineStr">
        <is>
          <t> </t>
        </is>
      </c>
      <c r="N717" t="inlineStr">
        <is>
          <t> </t>
        </is>
      </c>
      <c r="O717" t="inlineStr">
        <is>
          <t> </t>
        </is>
      </c>
      <c r="P717" t="inlineStr">
        <is>
          <t> </t>
        </is>
      </c>
      <c r="Q717" t="inlineStr">
        <is>
          <t> </t>
        </is>
      </c>
      <c r="R717" t="inlineStr">
        <is>
          <t>wsswroclaw</t>
        </is>
      </c>
      <c r="S717" s="1" t="n">
        <v>46136.51111111111</v>
      </c>
      <c r="T717" t="n">
        <v>0</v>
      </c>
      <c r="U717" t="inlineStr">
        <is>
          <t>BUJALSKI TOMASZ</t>
        </is>
      </c>
    </row>
    <row r="718">
      <c r="A718" s="1" t="n">
        <v>46157</v>
      </c>
      <c r="B718" t="inlineStr">
        <is>
          <t>621734205</t>
        </is>
      </c>
      <c r="C718" t="inlineStr">
        <is>
          <t>WOJCIECH LACHOWICZ</t>
        </is>
      </c>
      <c r="D718" t="inlineStr">
        <is>
          <t>63041612036</t>
        </is>
      </c>
      <c r="E718" s="1" t="n">
        <v>46100</v>
      </c>
      <c r="F718" t="inlineStr">
        <is>
          <t>Planowy</t>
        </is>
      </c>
      <c r="G718" t="inlineStr">
        <is>
          <t>MR</t>
        </is>
      </c>
      <c r="H718" t="inlineStr">
        <is>
          <t>MR dynam - jamy brzusznej z kontrastem</t>
        </is>
      </c>
      <c r="I718" t="inlineStr">
        <is>
          <t>MR Onkologia</t>
        </is>
      </c>
      <c r="J718" t="inlineStr">
        <is>
          <t>1 okolica anatomiczna</t>
        </is>
      </c>
      <c r="K718" t="inlineStr">
        <is>
          <t>Tomasz Bujalski</t>
        </is>
      </c>
      <c r="L718" t="inlineStr">
        <is>
          <t> </t>
        </is>
      </c>
      <c r="M718" t="inlineStr">
        <is>
          <t> </t>
        </is>
      </c>
      <c r="N718" t="inlineStr">
        <is>
          <t> </t>
        </is>
      </c>
      <c r="O718" t="inlineStr">
        <is>
          <t> </t>
        </is>
      </c>
      <c r="P718" t="inlineStr">
        <is>
          <t> </t>
        </is>
      </c>
      <c r="Q718" t="inlineStr">
        <is>
          <t> </t>
        </is>
      </c>
      <c r="R718" t="inlineStr">
        <is>
          <t>wsswroclaw</t>
        </is>
      </c>
      <c r="S718" s="1" t="n">
        <v>46136.52291666667</v>
      </c>
      <c r="T718" t="n">
        <v>0</v>
      </c>
      <c r="U718" t="inlineStr">
        <is>
          <t>BUJALSKI TOMASZ</t>
        </is>
      </c>
    </row>
    <row r="719">
      <c r="A719" s="1" t="n">
        <v>46157</v>
      </c>
      <c r="B719" t="inlineStr">
        <is>
          <t>635766234</t>
        </is>
      </c>
      <c r="C719" t="inlineStr">
        <is>
          <t>MAREK SLABY</t>
        </is>
      </c>
      <c r="D719" t="inlineStr">
        <is>
          <t>49011409778</t>
        </is>
      </c>
      <c r="E719" s="1" t="n">
        <v>46125</v>
      </c>
      <c r="F719" t="inlineStr">
        <is>
          <t>Planowy</t>
        </is>
      </c>
      <c r="G719" t="inlineStr">
        <is>
          <t>MR</t>
        </is>
      </c>
      <c r="H719" t="inlineStr">
        <is>
          <t>MR dynam - jamy brzusznej z kontrastem</t>
        </is>
      </c>
      <c r="I719" t="inlineStr">
        <is>
          <t>MR Inne - wtym prostata, miednica, jama brzuszna tkanki miekkie</t>
        </is>
      </c>
      <c r="J719" t="inlineStr">
        <is>
          <t>1 okolica anatomiczna</t>
        </is>
      </c>
      <c r="K719" t="inlineStr">
        <is>
          <t>Tomasz Bujalski</t>
        </is>
      </c>
      <c r="L719" t="inlineStr">
        <is>
          <t> </t>
        </is>
      </c>
      <c r="M719" t="inlineStr">
        <is>
          <t> </t>
        </is>
      </c>
      <c r="N719" t="inlineStr">
        <is>
          <t> </t>
        </is>
      </c>
      <c r="O719" t="inlineStr">
        <is>
          <t> </t>
        </is>
      </c>
      <c r="P719" t="inlineStr">
        <is>
          <t> </t>
        </is>
      </c>
      <c r="Q719" t="inlineStr">
        <is>
          <t> </t>
        </is>
      </c>
      <c r="R719" t="inlineStr">
        <is>
          <t>wsswroclaw</t>
        </is>
      </c>
      <c r="S719" s="1" t="n">
        <v>46136.51180555556</v>
      </c>
      <c r="T719" t="n">
        <v>0</v>
      </c>
      <c r="U719" t="inlineStr">
        <is>
          <t>BUJALSKI TOMASZ</t>
        </is>
      </c>
    </row>
    <row r="720">
      <c r="A720" s="1" t="n">
        <v>46161</v>
      </c>
      <c r="B720" t="inlineStr">
        <is>
          <t>628616387</t>
        </is>
      </c>
      <c r="C720" t="inlineStr">
        <is>
          <t>IRENA LANCUCKA</t>
        </is>
      </c>
      <c r="D720" t="inlineStr">
        <is>
          <t>57101910026</t>
        </is>
      </c>
      <c r="E720" s="1" t="n">
        <v>46091</v>
      </c>
      <c r="F720" t="inlineStr">
        <is>
          <t>Planowy</t>
        </is>
      </c>
      <c r="G720" t="inlineStr">
        <is>
          <t>MR</t>
        </is>
      </c>
      <c r="H720" t="inlineStr">
        <is>
          <t>MR jamy brzusznej</t>
        </is>
      </c>
      <c r="I720" t="inlineStr">
        <is>
          <t>MR Onkologia</t>
        </is>
      </c>
      <c r="J720" t="inlineStr">
        <is>
          <t>1 okolica anatomiczna</t>
        </is>
      </c>
      <c r="K720" t="inlineStr">
        <is>
          <t>Tomasz Bujalski</t>
        </is>
      </c>
      <c r="L720" t="inlineStr">
        <is>
          <t> </t>
        </is>
      </c>
      <c r="M720" t="inlineStr">
        <is>
          <t> </t>
        </is>
      </c>
      <c r="N720" t="inlineStr">
        <is>
          <t> </t>
        </is>
      </c>
      <c r="O720" t="inlineStr">
        <is>
          <t> </t>
        </is>
      </c>
      <c r="P720" t="inlineStr">
        <is>
          <t> </t>
        </is>
      </c>
      <c r="Q720" t="inlineStr">
        <is>
          <t> </t>
        </is>
      </c>
      <c r="R720" t="inlineStr">
        <is>
          <t>wsswroclaw</t>
        </is>
      </c>
      <c r="S720" s="1" t="n">
        <v>46154.28194444445</v>
      </c>
      <c r="T720" t="n">
        <v>0</v>
      </c>
      <c r="U720" t="inlineStr">
        <is>
          <t>BUJALSKI TOMASZ</t>
        </is>
      </c>
    </row>
    <row r="721">
      <c r="A721" s="1" t="n">
        <v>46165</v>
      </c>
      <c r="B721" t="inlineStr">
        <is>
          <t>650064231</t>
        </is>
      </c>
      <c r="C721" t="inlineStr">
        <is>
          <t>GRZEGORZ RAJSKI</t>
        </is>
      </c>
      <c r="D721" t="inlineStr">
        <is>
          <t>77021310052</t>
        </is>
      </c>
      <c r="E721" s="1" t="n">
        <v>46165</v>
      </c>
      <c r="F721" t="inlineStr">
        <is>
          <t>CITO-CITO</t>
        </is>
      </c>
      <c r="G721" t="inlineStr">
        <is>
          <t>TK</t>
        </is>
      </c>
      <c r="H721" t="inlineStr">
        <is>
          <t>TK piramid kości skroniowych</t>
        </is>
      </c>
      <c r="I721" t="inlineStr">
        <is>
          <t>TK Zwykłe</t>
        </is>
      </c>
      <c r="J721" t="inlineStr">
        <is>
          <t>1 okolica anatomiczna</t>
        </is>
      </c>
      <c r="K721" t="inlineStr">
        <is>
          <t>Tomasz Bujalski</t>
        </is>
      </c>
      <c r="L721" t="inlineStr">
        <is>
          <t> </t>
        </is>
      </c>
      <c r="M721" t="inlineStr">
        <is>
          <t> </t>
        </is>
      </c>
      <c r="N721" t="inlineStr">
        <is>
          <t> </t>
        </is>
      </c>
      <c r="O721" t="inlineStr">
        <is>
          <t> </t>
        </is>
      </c>
      <c r="P721" t="inlineStr">
        <is>
          <t> </t>
        </is>
      </c>
      <c r="Q721" t="inlineStr">
        <is>
          <t> </t>
        </is>
      </c>
      <c r="R721" t="inlineStr">
        <is>
          <t>wsswroclaw</t>
        </is>
      </c>
      <c r="S721" s="1" t="n">
        <v>46165.56597222222</v>
      </c>
      <c r="T721" t="n">
        <v>0</v>
      </c>
      <c r="U721" t="inlineStr">
        <is>
          <t>BUJALSKI TOMASZ</t>
        </is>
      </c>
    </row>
    <row r="722">
      <c r="A722" s="1" t="n">
        <v>46172</v>
      </c>
      <c r="B722" t="inlineStr">
        <is>
          <t>651867720</t>
        </is>
      </c>
      <c r="C722" t="inlineStr">
        <is>
          <t>MARIA WOJDA</t>
        </is>
      </c>
      <c r="D722" t="inlineStr">
        <is>
          <t>50052207665</t>
        </is>
      </c>
      <c r="E722" s="1" t="n">
        <v>46172</v>
      </c>
      <c r="F722" t="inlineStr">
        <is>
          <t>CITO-CITO</t>
        </is>
      </c>
      <c r="G722" t="inlineStr">
        <is>
          <t>TK</t>
        </is>
      </c>
      <c r="H722" t="inlineStr">
        <is>
          <t>TK j.brzusznej i miednicy z kontrastem</t>
        </is>
      </c>
      <c r="I722" t="inlineStr">
        <is>
          <t>TK Zwykłe</t>
        </is>
      </c>
      <c r="J722" t="inlineStr">
        <is>
          <t>2 okolice anatomiczne</t>
        </is>
      </c>
      <c r="K722" t="inlineStr">
        <is>
          <t>Tomasz Bujalski</t>
        </is>
      </c>
      <c r="L722" t="inlineStr">
        <is>
          <t> </t>
        </is>
      </c>
      <c r="M722" t="inlineStr">
        <is>
          <t> </t>
        </is>
      </c>
      <c r="N722" t="inlineStr">
        <is>
          <t> </t>
        </is>
      </c>
      <c r="O722" t="inlineStr">
        <is>
          <t> </t>
        </is>
      </c>
      <c r="P722" t="inlineStr">
        <is>
          <t> </t>
        </is>
      </c>
      <c r="Q722" t="inlineStr">
        <is>
          <t> </t>
        </is>
      </c>
      <c r="R722" t="inlineStr">
        <is>
          <t>wsswroclaw</t>
        </is>
      </c>
      <c r="S722" s="1" t="n">
        <v>46172.53333333333</v>
      </c>
      <c r="T722" t="n">
        <v>0</v>
      </c>
      <c r="U722" t="inlineStr">
        <is>
          <t>BUJALSKI TOMASZ</t>
        </is>
      </c>
    </row>
    <row r="723">
      <c r="A723" s="1" t="n">
        <v>46172</v>
      </c>
      <c r="B723" t="inlineStr">
        <is>
          <t>651869666</t>
        </is>
      </c>
      <c r="C723" t="inlineStr">
        <is>
          <t>ARKADIUSZ GRECH</t>
        </is>
      </c>
      <c r="D723" t="inlineStr">
        <is>
          <t>69042109159</t>
        </is>
      </c>
      <c r="E723" s="1" t="n">
        <v>46172</v>
      </c>
      <c r="F723" t="inlineStr">
        <is>
          <t>CITO-CITO</t>
        </is>
      </c>
      <c r="G723" t="inlineStr">
        <is>
          <t>TK</t>
        </is>
      </c>
      <c r="H723" t="inlineStr">
        <is>
          <t>TK angio klatki piersiowej</t>
        </is>
      </c>
      <c r="I723" t="inlineStr">
        <is>
          <t>TK Angiografia</t>
        </is>
      </c>
      <c r="J723" t="inlineStr">
        <is>
          <t>1 okolica anatomiczna</t>
        </is>
      </c>
      <c r="K723" t="inlineStr">
        <is>
          <t>Tomasz Bujalski</t>
        </is>
      </c>
      <c r="L723" t="inlineStr">
        <is>
          <t> </t>
        </is>
      </c>
      <c r="M723" t="inlineStr">
        <is>
          <t> </t>
        </is>
      </c>
      <c r="N723" t="inlineStr">
        <is>
          <t> </t>
        </is>
      </c>
      <c r="O723" t="inlineStr">
        <is>
          <t> </t>
        </is>
      </c>
      <c r="P723" t="inlineStr">
        <is>
          <t> </t>
        </is>
      </c>
      <c r="Q723" t="inlineStr">
        <is>
          <t> </t>
        </is>
      </c>
      <c r="R723" t="inlineStr">
        <is>
          <t>wsswroclaw</t>
        </is>
      </c>
      <c r="S723" s="1" t="n">
        <v>46172.51527777778</v>
      </c>
      <c r="T723" t="n">
        <v>0</v>
      </c>
      <c r="U723" t="inlineStr">
        <is>
          <t>BUJALSKI TOMASZ</t>
        </is>
      </c>
    </row>
    <row r="724">
      <c r="A724" s="1" t="n">
        <v>46172</v>
      </c>
      <c r="B724" t="inlineStr">
        <is>
          <t>651869666</t>
        </is>
      </c>
      <c r="C724" t="inlineStr">
        <is>
          <t>ARKADIUSZ GRECH</t>
        </is>
      </c>
      <c r="D724" t="inlineStr">
        <is>
          <t>69042109159</t>
        </is>
      </c>
      <c r="E724" s="1" t="n">
        <v>46172</v>
      </c>
      <c r="F724" t="inlineStr">
        <is>
          <t>CITO-CITO</t>
        </is>
      </c>
      <c r="G724" t="inlineStr">
        <is>
          <t>TK</t>
        </is>
      </c>
      <c r="H724" t="inlineStr">
        <is>
          <t>TK głowy</t>
        </is>
      </c>
      <c r="I724" t="inlineStr">
        <is>
          <t>TK Onkologia</t>
        </is>
      </c>
      <c r="J724" t="inlineStr">
        <is>
          <t>1 okolica anatomiczna</t>
        </is>
      </c>
      <c r="K724" t="inlineStr">
        <is>
          <t>Tomasz Bujalski</t>
        </is>
      </c>
      <c r="L724" t="inlineStr">
        <is>
          <t> </t>
        </is>
      </c>
      <c r="M724" t="inlineStr">
        <is>
          <t> </t>
        </is>
      </c>
      <c r="N724" t="inlineStr">
        <is>
          <t> </t>
        </is>
      </c>
      <c r="O724" t="inlineStr">
        <is>
          <t> </t>
        </is>
      </c>
      <c r="P724" t="inlineStr">
        <is>
          <t> </t>
        </is>
      </c>
      <c r="Q724" t="inlineStr">
        <is>
          <t> </t>
        </is>
      </c>
      <c r="R724" t="inlineStr">
        <is>
          <t>wsswroclaw</t>
        </is>
      </c>
      <c r="S724" s="1" t="n">
        <v>46172.51527777778</v>
      </c>
      <c r="T724" t="n">
        <v>0</v>
      </c>
      <c r="U724" t="inlineStr">
        <is>
          <t>BUJALSKI TOMASZ</t>
        </is>
      </c>
    </row>
    <row r="725">
      <c r="A725" s="1" t="n">
        <v>46172</v>
      </c>
      <c r="B725" t="inlineStr">
        <is>
          <t>651869666</t>
        </is>
      </c>
      <c r="C725" t="inlineStr">
        <is>
          <t>ARKADIUSZ GRECH</t>
        </is>
      </c>
      <c r="D725" t="inlineStr">
        <is>
          <t>69042109159</t>
        </is>
      </c>
      <c r="E725" s="1" t="n">
        <v>46172</v>
      </c>
      <c r="F725" t="inlineStr">
        <is>
          <t>CITO-CITO</t>
        </is>
      </c>
      <c r="G725" t="inlineStr">
        <is>
          <t>TK</t>
        </is>
      </c>
      <c r="H725" t="inlineStr">
        <is>
          <t>TK j.brzusznej i miednicy z kontrastem</t>
        </is>
      </c>
      <c r="I725" t="inlineStr">
        <is>
          <t>TK Zwykłe</t>
        </is>
      </c>
      <c r="J725" t="inlineStr">
        <is>
          <t>2 okolice anatomiczne</t>
        </is>
      </c>
      <c r="K725" t="inlineStr">
        <is>
          <t>Tomasz Bujalski</t>
        </is>
      </c>
      <c r="L725" t="inlineStr">
        <is>
          <t> </t>
        </is>
      </c>
      <c r="M725" t="inlineStr">
        <is>
          <t> </t>
        </is>
      </c>
      <c r="N725" t="inlineStr">
        <is>
          <t> </t>
        </is>
      </c>
      <c r="O725" t="inlineStr">
        <is>
          <t> </t>
        </is>
      </c>
      <c r="P725" t="inlineStr">
        <is>
          <t> </t>
        </is>
      </c>
      <c r="Q725" t="inlineStr">
        <is>
          <t> </t>
        </is>
      </c>
      <c r="R725" t="inlineStr">
        <is>
          <t>wsswroclaw</t>
        </is>
      </c>
      <c r="S725" s="1" t="n">
        <v>46172.51527777778</v>
      </c>
      <c r="T725" t="n">
        <v>0</v>
      </c>
      <c r="U725" t="inlineStr">
        <is>
          <t>BUJALSKI TOMASZ</t>
        </is>
      </c>
    </row>
    <row r="726">
      <c r="A726" s="1" t="n">
        <v>46158</v>
      </c>
      <c r="B726" t="inlineStr">
        <is>
          <t>239334-2026</t>
        </is>
      </c>
      <c r="C726" t="inlineStr">
        <is>
          <t>JÓZEF POP£AWSKI</t>
        </is>
      </c>
      <c r="D726" t="inlineStr">
        <is>
          <t>61032715597</t>
        </is>
      </c>
      <c r="E726" s="1" t="n">
        <v>46158</v>
      </c>
      <c r="F726" t="inlineStr">
        <is>
          <t>CITO-CITO</t>
        </is>
      </c>
      <c r="G726" t="inlineStr">
        <is>
          <t>TK</t>
        </is>
      </c>
      <c r="H726" t="inlineStr">
        <is>
          <t>TK angio kończyn dolnych</t>
        </is>
      </c>
      <c r="I726" t="inlineStr">
        <is>
          <t>TK Angiografia</t>
        </is>
      </c>
      <c r="J726" t="inlineStr">
        <is>
          <t>3 okolice anatomiczne</t>
        </is>
      </c>
      <c r="K726" t="inlineStr">
        <is>
          <t>Tomasz Bujalski</t>
        </is>
      </c>
      <c r="L726" t="inlineStr">
        <is>
          <t> </t>
        </is>
      </c>
      <c r="M726" t="inlineStr">
        <is>
          <t> </t>
        </is>
      </c>
      <c r="N726" t="inlineStr">
        <is>
          <t> </t>
        </is>
      </c>
      <c r="O726" t="inlineStr">
        <is>
          <t> </t>
        </is>
      </c>
      <c r="P726" t="inlineStr">
        <is>
          <t> </t>
        </is>
      </c>
      <c r="Q726" t="inlineStr">
        <is>
          <t> </t>
        </is>
      </c>
      <c r="R726" t="inlineStr">
        <is>
          <t>wysmaz</t>
        </is>
      </c>
      <c r="S726" s="1" t="n">
        <v>46158.51875</v>
      </c>
      <c r="T726" t="n">
        <v>0</v>
      </c>
      <c r="U726" t="inlineStr">
        <is>
          <t>BUJALSKI TOMASZ</t>
        </is>
      </c>
    </row>
    <row r="727">
      <c r="A727" s="1" t="n">
        <v>46159</v>
      </c>
      <c r="B727" t="inlineStr">
        <is>
          <t>240049-2026</t>
        </is>
      </c>
      <c r="C727" t="inlineStr">
        <is>
          <t>ADRIAN KULESZA</t>
        </is>
      </c>
      <c r="D727" t="inlineStr">
        <is>
          <t>04240401670</t>
        </is>
      </c>
      <c r="E727" s="1" t="n">
        <v>46159</v>
      </c>
      <c r="F727" t="inlineStr">
        <is>
          <t>CITO-CITO</t>
        </is>
      </c>
      <c r="G727" t="inlineStr">
        <is>
          <t>TK</t>
        </is>
      </c>
      <c r="H727" t="inlineStr">
        <is>
          <t>TK j.brzusznej i miednicy</t>
        </is>
      </c>
      <c r="I727" t="inlineStr">
        <is>
          <t>TK Zwykłe</t>
        </is>
      </c>
      <c r="J727" t="inlineStr">
        <is>
          <t>2 okolice anatomiczne</t>
        </is>
      </c>
      <c r="K727" t="inlineStr">
        <is>
          <t>Tomasz Bujalski</t>
        </is>
      </c>
      <c r="L727" t="inlineStr">
        <is>
          <t> </t>
        </is>
      </c>
      <c r="M727" t="inlineStr">
        <is>
          <t> </t>
        </is>
      </c>
      <c r="N727" t="inlineStr">
        <is>
          <t> </t>
        </is>
      </c>
      <c r="O727" t="inlineStr">
        <is>
          <t> </t>
        </is>
      </c>
      <c r="P727" t="inlineStr">
        <is>
          <t> </t>
        </is>
      </c>
      <c r="Q727" t="inlineStr">
        <is>
          <t> </t>
        </is>
      </c>
      <c r="R727" t="inlineStr">
        <is>
          <t>wysmaz</t>
        </is>
      </c>
      <c r="S727" s="1" t="n">
        <v>46159.37847222222</v>
      </c>
      <c r="T727" t="n">
        <v>0</v>
      </c>
      <c r="U727" t="inlineStr">
        <is>
          <t>BUJALSKI TOMASZ</t>
        </is>
      </c>
    </row>
    <row r="728">
      <c r="A728" s="1" t="n">
        <v>46164</v>
      </c>
      <c r="B728" t="inlineStr">
        <is>
          <t>74412-186441</t>
        </is>
      </c>
      <c r="C728" t="inlineStr">
        <is>
          <t>ARKADIUSZ KONSTAÑCZUK</t>
        </is>
      </c>
      <c r="D728" t="inlineStr">
        <is>
          <t>79053015952</t>
        </is>
      </c>
      <c r="E728" s="1" t="n">
        <v>46164</v>
      </c>
      <c r="F728" t="inlineStr">
        <is>
          <t>CITO-CITO</t>
        </is>
      </c>
      <c r="G728" t="inlineStr">
        <is>
          <t>MR</t>
        </is>
      </c>
      <c r="H728" t="inlineStr">
        <is>
          <t>MR głowy z kontrastem</t>
        </is>
      </c>
      <c r="I728" t="inlineStr">
        <is>
          <t>MR Neurologia</t>
        </is>
      </c>
      <c r="J728" t="inlineStr">
        <is>
          <t>1 okolica anatomiczna</t>
        </is>
      </c>
      <c r="K728" t="inlineStr">
        <is>
          <t>Tomasz Bujalski</t>
        </is>
      </c>
      <c r="L728" t="inlineStr">
        <is>
          <t> </t>
        </is>
      </c>
      <c r="M728" t="inlineStr">
        <is>
          <t> </t>
        </is>
      </c>
      <c r="N728" t="inlineStr">
        <is>
          <t> </t>
        </is>
      </c>
      <c r="O728" t="inlineStr">
        <is>
          <t> </t>
        </is>
      </c>
      <c r="P728" t="inlineStr">
        <is>
          <t> </t>
        </is>
      </c>
      <c r="Q728" t="inlineStr">
        <is>
          <t> </t>
        </is>
      </c>
      <c r="R728" t="inlineStr">
        <is>
          <t>wysmaz</t>
        </is>
      </c>
      <c r="S728" s="1" t="n">
        <v>46164.45277777778</v>
      </c>
      <c r="T728" t="n">
        <v>0</v>
      </c>
      <c r="U728" t="inlineStr">
        <is>
          <t>BUJALSKI TOMASZ</t>
        </is>
      </c>
    </row>
    <row r="729">
      <c r="A729" s="1" t="n">
        <v>46151</v>
      </c>
      <c r="B729" t="inlineStr">
        <is>
          <t>TK/26/7195</t>
        </is>
      </c>
      <c r="C729" t="inlineStr">
        <is>
          <t>Tomasz Zagozda</t>
        </is>
      </c>
      <c r="D729" t="inlineStr">
        <is>
          <t>64051714071</t>
        </is>
      </c>
      <c r="E729" s="1" t="n">
        <v>46151</v>
      </c>
      <c r="F729" t="inlineStr">
        <is>
          <t>CITO-CITO</t>
        </is>
      </c>
      <c r="G729" t="inlineStr">
        <is>
          <t>TK</t>
        </is>
      </c>
      <c r="H729" t="inlineStr">
        <is>
          <t>TK GŁOWA</t>
        </is>
      </c>
      <c r="I729" t="inlineStr">
        <is>
          <t>TK Zwykłe</t>
        </is>
      </c>
      <c r="J729" t="inlineStr">
        <is>
          <t>1 okolica anatomiczna</t>
        </is>
      </c>
      <c r="K729" t="inlineStr">
        <is>
          <t>Tomasz Bujalski</t>
        </is>
      </c>
      <c r="L729" t="inlineStr">
        <is>
          <t> </t>
        </is>
      </c>
      <c r="M729" t="inlineStr">
        <is>
          <t>Wielospecjalistyczny Szpital - Samodzielny Publiczny Zespół Opieki Zdrowotnej w Zgorzelcu</t>
        </is>
      </c>
      <c r="N729" t="inlineStr">
        <is>
          <t>Szpitalny oddział ratunkowy</t>
        </is>
      </c>
      <c r="O729" t="inlineStr">
        <is>
          <t>Maryna Bahailiuk</t>
        </is>
      </c>
      <c r="P729" t="inlineStr">
        <is>
          <t>4188312</t>
        </is>
      </c>
      <c r="Q729" t="inlineStr">
        <is>
          <t> </t>
        </is>
      </c>
      <c r="R729" t="inlineStr">
        <is>
          <t>zgorzelec</t>
        </is>
      </c>
      <c r="S729" s="1" t="n">
        <v>46151.66944444444</v>
      </c>
      <c r="T729" t="n">
        <v>1</v>
      </c>
      <c r="U729" t="inlineStr">
        <is>
          <t>BUJALSKI TOMASZ</t>
        </is>
      </c>
    </row>
    <row r="730">
      <c r="A730" s="1" t="n">
        <v>46151</v>
      </c>
      <c r="B730" t="inlineStr">
        <is>
          <t>TK/26/7196</t>
        </is>
      </c>
      <c r="C730" t="inlineStr">
        <is>
          <t>Tomasz Zagozda</t>
        </is>
      </c>
      <c r="D730" t="inlineStr">
        <is>
          <t>64051714071</t>
        </is>
      </c>
      <c r="E730" s="1" t="n">
        <v>46151</v>
      </c>
      <c r="F730" t="inlineStr">
        <is>
          <t>CITO-CITO</t>
        </is>
      </c>
      <c r="G730" t="inlineStr">
        <is>
          <t>TK</t>
        </is>
      </c>
      <c r="H730" t="inlineStr">
        <is>
          <t>TK ANGIO TT SZYJNYCH</t>
        </is>
      </c>
      <c r="I730" t="inlineStr">
        <is>
          <t>TK Angiografia</t>
        </is>
      </c>
      <c r="J730" t="inlineStr">
        <is>
          <t>1 okolica anatomiczna</t>
        </is>
      </c>
      <c r="K730" t="inlineStr">
        <is>
          <t>Tomasz Bujalski</t>
        </is>
      </c>
      <c r="L730" t="inlineStr">
        <is>
          <t> </t>
        </is>
      </c>
      <c r="M730" t="inlineStr">
        <is>
          <t>Wielospecjalistyczny Szpital - Samodzielny Publiczny Zespół Opieki Zdrowotnej w Zgorzelcu</t>
        </is>
      </c>
      <c r="N730" t="inlineStr">
        <is>
          <t>Szpitalny oddział ratunkowy</t>
        </is>
      </c>
      <c r="O730" t="inlineStr">
        <is>
          <t>Maryna Bahailiuk</t>
        </is>
      </c>
      <c r="P730" t="inlineStr">
        <is>
          <t>4188312</t>
        </is>
      </c>
      <c r="Q730" t="inlineStr">
        <is>
          <t> </t>
        </is>
      </c>
      <c r="R730" t="inlineStr">
        <is>
          <t>zgorzelec</t>
        </is>
      </c>
      <c r="S730" s="1" t="n">
        <v>46151.66944444444</v>
      </c>
      <c r="T730" t="n">
        <v>1</v>
      </c>
      <c r="U730" t="inlineStr">
        <is>
          <t>BUJALSKI TOMASZ</t>
        </is>
      </c>
    </row>
    <row r="731">
      <c r="A731" s="1" t="n">
        <v>46151</v>
      </c>
      <c r="B731" t="inlineStr">
        <is>
          <t>TK/26/7197</t>
        </is>
      </c>
      <c r="C731" t="inlineStr">
        <is>
          <t>Tomasz Zagozda</t>
        </is>
      </c>
      <c r="D731" t="inlineStr">
        <is>
          <t>64051714071</t>
        </is>
      </c>
      <c r="E731" s="1" t="n">
        <v>46151</v>
      </c>
      <c r="F731" t="inlineStr">
        <is>
          <t>CITO-CITO</t>
        </is>
      </c>
      <c r="G731" t="inlineStr">
        <is>
          <t>TK</t>
        </is>
      </c>
      <c r="H731" t="inlineStr">
        <is>
          <t>TK ANGIO GŁOWY</t>
        </is>
      </c>
      <c r="I731" t="inlineStr">
        <is>
          <t>TK Angiografia</t>
        </is>
      </c>
      <c r="J731" t="inlineStr">
        <is>
          <t>1 okolica anatomiczna</t>
        </is>
      </c>
      <c r="K731" t="inlineStr">
        <is>
          <t>Tomasz Bujalski</t>
        </is>
      </c>
      <c r="L731" t="inlineStr">
        <is>
          <t> </t>
        </is>
      </c>
      <c r="M731" t="inlineStr">
        <is>
          <t>Wielospecjalistyczny Szpital - Samodzielny Publiczny Zespół Opieki Zdrowotnej w Zgorzelcu</t>
        </is>
      </c>
      <c r="N731" t="inlineStr">
        <is>
          <t>Szpitalny oddział ratunkowy</t>
        </is>
      </c>
      <c r="O731" t="inlineStr">
        <is>
          <t>Maryna Bahailiuk</t>
        </is>
      </c>
      <c r="P731" t="inlineStr">
        <is>
          <t>4188312</t>
        </is>
      </c>
      <c r="Q731" t="inlineStr">
        <is>
          <t> </t>
        </is>
      </c>
      <c r="R731" t="inlineStr">
        <is>
          <t>zgorzelec</t>
        </is>
      </c>
      <c r="S731" s="1" t="n">
        <v>46151.66944444444</v>
      </c>
      <c r="T731" t="n">
        <v>1</v>
      </c>
      <c r="U731" t="inlineStr">
        <is>
          <t>BUJALSKI TOMASZ</t>
        </is>
      </c>
    </row>
    <row r="732">
      <c r="A732" s="1" t="n">
        <v>46152</v>
      </c>
      <c r="B732" t="inlineStr">
        <is>
          <t>TK/26/7211</t>
        </is>
      </c>
      <c r="C732" t="inlineStr">
        <is>
          <t>AGNIESZKA Ważyńska</t>
        </is>
      </c>
      <c r="D732" t="inlineStr">
        <is>
          <t>32011302905</t>
        </is>
      </c>
      <c r="E732" s="1" t="n">
        <v>46152</v>
      </c>
      <c r="F732" t="inlineStr">
        <is>
          <t>CITO-CITO</t>
        </is>
      </c>
      <c r="G732" t="inlineStr">
        <is>
          <t>TK</t>
        </is>
      </c>
      <c r="H732" t="inlineStr">
        <is>
          <t>TK GŁOWA</t>
        </is>
      </c>
      <c r="I732" t="inlineStr">
        <is>
          <t>TK Zwykłe</t>
        </is>
      </c>
      <c r="J732" t="inlineStr">
        <is>
          <t>1 okolica anatomiczna</t>
        </is>
      </c>
      <c r="K732" t="inlineStr">
        <is>
          <t>Tomasz Bujalski</t>
        </is>
      </c>
      <c r="L732" t="inlineStr">
        <is>
          <t> </t>
        </is>
      </c>
      <c r="M732" t="inlineStr">
        <is>
          <t>Wielospecjalistyczny Szpital - Samodzielny Publiczny Zespół Opieki Zdrowotnej w Zgorzelcu</t>
        </is>
      </c>
      <c r="N732" t="inlineStr">
        <is>
          <t>Szpitalny oddział ratunkowy</t>
        </is>
      </c>
      <c r="O732" t="inlineStr">
        <is>
          <t>Arkadiusz Edward Kawka</t>
        </is>
      </c>
      <c r="P732" t="inlineStr">
        <is>
          <t>5560237</t>
        </is>
      </c>
      <c r="Q732" t="inlineStr">
        <is>
          <t>S01.8</t>
        </is>
      </c>
      <c r="R732" t="inlineStr">
        <is>
          <t>zgorzelec</t>
        </is>
      </c>
      <c r="S732" s="1" t="n">
        <v>46152.56944444445</v>
      </c>
      <c r="T732" t="n">
        <v>0</v>
      </c>
      <c r="U732" t="inlineStr">
        <is>
          <t>BUJALSKI TOMASZ</t>
        </is>
      </c>
    </row>
    <row r="733">
      <c r="A733" s="1" t="n">
        <v>46155</v>
      </c>
      <c r="B733" t="inlineStr">
        <is>
          <t>TK/26/6114</t>
        </is>
      </c>
      <c r="C733" t="inlineStr">
        <is>
          <t>RYSZARD GRZELAKOWSKI</t>
        </is>
      </c>
      <c r="D733" t="inlineStr">
        <is>
          <t>50100511335</t>
        </is>
      </c>
      <c r="E733" s="1" t="n">
        <v>46129</v>
      </c>
      <c r="F733" t="inlineStr">
        <is>
          <t>Planowy</t>
        </is>
      </c>
      <c r="G733" t="inlineStr">
        <is>
          <t>TK</t>
        </is>
      </c>
      <c r="H733" t="inlineStr">
        <is>
          <t>TK KL. PIER. + J. BRZUSZ. + MM + KONTRAST</t>
        </is>
      </c>
      <c r="I733" t="inlineStr">
        <is>
          <t>TK Onkologia</t>
        </is>
      </c>
      <c r="J733" t="inlineStr">
        <is>
          <t>3 okolice anatomiczne</t>
        </is>
      </c>
      <c r="K733" t="inlineStr">
        <is>
          <t>Tomasz Bujalski</t>
        </is>
      </c>
      <c r="L733" t="inlineStr">
        <is>
          <t> </t>
        </is>
      </c>
      <c r="M733" t="inlineStr">
        <is>
          <t>Wielospecjalistyczny Szpital - Samodzielny Publiczny Zespół Opieki Zdrowotnej w Zgorzelcu</t>
        </is>
      </c>
      <c r="N733" t="inlineStr">
        <is>
          <t>Poradnia hematologiczna</t>
        </is>
      </c>
      <c r="O733" t="inlineStr">
        <is>
          <t>Iwona Hanula</t>
        </is>
      </c>
      <c r="P733" t="inlineStr">
        <is>
          <t>4766662</t>
        </is>
      </c>
      <c r="Q733" t="inlineStr">
        <is>
          <t>R72</t>
        </is>
      </c>
      <c r="R733" t="inlineStr">
        <is>
          <t>zgorzelec</t>
        </is>
      </c>
      <c r="S733" s="1" t="n">
        <v>46155.48611111111</v>
      </c>
      <c r="T733" t="n">
        <v>3</v>
      </c>
      <c r="U733" t="inlineStr">
        <is>
          <t>BUJALSKI TOMASZ</t>
        </is>
      </c>
    </row>
    <row r="734">
      <c r="A734" s="1" t="n">
        <v>46162</v>
      </c>
      <c r="B734" t="inlineStr">
        <is>
          <t>TK/26/7680</t>
        </is>
      </c>
      <c r="C734" t="inlineStr">
        <is>
          <t>Sylwia Tomaszczyk</t>
        </is>
      </c>
      <c r="D734" t="inlineStr">
        <is>
          <t>82112813185</t>
        </is>
      </c>
      <c r="E734" s="1" t="n">
        <v>46162</v>
      </c>
      <c r="F734" t="inlineStr">
        <is>
          <t>CITO-CITO</t>
        </is>
      </c>
      <c r="G734" t="inlineStr">
        <is>
          <t>TK</t>
        </is>
      </c>
      <c r="H734" t="inlineStr">
        <is>
          <t>TK GŁOWA</t>
        </is>
      </c>
      <c r="I734" t="inlineStr">
        <is>
          <t>TK Zwykłe</t>
        </is>
      </c>
      <c r="J734" t="inlineStr">
        <is>
          <t>1 okolica anatomiczna</t>
        </is>
      </c>
      <c r="K734" t="inlineStr">
        <is>
          <t>Tomasz Bujalski</t>
        </is>
      </c>
      <c r="L734" t="inlineStr">
        <is>
          <t> </t>
        </is>
      </c>
      <c r="M734" t="inlineStr">
        <is>
          <t>Wielospecjalistyczny Szpital - Samodzielny Publiczny Zespół Opieki Zdrowotnej w Zgorzelcu</t>
        </is>
      </c>
      <c r="N734" t="inlineStr">
        <is>
          <t>Szpitalny oddział ratunkowy</t>
        </is>
      </c>
      <c r="O734" t="inlineStr">
        <is>
          <t>Dorota Knichał</t>
        </is>
      </c>
      <c r="P734" t="inlineStr">
        <is>
          <t>1766494</t>
        </is>
      </c>
      <c r="Q734" t="inlineStr">
        <is>
          <t> </t>
        </is>
      </c>
      <c r="R734" t="inlineStr">
        <is>
          <t>zgorzelec</t>
        </is>
      </c>
      <c r="S734" s="1" t="n">
        <v>46162.73888888889</v>
      </c>
      <c r="T734" t="n">
        <v>1</v>
      </c>
      <c r="U734" t="inlineStr">
        <is>
          <t>BUJALSKI TOMASZ</t>
        </is>
      </c>
    </row>
    <row r="735">
      <c r="A735" s="1" t="n">
        <v>46162</v>
      </c>
      <c r="B735" t="inlineStr">
        <is>
          <t>TK/26/7681</t>
        </is>
      </c>
      <c r="C735" t="inlineStr">
        <is>
          <t>Ewa Bednarz</t>
        </is>
      </c>
      <c r="D735" t="inlineStr">
        <is>
          <t>84100415429</t>
        </is>
      </c>
      <c r="E735" s="1" t="n">
        <v>46162</v>
      </c>
      <c r="F735" t="inlineStr">
        <is>
          <t>CITO-CITO</t>
        </is>
      </c>
      <c r="G735" t="inlineStr">
        <is>
          <t>TK</t>
        </is>
      </c>
      <c r="H735" t="inlineStr">
        <is>
          <t>TK GŁOWA</t>
        </is>
      </c>
      <c r="I735" t="inlineStr">
        <is>
          <t>TK Zwykłe</t>
        </is>
      </c>
      <c r="J735" t="inlineStr">
        <is>
          <t>1 okolica anatomiczna</t>
        </is>
      </c>
      <c r="K735" t="inlineStr">
        <is>
          <t>Tomasz Bujalski</t>
        </is>
      </c>
      <c r="L735" t="inlineStr">
        <is>
          <t> </t>
        </is>
      </c>
      <c r="M735" t="inlineStr">
        <is>
          <t>Wielospecjalistyczny Szpital - Samodzielny Publiczny Zespół Opieki Zdrowotnej w Zgorzelcu</t>
        </is>
      </c>
      <c r="N735" t="inlineStr">
        <is>
          <t>Szpitalny oddział ratunkowy</t>
        </is>
      </c>
      <c r="O735" t="inlineStr">
        <is>
          <t>Urszula Ziółkowska-Hoszowska</t>
        </is>
      </c>
      <c r="P735" t="inlineStr">
        <is>
          <t>2185440</t>
        </is>
      </c>
      <c r="Q735" t="inlineStr">
        <is>
          <t> </t>
        </is>
      </c>
      <c r="R735" t="inlineStr">
        <is>
          <t>zgorzelec</t>
        </is>
      </c>
      <c r="S735" s="1" t="n">
        <v>46162.76458333333</v>
      </c>
      <c r="T735" t="n">
        <v>1</v>
      </c>
      <c r="U735" t="inlineStr">
        <is>
          <t>BUJALSKI TOMASZ</t>
        </is>
      </c>
    </row>
    <row r="736">
      <c r="A736" s="1" t="n">
        <v>46162</v>
      </c>
      <c r="B736" t="inlineStr">
        <is>
          <t>TK/26/7682</t>
        </is>
      </c>
      <c r="C736" t="inlineStr">
        <is>
          <t>Ewa Bednarz</t>
        </is>
      </c>
      <c r="D736" t="inlineStr">
        <is>
          <t>84100415429</t>
        </is>
      </c>
      <c r="E736" s="1" t="n">
        <v>46162</v>
      </c>
      <c r="F736" t="inlineStr">
        <is>
          <t>CITO-CITO</t>
        </is>
      </c>
      <c r="G736" t="inlineStr">
        <is>
          <t>TK</t>
        </is>
      </c>
      <c r="H736" t="inlineStr">
        <is>
          <t>TK ANGIO TT SZYJNYCH</t>
        </is>
      </c>
      <c r="I736" t="inlineStr">
        <is>
          <t>TK Angiografia</t>
        </is>
      </c>
      <c r="J736" t="inlineStr">
        <is>
          <t>1 okolica anatomiczna</t>
        </is>
      </c>
      <c r="K736" t="inlineStr">
        <is>
          <t>Tomasz Bujalski</t>
        </is>
      </c>
      <c r="L736" t="inlineStr">
        <is>
          <t> </t>
        </is>
      </c>
      <c r="M736" t="inlineStr">
        <is>
          <t>Wielospecjalistyczny Szpital - Samodzielny Publiczny Zespół Opieki Zdrowotnej w Zgorzelcu</t>
        </is>
      </c>
      <c r="N736" t="inlineStr">
        <is>
          <t>Szpitalny oddział ratunkowy</t>
        </is>
      </c>
      <c r="O736" t="inlineStr">
        <is>
          <t>Urszula Ziółkowska-Hoszowska</t>
        </is>
      </c>
      <c r="P736" t="inlineStr">
        <is>
          <t>2185440</t>
        </is>
      </c>
      <c r="Q736" t="inlineStr">
        <is>
          <t> </t>
        </is>
      </c>
      <c r="R736" t="inlineStr">
        <is>
          <t>zgorzelec</t>
        </is>
      </c>
      <c r="S736" s="1" t="n">
        <v>46162.76458333333</v>
      </c>
      <c r="T736" t="n">
        <v>1</v>
      </c>
      <c r="U736" t="inlineStr">
        <is>
          <t>BUJALSKI TOMASZ</t>
        </is>
      </c>
    </row>
    <row r="737">
      <c r="A737" s="1" t="n">
        <v>46162</v>
      </c>
      <c r="B737" t="inlineStr">
        <is>
          <t>TK/26/7683</t>
        </is>
      </c>
      <c r="C737" t="inlineStr">
        <is>
          <t>Ewa Bednarz</t>
        </is>
      </c>
      <c r="D737" t="inlineStr">
        <is>
          <t>84100415429</t>
        </is>
      </c>
      <c r="E737" s="1" t="n">
        <v>46162</v>
      </c>
      <c r="F737" t="inlineStr">
        <is>
          <t>CITO-CITO</t>
        </is>
      </c>
      <c r="G737" t="inlineStr">
        <is>
          <t>TK</t>
        </is>
      </c>
      <c r="H737" t="inlineStr">
        <is>
          <t>TK ANGIO GŁOWY</t>
        </is>
      </c>
      <c r="I737" t="inlineStr">
        <is>
          <t>TK Angiografia</t>
        </is>
      </c>
      <c r="J737" t="inlineStr">
        <is>
          <t>1 okolica anatomiczna</t>
        </is>
      </c>
      <c r="K737" t="inlineStr">
        <is>
          <t>Tomasz Bujalski</t>
        </is>
      </c>
      <c r="L737" t="inlineStr">
        <is>
          <t> </t>
        </is>
      </c>
      <c r="M737" t="inlineStr">
        <is>
          <t>Wielospecjalistyczny Szpital - Samodzielny Publiczny Zespół Opieki Zdrowotnej w Zgorzelcu</t>
        </is>
      </c>
      <c r="N737" t="inlineStr">
        <is>
          <t>Szpitalny oddział ratunkowy</t>
        </is>
      </c>
      <c r="O737" t="inlineStr">
        <is>
          <t>Urszula Ziółkowska-Hoszowska</t>
        </is>
      </c>
      <c r="P737" t="inlineStr">
        <is>
          <t>2185440</t>
        </is>
      </c>
      <c r="Q737" t="inlineStr">
        <is>
          <t> </t>
        </is>
      </c>
      <c r="R737" t="inlineStr">
        <is>
          <t>zgorzelec</t>
        </is>
      </c>
      <c r="S737" s="1" t="n">
        <v>46162.76458333333</v>
      </c>
      <c r="T737" t="n">
        <v>1</v>
      </c>
      <c r="U737" t="inlineStr">
        <is>
          <t>BUJALSKI TOMASZ</t>
        </is>
      </c>
    </row>
    <row r="738">
      <c r="A738" s="1" t="n">
        <v>46162</v>
      </c>
      <c r="B738" t="inlineStr">
        <is>
          <t>TK/26/7684</t>
        </is>
      </c>
      <c r="C738" t="inlineStr">
        <is>
          <t>PIOTR ZAGAJEWSKI</t>
        </is>
      </c>
      <c r="D738" t="inlineStr">
        <is>
          <t>78082207839</t>
        </is>
      </c>
      <c r="E738" s="1" t="n">
        <v>46162</v>
      </c>
      <c r="F738" t="inlineStr">
        <is>
          <t>CITO-CITO</t>
        </is>
      </c>
      <c r="G738" t="inlineStr">
        <is>
          <t>TK</t>
        </is>
      </c>
      <c r="H738" t="inlineStr">
        <is>
          <t>TK GŁOWA</t>
        </is>
      </c>
      <c r="I738" t="inlineStr">
        <is>
          <t>TK Zwykłe</t>
        </is>
      </c>
      <c r="J738" t="inlineStr">
        <is>
          <t>1 okolica anatomiczna</t>
        </is>
      </c>
      <c r="K738" t="inlineStr">
        <is>
          <t>Tomasz Bujalski</t>
        </is>
      </c>
      <c r="L738" t="inlineStr">
        <is>
          <t> </t>
        </is>
      </c>
      <c r="M738" t="inlineStr">
        <is>
          <t>Wielospecjalistyczny Szpital - Samodzielny Publiczny Zespół Opieki Zdrowotnej w Zgorzelcu</t>
        </is>
      </c>
      <c r="N738" t="inlineStr">
        <is>
          <t>Szpitalny oddział ratunkowy</t>
        </is>
      </c>
      <c r="O738" t="inlineStr">
        <is>
          <t>Dorota Knichał</t>
        </is>
      </c>
      <c r="P738" t="inlineStr">
        <is>
          <t>1766494</t>
        </is>
      </c>
      <c r="Q738" t="inlineStr">
        <is>
          <t> </t>
        </is>
      </c>
      <c r="R738" t="inlineStr">
        <is>
          <t>zgorzelec</t>
        </is>
      </c>
      <c r="S738" s="1" t="n">
        <v>46162.76597222222</v>
      </c>
      <c r="T738" t="n">
        <v>1</v>
      </c>
      <c r="U738" t="inlineStr">
        <is>
          <t>BUJALSKI TOMASZ</t>
        </is>
      </c>
    </row>
    <row r="739">
      <c r="A739" s="1" t="n">
        <v>46165</v>
      </c>
      <c r="B739" t="inlineStr">
        <is>
          <t>TK/26/7785</t>
        </is>
      </c>
      <c r="C739" t="inlineStr">
        <is>
          <t>Aniela Karnaś</t>
        </is>
      </c>
      <c r="D739" t="inlineStr">
        <is>
          <t>46053010041</t>
        </is>
      </c>
      <c r="E739" s="1" t="n">
        <v>46165</v>
      </c>
      <c r="F739" t="inlineStr">
        <is>
          <t>CITO-CITO</t>
        </is>
      </c>
      <c r="G739" t="inlineStr">
        <is>
          <t>TK</t>
        </is>
      </c>
      <c r="H739" t="inlineStr">
        <is>
          <t>TK KL. PIER.</t>
        </is>
      </c>
      <c r="I739" t="inlineStr">
        <is>
          <t>TK Zwykłe</t>
        </is>
      </c>
      <c r="J739" t="inlineStr">
        <is>
          <t>1 okolica anatomiczna</t>
        </is>
      </c>
      <c r="K739" t="inlineStr">
        <is>
          <t>Tomasz Bujalski</t>
        </is>
      </c>
      <c r="L739" t="inlineStr">
        <is>
          <t> </t>
        </is>
      </c>
      <c r="M739" t="inlineStr">
        <is>
          <t>Wielospecjalistyczny Szpital - Samodzielny Publiczny Zespół Opieki Zdrowotnej w Zgorzelcu</t>
        </is>
      </c>
      <c r="N739" t="inlineStr">
        <is>
          <t>Szpitalny oddział ratunkowy</t>
        </is>
      </c>
      <c r="O739" t="inlineStr">
        <is>
          <t>Anzhela Zhahalik</t>
        </is>
      </c>
      <c r="P739" t="inlineStr">
        <is>
          <t>4704389</t>
        </is>
      </c>
      <c r="Q739" t="inlineStr">
        <is>
          <t>G98</t>
        </is>
      </c>
      <c r="R739" t="inlineStr">
        <is>
          <t>zgorzelec</t>
        </is>
      </c>
      <c r="S739" s="1" t="n">
        <v>46165.65486111111</v>
      </c>
      <c r="T739" t="n">
        <v>0</v>
      </c>
      <c r="U739" t="inlineStr">
        <is>
          <t>BUJALSKI TOMASZ</t>
        </is>
      </c>
    </row>
    <row r="740">
      <c r="A740" s="1" t="n">
        <v>46167</v>
      </c>
      <c r="B740" t="inlineStr">
        <is>
          <t>TK/26/7695</t>
        </is>
      </c>
      <c r="C740" t="inlineStr">
        <is>
          <t>Bożena Hajt</t>
        </is>
      </c>
      <c r="D740" t="inlineStr">
        <is>
          <t>57042123088</t>
        </is>
      </c>
      <c r="E740" s="1" t="n">
        <v>46162</v>
      </c>
      <c r="F740" t="inlineStr">
        <is>
          <t>CITO-CITO</t>
        </is>
      </c>
      <c r="G740" t="inlineStr">
        <is>
          <t>TK</t>
        </is>
      </c>
      <c r="H740" t="inlineStr">
        <is>
          <t>TK GŁOWA</t>
        </is>
      </c>
      <c r="I740" t="inlineStr">
        <is>
          <t>TK Zwykłe</t>
        </is>
      </c>
      <c r="J740" t="inlineStr">
        <is>
          <t>1 okolica anatomiczna</t>
        </is>
      </c>
      <c r="K740" t="inlineStr">
        <is>
          <t>Tomasz Bujalski</t>
        </is>
      </c>
      <c r="L740" t="inlineStr">
        <is>
          <t> </t>
        </is>
      </c>
      <c r="M740" t="inlineStr">
        <is>
          <t>Wielospecjalistyczny Szpital - Samodzielny Publiczny Zespół Opieki Zdrowotnej w Zgorzelcu</t>
        </is>
      </c>
      <c r="N740" t="inlineStr">
        <is>
          <t>Szpitalny oddział ratunkowy</t>
        </is>
      </c>
      <c r="O740" t="inlineStr">
        <is>
          <t>Urszula Ziółkowska-Hoszowska</t>
        </is>
      </c>
      <c r="P740" t="inlineStr">
        <is>
          <t>2185440</t>
        </is>
      </c>
      <c r="Q740" t="inlineStr">
        <is>
          <t>I64</t>
        </is>
      </c>
      <c r="R740" t="inlineStr">
        <is>
          <t>zgorzelec</t>
        </is>
      </c>
      <c r="S740" s="1" t="n">
        <v>46167.42916666667</v>
      </c>
      <c r="T740" t="n">
        <v>1</v>
      </c>
      <c r="U740" t="inlineStr">
        <is>
          <t>BUJALSKI TOMASZ</t>
        </is>
      </c>
    </row>
    <row r="741">
      <c r="A741" s="1" t="n">
        <v>46167</v>
      </c>
      <c r="B741" t="inlineStr">
        <is>
          <t>TK/26/7696</t>
        </is>
      </c>
      <c r="C741" t="inlineStr">
        <is>
          <t>Bożena Hajt</t>
        </is>
      </c>
      <c r="D741" t="inlineStr">
        <is>
          <t>57042123088</t>
        </is>
      </c>
      <c r="E741" s="1" t="n">
        <v>46162</v>
      </c>
      <c r="F741" t="inlineStr">
        <is>
          <t>CITO-CITO</t>
        </is>
      </c>
      <c r="G741" t="inlineStr">
        <is>
          <t>TK</t>
        </is>
      </c>
      <c r="H741" t="inlineStr">
        <is>
          <t>TK ANGIO TT SZYJNYCH</t>
        </is>
      </c>
      <c r="I741" t="inlineStr">
        <is>
          <t>TK Angiografia</t>
        </is>
      </c>
      <c r="J741" t="inlineStr">
        <is>
          <t>1 okolica anatomiczna</t>
        </is>
      </c>
      <c r="K741" t="inlineStr">
        <is>
          <t>Tomasz Bujalski</t>
        </is>
      </c>
      <c r="L741" t="inlineStr">
        <is>
          <t> </t>
        </is>
      </c>
      <c r="M741" t="inlineStr">
        <is>
          <t>Wielospecjalistyczny Szpital - Samodzielny Publiczny Zespół Opieki Zdrowotnej w Zgorzelcu</t>
        </is>
      </c>
      <c r="N741" t="inlineStr">
        <is>
          <t>Szpitalny oddział ratunkowy</t>
        </is>
      </c>
      <c r="O741" t="inlineStr">
        <is>
          <t>Urszula Ziółkowska-Hoszowska</t>
        </is>
      </c>
      <c r="P741" t="inlineStr">
        <is>
          <t>2185440</t>
        </is>
      </c>
      <c r="Q741" t="inlineStr">
        <is>
          <t>I64</t>
        </is>
      </c>
      <c r="R741" t="inlineStr">
        <is>
          <t>zgorzelec</t>
        </is>
      </c>
      <c r="S741" s="1" t="n">
        <v>46167.42847222222</v>
      </c>
      <c r="T741" t="n">
        <v>1</v>
      </c>
      <c r="U741" t="inlineStr">
        <is>
          <t>BUJALSKI TOMASZ</t>
        </is>
      </c>
    </row>
    <row r="742">
      <c r="A742" s="1" t="n">
        <v>46167</v>
      </c>
      <c r="B742" t="inlineStr">
        <is>
          <t>TK/26/7697</t>
        </is>
      </c>
      <c r="C742" t="inlineStr">
        <is>
          <t>Bożena Hajt</t>
        </is>
      </c>
      <c r="D742" t="inlineStr">
        <is>
          <t>57042123088</t>
        </is>
      </c>
      <c r="E742" s="1" t="n">
        <v>46162</v>
      </c>
      <c r="F742" t="inlineStr">
        <is>
          <t>CITO-CITO</t>
        </is>
      </c>
      <c r="G742" t="inlineStr">
        <is>
          <t>TK</t>
        </is>
      </c>
      <c r="H742" t="inlineStr">
        <is>
          <t>TK ANGIO GŁOWY</t>
        </is>
      </c>
      <c r="I742" t="inlineStr">
        <is>
          <t>TK Angiografia</t>
        </is>
      </c>
      <c r="J742" t="inlineStr">
        <is>
          <t>1 okolica anatomiczna</t>
        </is>
      </c>
      <c r="K742" t="inlineStr">
        <is>
          <t>Tomasz Bujalski</t>
        </is>
      </c>
      <c r="L742" t="inlineStr">
        <is>
          <t> </t>
        </is>
      </c>
      <c r="M742" t="inlineStr">
        <is>
          <t>Wielospecjalistyczny Szpital - Samodzielny Publiczny Zespół Opieki Zdrowotnej w Zgorzelcu</t>
        </is>
      </c>
      <c r="N742" t="inlineStr">
        <is>
          <t>Szpitalny oddział ratunkowy</t>
        </is>
      </c>
      <c r="O742" t="inlineStr">
        <is>
          <t>Urszula Ziółkowska-Hoszowska</t>
        </is>
      </c>
      <c r="P742" t="inlineStr">
        <is>
          <t>2185440</t>
        </is>
      </c>
      <c r="Q742" t="inlineStr">
        <is>
          <t>I64</t>
        </is>
      </c>
      <c r="R742" t="inlineStr">
        <is>
          <t>zgorzelec</t>
        </is>
      </c>
      <c r="S742" s="1" t="n">
        <v>46167.42847222222</v>
      </c>
      <c r="T742" t="n">
        <v>1</v>
      </c>
      <c r="U742" t="inlineStr">
        <is>
          <t>BUJALSKI TOMASZ</t>
        </is>
      </c>
    </row>
    <row r="743">
      <c r="A743" s="1" t="n">
        <v>46169</v>
      </c>
      <c r="B743" t="inlineStr">
        <is>
          <t>TK/26/7964</t>
        </is>
      </c>
      <c r="C743" t="inlineStr">
        <is>
          <t>Krystyna Ałykow</t>
        </is>
      </c>
      <c r="D743" t="inlineStr">
        <is>
          <t>47100100326</t>
        </is>
      </c>
      <c r="E743" s="1" t="n">
        <v>46169</v>
      </c>
      <c r="F743" t="inlineStr">
        <is>
          <t>CITO-CITO</t>
        </is>
      </c>
      <c r="G743" t="inlineStr">
        <is>
          <t>TK</t>
        </is>
      </c>
      <c r="H743" t="inlineStr">
        <is>
          <t>TK GŁOWA</t>
        </is>
      </c>
      <c r="I743" t="inlineStr">
        <is>
          <t>TK Zwykłe</t>
        </is>
      </c>
      <c r="J743" t="inlineStr">
        <is>
          <t>1 okolica anatomiczna</t>
        </is>
      </c>
      <c r="K743" t="inlineStr">
        <is>
          <t>Tomasz Bujalski</t>
        </is>
      </c>
      <c r="L743" t="inlineStr">
        <is>
          <t> </t>
        </is>
      </c>
      <c r="M743" t="inlineStr">
        <is>
          <t>Wielospecjalistyczny Szpital - Samodzielny Publiczny Zespół Opieki Zdrowotnej w Zgorzelcu</t>
        </is>
      </c>
      <c r="N743" t="inlineStr">
        <is>
          <t>Szpitalny oddział ratunkowy</t>
        </is>
      </c>
      <c r="O743" t="inlineStr">
        <is>
          <t>Eugenia Żubrowska-Domanska</t>
        </is>
      </c>
      <c r="P743" t="inlineStr">
        <is>
          <t>1502756</t>
        </is>
      </c>
      <c r="Q743" t="inlineStr">
        <is>
          <t>R42</t>
        </is>
      </c>
      <c r="R743" t="inlineStr">
        <is>
          <t>zgorzelec</t>
        </is>
      </c>
      <c r="S743" s="1" t="n">
        <v>46169.71805555555</v>
      </c>
      <c r="T743" t="n">
        <v>1</v>
      </c>
      <c r="U743" t="inlineStr">
        <is>
          <t>BUJALSKI TOMASZ</t>
        </is>
      </c>
    </row>
    <row r="744">
      <c r="A744" s="1" t="n">
        <v>46169</v>
      </c>
      <c r="B744" t="inlineStr">
        <is>
          <t>TK/26/7965</t>
        </is>
      </c>
      <c r="C744" t="inlineStr">
        <is>
          <t>IRENA Chorąży</t>
        </is>
      </c>
      <c r="D744" t="inlineStr">
        <is>
          <t>41032803225</t>
        </is>
      </c>
      <c r="E744" s="1" t="n">
        <v>46169</v>
      </c>
      <c r="F744" t="inlineStr">
        <is>
          <t>CITO-CITO</t>
        </is>
      </c>
      <c r="G744" t="inlineStr">
        <is>
          <t>TK</t>
        </is>
      </c>
      <c r="H744" t="inlineStr">
        <is>
          <t>TK GŁOWA</t>
        </is>
      </c>
      <c r="I744" t="inlineStr">
        <is>
          <t>TK Zwykłe</t>
        </is>
      </c>
      <c r="J744" t="inlineStr">
        <is>
          <t>1 okolica anatomiczna</t>
        </is>
      </c>
      <c r="K744" t="inlineStr">
        <is>
          <t>Tomasz Bujalski</t>
        </is>
      </c>
      <c r="L744" t="inlineStr">
        <is>
          <t> </t>
        </is>
      </c>
      <c r="M744" t="inlineStr">
        <is>
          <t>Wielospecjalistyczny Szpital - Samodzielny Publiczny Zespół Opieki Zdrowotnej w Zgorzelcu</t>
        </is>
      </c>
      <c r="N744" t="inlineStr">
        <is>
          <t>Szpitalny oddział ratunkowy</t>
        </is>
      </c>
      <c r="O744" t="inlineStr">
        <is>
          <t>Magdalena Anna Słoma</t>
        </is>
      </c>
      <c r="P744" t="inlineStr">
        <is>
          <t>3610376</t>
        </is>
      </c>
      <c r="Q744" t="inlineStr">
        <is>
          <t> </t>
        </is>
      </c>
      <c r="R744" t="inlineStr">
        <is>
          <t>zgorzelec</t>
        </is>
      </c>
      <c r="S744" s="1" t="n">
        <v>46169.75486111111</v>
      </c>
      <c r="T744" t="n">
        <v>1</v>
      </c>
      <c r="U744" t="inlineStr">
        <is>
          <t>BUJALSKI TOMASZ</t>
        </is>
      </c>
    </row>
    <row r="745">
      <c r="A745" s="1" t="n">
        <v>46169</v>
      </c>
      <c r="B745" t="inlineStr">
        <is>
          <t>TK/26/7966</t>
        </is>
      </c>
      <c r="C745" t="inlineStr">
        <is>
          <t>IRENA Chorąży</t>
        </is>
      </c>
      <c r="D745" t="inlineStr">
        <is>
          <t>41032803225</t>
        </is>
      </c>
      <c r="E745" s="1" t="n">
        <v>46169</v>
      </c>
      <c r="F745" t="inlineStr">
        <is>
          <t>CITO-CITO</t>
        </is>
      </c>
      <c r="G745" t="inlineStr">
        <is>
          <t>TK</t>
        </is>
      </c>
      <c r="H745" t="inlineStr">
        <is>
          <t>TK KL. PIER. LOW DOSE</t>
        </is>
      </c>
      <c r="I745" t="inlineStr">
        <is>
          <t>TK Zwykłe</t>
        </is>
      </c>
      <c r="J745" t="inlineStr">
        <is>
          <t>1 okolica anatomiczna</t>
        </is>
      </c>
      <c r="K745" t="inlineStr">
        <is>
          <t>Tomasz Bujalski</t>
        </is>
      </c>
      <c r="L745" t="inlineStr">
        <is>
          <t> </t>
        </is>
      </c>
      <c r="M745" t="inlineStr">
        <is>
          <t>Wielospecjalistyczny Szpital - Samodzielny Publiczny Zespół Opieki Zdrowotnej w Zgorzelcu</t>
        </is>
      </c>
      <c r="N745" t="inlineStr">
        <is>
          <t>Szpitalny oddział ratunkowy</t>
        </is>
      </c>
      <c r="O745" t="inlineStr">
        <is>
          <t>Magdalena Anna Słoma</t>
        </is>
      </c>
      <c r="P745" t="inlineStr">
        <is>
          <t>3610376</t>
        </is>
      </c>
      <c r="Q745" t="inlineStr">
        <is>
          <t> </t>
        </is>
      </c>
      <c r="R745" t="inlineStr">
        <is>
          <t>zgorzelec</t>
        </is>
      </c>
      <c r="S745" s="1" t="n">
        <v>46169.75416666667</v>
      </c>
      <c r="T745" t="n">
        <v>1</v>
      </c>
      <c r="U745" t="inlineStr">
        <is>
          <t>BUJALSKI TOMASZ</t>
        </is>
      </c>
    </row>
    <row r="746">
      <c r="A746" s="1" t="n">
        <v>46169</v>
      </c>
      <c r="B746" t="inlineStr">
        <is>
          <t>TK/26/7967</t>
        </is>
      </c>
      <c r="C746" t="inlineStr">
        <is>
          <t>IRENA Chorąży</t>
        </is>
      </c>
      <c r="D746" t="inlineStr">
        <is>
          <t>41032803225</t>
        </is>
      </c>
      <c r="E746" s="1" t="n">
        <v>46169</v>
      </c>
      <c r="F746" t="inlineStr">
        <is>
          <t>CITO-CITO</t>
        </is>
      </c>
      <c r="G746" t="inlineStr">
        <is>
          <t>TK</t>
        </is>
      </c>
      <c r="H746" t="inlineStr">
        <is>
          <t>TK J. BRZUSZ. + MM</t>
        </is>
      </c>
      <c r="I746" t="inlineStr">
        <is>
          <t>TK Zwykłe</t>
        </is>
      </c>
      <c r="J746" t="inlineStr">
        <is>
          <t>2 okolice anatomiczne</t>
        </is>
      </c>
      <c r="K746" t="inlineStr">
        <is>
          <t>Tomasz Bujalski</t>
        </is>
      </c>
      <c r="L746" t="inlineStr">
        <is>
          <t> </t>
        </is>
      </c>
      <c r="M746" t="inlineStr">
        <is>
          <t>Wielospecjalistyczny Szpital - Samodzielny Publiczny Zespół Opieki Zdrowotnej w Zgorzelcu</t>
        </is>
      </c>
      <c r="N746" t="inlineStr">
        <is>
          <t>Szpitalny oddział ratunkowy</t>
        </is>
      </c>
      <c r="O746" t="inlineStr">
        <is>
          <t>Magdalena Anna Słoma</t>
        </is>
      </c>
      <c r="P746" t="inlineStr">
        <is>
          <t>3610376</t>
        </is>
      </c>
      <c r="Q746" t="inlineStr">
        <is>
          <t> </t>
        </is>
      </c>
      <c r="R746" t="inlineStr">
        <is>
          <t>zgorzelec</t>
        </is>
      </c>
      <c r="S746" s="1" t="n">
        <v>46169.75416666667</v>
      </c>
      <c r="T746" t="n">
        <v>2</v>
      </c>
      <c r="U746" t="inlineStr">
        <is>
          <t>BUJALSKI TOMASZ</t>
        </is>
      </c>
    </row>
    <row r="747">
      <c r="A747" s="1" t="n">
        <v>46152</v>
      </c>
      <c r="B747" t="inlineStr">
        <is>
          <t>TK/26/1164</t>
        </is>
      </c>
      <c r="C747" t="inlineStr">
        <is>
          <t>Mariusz Woroniec</t>
        </is>
      </c>
      <c r="D747" t="inlineStr">
        <is>
          <t>76102707576</t>
        </is>
      </c>
      <c r="E747" s="1" t="n">
        <v>46152</v>
      </c>
      <c r="F747" t="inlineStr">
        <is>
          <t>CITO-CITO</t>
        </is>
      </c>
      <c r="G747" t="inlineStr">
        <is>
          <t>TK</t>
        </is>
      </c>
      <c r="H747" t="inlineStr">
        <is>
          <t>TK angiografia szyi</t>
        </is>
      </c>
      <c r="I747" t="inlineStr">
        <is>
          <t>TK Angiografia</t>
        </is>
      </c>
      <c r="J747" t="inlineStr">
        <is>
          <t>1 okolica anatomiczna</t>
        </is>
      </c>
      <c r="K747" t="inlineStr">
        <is>
          <t>Tomasz Bujalski</t>
        </is>
      </c>
      <c r="L747" t="inlineStr">
        <is>
          <t> </t>
        </is>
      </c>
      <c r="M747" t="inlineStr">
        <is>
          <t>Zespół Opieki Zdrowotnej w Bolesławcu</t>
        </is>
      </c>
      <c r="N747" t="inlineStr">
        <is>
          <t>Szpitalny Oddział Ratunkowy/NPL</t>
        </is>
      </c>
      <c r="O747" t="inlineStr">
        <is>
          <t>Łukasz Bilaszewski</t>
        </is>
      </c>
      <c r="P747" t="inlineStr">
        <is>
          <t>2522864</t>
        </is>
      </c>
      <c r="Q747" t="inlineStr">
        <is>
          <t> </t>
        </is>
      </c>
      <c r="R747" t="inlineStr">
        <is>
          <t>zozboleslawiec</t>
        </is>
      </c>
      <c r="S747" s="1" t="n">
        <v>46152.57291666666</v>
      </c>
      <c r="T747" t="n">
        <v>0</v>
      </c>
      <c r="U747" t="inlineStr">
        <is>
          <t>BUJALSKI TOMASZ</t>
        </is>
      </c>
    </row>
    <row r="748">
      <c r="A748" s="1" t="n">
        <v>46152</v>
      </c>
      <c r="B748" t="inlineStr">
        <is>
          <t>TK/26/1165</t>
        </is>
      </c>
      <c r="C748" t="inlineStr">
        <is>
          <t>Mariusz Woroniec</t>
        </is>
      </c>
      <c r="D748" t="inlineStr">
        <is>
          <t>76102707576</t>
        </is>
      </c>
      <c r="E748" s="1" t="n">
        <v>46152</v>
      </c>
      <c r="F748" t="inlineStr">
        <is>
          <t>CITO-UDAR</t>
        </is>
      </c>
      <c r="G748" t="inlineStr">
        <is>
          <t>TK</t>
        </is>
      </c>
      <c r="H748" t="inlineStr">
        <is>
          <t>TK angiografia głowy</t>
        </is>
      </c>
      <c r="I748" t="inlineStr">
        <is>
          <t>TK Angiografia</t>
        </is>
      </c>
      <c r="J748" t="inlineStr">
        <is>
          <t>1 okolica anatomiczna</t>
        </is>
      </c>
      <c r="K748" t="inlineStr">
        <is>
          <t>Tomasz Bujalski</t>
        </is>
      </c>
      <c r="L748" t="inlineStr">
        <is>
          <t> </t>
        </is>
      </c>
      <c r="M748" t="inlineStr">
        <is>
          <t>Zespół Opieki Zdrowotnej w Bolesławcu</t>
        </is>
      </c>
      <c r="N748" t="inlineStr">
        <is>
          <t>Szpitalny Oddział Ratunkowy/NPL</t>
        </is>
      </c>
      <c r="O748" t="inlineStr">
        <is>
          <t>Łukasz Bilaszewski</t>
        </is>
      </c>
      <c r="P748" t="inlineStr">
        <is>
          <t>2522864</t>
        </is>
      </c>
      <c r="Q748" t="inlineStr">
        <is>
          <t> </t>
        </is>
      </c>
      <c r="R748" t="inlineStr">
        <is>
          <t>zozboleslawiec</t>
        </is>
      </c>
      <c r="S748" s="1" t="n">
        <v>46152.57430555556</v>
      </c>
      <c r="T748" t="n">
        <v>0</v>
      </c>
      <c r="U748" t="inlineStr">
        <is>
          <t>BUJALSKI TOMASZ</t>
        </is>
      </c>
    </row>
    <row r="749">
      <c r="A749" s="1" t="n">
        <v>46152</v>
      </c>
      <c r="B749" t="inlineStr">
        <is>
          <t>TK/26/1166</t>
        </is>
      </c>
      <c r="C749" t="inlineStr">
        <is>
          <t>Mariusz Woroniec</t>
        </is>
      </c>
      <c r="D749" t="inlineStr">
        <is>
          <t>76102707576</t>
        </is>
      </c>
      <c r="E749" s="1" t="n">
        <v>46152</v>
      </c>
      <c r="F749" t="inlineStr">
        <is>
          <t>CITO-UDAR</t>
        </is>
      </c>
      <c r="G749" t="inlineStr">
        <is>
          <t>TK</t>
        </is>
      </c>
      <c r="H749" t="inlineStr">
        <is>
          <t>TK głowy</t>
        </is>
      </c>
      <c r="I749" t="inlineStr">
        <is>
          <t>TK Onkologia</t>
        </is>
      </c>
      <c r="J749" t="inlineStr">
        <is>
          <t>1 okolica anatomiczna</t>
        </is>
      </c>
      <c r="K749" t="inlineStr">
        <is>
          <t>Tomasz Bujalski</t>
        </is>
      </c>
      <c r="L749" t="inlineStr">
        <is>
          <t> </t>
        </is>
      </c>
      <c r="M749" t="inlineStr">
        <is>
          <t>Zespół Opieki Zdrowotnej w Bolesławcu</t>
        </is>
      </c>
      <c r="N749" t="inlineStr">
        <is>
          <t>Szpitalny Oddział Ratunkowy/NPL</t>
        </is>
      </c>
      <c r="O749" t="inlineStr">
        <is>
          <t>Łukasz Bilaszewski</t>
        </is>
      </c>
      <c r="P749" t="inlineStr">
        <is>
          <t>2522864</t>
        </is>
      </c>
      <c r="Q749" t="inlineStr">
        <is>
          <t> </t>
        </is>
      </c>
      <c r="R749" t="inlineStr">
        <is>
          <t>zozboleslawiec</t>
        </is>
      </c>
      <c r="S749" s="1" t="n">
        <v>46152.57430555556</v>
      </c>
      <c r="T749" t="n">
        <v>0</v>
      </c>
      <c r="U749" t="inlineStr">
        <is>
          <t>BUJALSKI TOMASZ</t>
        </is>
      </c>
    </row>
    <row r="750">
      <c r="A750" s="1" t="n">
        <v>46158</v>
      </c>
      <c r="B750" t="inlineStr">
        <is>
          <t>TK/26/1502</t>
        </is>
      </c>
      <c r="C750" t="inlineStr">
        <is>
          <t>Bronisław Stefanicki</t>
        </is>
      </c>
      <c r="D750" t="inlineStr">
        <is>
          <t>43092206455</t>
        </is>
      </c>
      <c r="E750" s="1" t="n">
        <v>46158</v>
      </c>
      <c r="F750" t="inlineStr">
        <is>
          <t>CITO-CITO</t>
        </is>
      </c>
      <c r="G750" t="inlineStr">
        <is>
          <t>TK</t>
        </is>
      </c>
      <c r="H750" t="inlineStr">
        <is>
          <t>TK szyi bez i z kontrastem</t>
        </is>
      </c>
      <c r="I750" t="inlineStr">
        <is>
          <t>TK Onkologia</t>
        </is>
      </c>
      <c r="J750" t="inlineStr">
        <is>
          <t>1 okolica anatomiczna</t>
        </is>
      </c>
      <c r="K750" t="inlineStr">
        <is>
          <t>Tomasz Bujalski</t>
        </is>
      </c>
      <c r="L750" t="inlineStr">
        <is>
          <t> </t>
        </is>
      </c>
      <c r="M750" t="inlineStr">
        <is>
          <t>Zespół Opieki Zdrowotnej w Bolesławcu</t>
        </is>
      </c>
      <c r="N750" t="inlineStr">
        <is>
          <t>Szpitalny Oddział Ratunkowy/NPL</t>
        </is>
      </c>
      <c r="O750" t="inlineStr">
        <is>
          <t>Daria Witkowska</t>
        </is>
      </c>
      <c r="P750" t="inlineStr">
        <is>
          <t>3374194</t>
        </is>
      </c>
      <c r="Q750" t="inlineStr">
        <is>
          <t> </t>
        </is>
      </c>
      <c r="R750" t="inlineStr">
        <is>
          <t>zozboleslawiec</t>
        </is>
      </c>
      <c r="S750" s="1" t="n">
        <v>46158.55138888889</v>
      </c>
      <c r="T750" t="n">
        <v>0</v>
      </c>
      <c r="U750" t="inlineStr">
        <is>
          <t>BUJALSKI TOMASZ</t>
        </is>
      </c>
    </row>
    <row r="751">
      <c r="A751" s="1" t="n">
        <v>46158</v>
      </c>
      <c r="B751" t="inlineStr">
        <is>
          <t>TK/26/1503</t>
        </is>
      </c>
      <c r="C751" t="inlineStr">
        <is>
          <t>Bronisław Stefanicki</t>
        </is>
      </c>
      <c r="D751" t="inlineStr">
        <is>
          <t>43092206455</t>
        </is>
      </c>
      <c r="E751" s="1" t="n">
        <v>46158</v>
      </c>
      <c r="F751" t="inlineStr">
        <is>
          <t>CITO-CITO</t>
        </is>
      </c>
      <c r="G751" t="inlineStr">
        <is>
          <t>TK</t>
        </is>
      </c>
      <c r="H751" t="inlineStr">
        <is>
          <t>TK twarzoczaszki bez i z kontrastem</t>
        </is>
      </c>
      <c r="I751" t="inlineStr">
        <is>
          <t>TK Zwykłe</t>
        </is>
      </c>
      <c r="J751" t="inlineStr">
        <is>
          <t>1 okolica anatomiczna</t>
        </is>
      </c>
      <c r="K751" t="inlineStr">
        <is>
          <t>Tomasz Bujalski</t>
        </is>
      </c>
      <c r="L751" t="inlineStr">
        <is>
          <t> </t>
        </is>
      </c>
      <c r="M751" t="inlineStr">
        <is>
          <t>Zespół Opieki Zdrowotnej w Bolesławcu</t>
        </is>
      </c>
      <c r="N751" t="inlineStr">
        <is>
          <t>Szpitalny Oddział Ratunkowy/NPL</t>
        </is>
      </c>
      <c r="O751" t="inlineStr">
        <is>
          <t>Daria Witkowska</t>
        </is>
      </c>
      <c r="P751" t="inlineStr">
        <is>
          <t>3374194</t>
        </is>
      </c>
      <c r="Q751" t="inlineStr">
        <is>
          <t> </t>
        </is>
      </c>
      <c r="R751" t="inlineStr">
        <is>
          <t>zozboleslawiec</t>
        </is>
      </c>
      <c r="S751" s="1" t="n">
        <v>46158.55138888889</v>
      </c>
      <c r="T751" t="n">
        <v>0</v>
      </c>
      <c r="U751" t="inlineStr">
        <is>
          <t>BUJALSKI TOMASZ</t>
        </is>
      </c>
    </row>
    <row r="752">
      <c r="A752" s="1" t="n">
        <v>46159</v>
      </c>
      <c r="B752" t="inlineStr">
        <is>
          <t>TK/26/1517</t>
        </is>
      </c>
      <c r="C752" t="inlineStr">
        <is>
          <t>Wiesław Śliwiński</t>
        </is>
      </c>
      <c r="D752" t="inlineStr">
        <is>
          <t>51080603111</t>
        </is>
      </c>
      <c r="E752" s="1" t="n">
        <v>46159</v>
      </c>
      <c r="F752" t="inlineStr">
        <is>
          <t>CITO-CITO</t>
        </is>
      </c>
      <c r="G752" t="inlineStr">
        <is>
          <t>TK</t>
        </is>
      </c>
      <c r="H752" t="inlineStr">
        <is>
          <t>TK jamy brzusznej i miednicy z kontrastem</t>
        </is>
      </c>
      <c r="I752" t="inlineStr">
        <is>
          <t>TK Zwykłe</t>
        </is>
      </c>
      <c r="J752" t="inlineStr">
        <is>
          <t>2 okolice anatomiczne</t>
        </is>
      </c>
      <c r="K752" t="inlineStr">
        <is>
          <t>Tomasz Bujalski</t>
        </is>
      </c>
      <c r="L752" t="inlineStr">
        <is>
          <t> </t>
        </is>
      </c>
      <c r="M752" t="inlineStr">
        <is>
          <t>Zespół Opieki Zdrowotnej w Bolesławcu</t>
        </is>
      </c>
      <c r="N752" t="inlineStr">
        <is>
          <t>Szpitalny Oddział Ratunkowy/NPL</t>
        </is>
      </c>
      <c r="O752" t="inlineStr">
        <is>
          <t>Maciej Belda</t>
        </is>
      </c>
      <c r="P752" t="inlineStr">
        <is>
          <t>2638167</t>
        </is>
      </c>
      <c r="Q752" t="inlineStr">
        <is>
          <t> </t>
        </is>
      </c>
      <c r="R752" t="inlineStr">
        <is>
          <t>zozboleslawiec</t>
        </is>
      </c>
      <c r="S752" s="1" t="n">
        <v>46159.40277777778</v>
      </c>
      <c r="T752" t="n">
        <v>0</v>
      </c>
      <c r="U752" t="inlineStr">
        <is>
          <t>BUJALSKI TOMASZ</t>
        </is>
      </c>
    </row>
    <row r="753">
      <c r="A753" s="1" t="n">
        <v>46159</v>
      </c>
      <c r="B753" t="inlineStr">
        <is>
          <t>TK/26/1519</t>
        </is>
      </c>
      <c r="C753" t="inlineStr">
        <is>
          <t>Michał Piasek</t>
        </is>
      </c>
      <c r="D753" t="inlineStr">
        <is>
          <t>45032412630</t>
        </is>
      </c>
      <c r="E753" s="1" t="n">
        <v>46159</v>
      </c>
      <c r="F753" t="inlineStr">
        <is>
          <t>CITO-CITO</t>
        </is>
      </c>
      <c r="G753" t="inlineStr">
        <is>
          <t>TK</t>
        </is>
      </c>
      <c r="H753" t="inlineStr">
        <is>
          <t>TK klatki piersiowej, jamy brzusznej i miednicy z kontrastem</t>
        </is>
      </c>
      <c r="I753" t="inlineStr">
        <is>
          <t>TK Zwykłe</t>
        </is>
      </c>
      <c r="J753" t="inlineStr">
        <is>
          <t>3 okolice anatomiczne</t>
        </is>
      </c>
      <c r="K753" t="inlineStr">
        <is>
          <t>Tomasz Bujalski</t>
        </is>
      </c>
      <c r="L753" t="inlineStr">
        <is>
          <t> </t>
        </is>
      </c>
      <c r="M753" t="inlineStr">
        <is>
          <t>Zespół Opieki Zdrowotnej w Bolesławcu</t>
        </is>
      </c>
      <c r="N753" t="inlineStr">
        <is>
          <t>Szpitalny Oddział Ratunkowy/NPL</t>
        </is>
      </c>
      <c r="O753" t="inlineStr">
        <is>
          <t>Maciej Belda</t>
        </is>
      </c>
      <c r="P753" t="inlineStr">
        <is>
          <t>2638167</t>
        </is>
      </c>
      <c r="Q753" t="inlineStr">
        <is>
          <t> </t>
        </is>
      </c>
      <c r="R753" t="inlineStr">
        <is>
          <t>zozboleslawiec</t>
        </is>
      </c>
      <c r="S753" s="1" t="n">
        <v>46159.42569444444</v>
      </c>
      <c r="T753" t="n">
        <v>0</v>
      </c>
      <c r="U753" t="inlineStr">
        <is>
          <t>BUJALSKI TOMASZ</t>
        </is>
      </c>
    </row>
    <row r="754">
      <c r="A754" s="1" t="n">
        <v>46159</v>
      </c>
      <c r="B754" t="inlineStr">
        <is>
          <t>TK/26/1520</t>
        </is>
      </c>
      <c r="C754" t="inlineStr">
        <is>
          <t>Mateusz Schroeder</t>
        </is>
      </c>
      <c r="D754" t="inlineStr">
        <is>
          <t>07220801394</t>
        </is>
      </c>
      <c r="E754" s="1" t="n">
        <v>46159</v>
      </c>
      <c r="F754" t="inlineStr">
        <is>
          <t>CITO-CITO</t>
        </is>
      </c>
      <c r="G754" t="inlineStr">
        <is>
          <t>TK</t>
        </is>
      </c>
      <c r="H754" t="inlineStr">
        <is>
          <t>TK głowy i kręgosłupa szyjnego</t>
        </is>
      </c>
      <c r="I754" t="inlineStr">
        <is>
          <t>TK Zwykłe</t>
        </is>
      </c>
      <c r="J754" t="inlineStr">
        <is>
          <t>2 okolice anatomiczne</t>
        </is>
      </c>
      <c r="K754" t="inlineStr">
        <is>
          <t>Tomasz Bujalski</t>
        </is>
      </c>
      <c r="L754" t="inlineStr">
        <is>
          <t> </t>
        </is>
      </c>
      <c r="M754" t="inlineStr">
        <is>
          <t>Zespół Opieki Zdrowotnej w Bolesławcu</t>
        </is>
      </c>
      <c r="N754" t="inlineStr">
        <is>
          <t>Szpitalny Oddział Ratunkowy/NPL</t>
        </is>
      </c>
      <c r="O754" t="inlineStr">
        <is>
          <t>Maciej Belda</t>
        </is>
      </c>
      <c r="P754" t="inlineStr">
        <is>
          <t>2638167</t>
        </is>
      </c>
      <c r="Q754" t="inlineStr">
        <is>
          <t> </t>
        </is>
      </c>
      <c r="R754" t="inlineStr">
        <is>
          <t>zozboleslawiec</t>
        </is>
      </c>
      <c r="S754" s="1" t="n">
        <v>46159.44861111111</v>
      </c>
      <c r="T754" t="n">
        <v>0</v>
      </c>
      <c r="U754" t="inlineStr">
        <is>
          <t>BUJALSKI TOMASZ</t>
        </is>
      </c>
    </row>
    <row r="755">
      <c r="A755" s="1" t="n">
        <v>46159</v>
      </c>
      <c r="B755" t="inlineStr">
        <is>
          <t>TK/26/1522</t>
        </is>
      </c>
      <c r="C755" t="inlineStr">
        <is>
          <t>Stefan Witoń</t>
        </is>
      </c>
      <c r="D755" t="inlineStr">
        <is>
          <t>53051007557</t>
        </is>
      </c>
      <c r="E755" s="1" t="n">
        <v>46159</v>
      </c>
      <c r="F755" t="inlineStr">
        <is>
          <t>CITO-CITO</t>
        </is>
      </c>
      <c r="G755" t="inlineStr">
        <is>
          <t>TK</t>
        </is>
      </c>
      <c r="H755" t="inlineStr">
        <is>
          <t>TK głowy</t>
        </is>
      </c>
      <c r="I755" t="inlineStr">
        <is>
          <t>TK Onkologia</t>
        </is>
      </c>
      <c r="J755" t="inlineStr">
        <is>
          <t>1 okolica anatomiczna</t>
        </is>
      </c>
      <c r="K755" t="inlineStr">
        <is>
          <t>Tomasz Bujalski</t>
        </is>
      </c>
      <c r="L755" t="inlineStr">
        <is>
          <t> </t>
        </is>
      </c>
      <c r="M755" t="inlineStr">
        <is>
          <t>Zespół Opieki Zdrowotnej w Bolesławcu</t>
        </is>
      </c>
      <c r="N755" t="inlineStr">
        <is>
          <t>Szpitalny Oddział Ratunkowy/NPL</t>
        </is>
      </c>
      <c r="O755" t="inlineStr">
        <is>
          <t>Łukasz Bilaszewski</t>
        </is>
      </c>
      <c r="P755" t="inlineStr">
        <is>
          <t>2522864</t>
        </is>
      </c>
      <c r="Q755" t="inlineStr">
        <is>
          <t> </t>
        </is>
      </c>
      <c r="R755" t="inlineStr">
        <is>
          <t>zozboleslawiec</t>
        </is>
      </c>
      <c r="S755" s="1" t="n">
        <v>46159.45138888889</v>
      </c>
      <c r="T755" t="n">
        <v>0</v>
      </c>
      <c r="U755" t="inlineStr">
        <is>
          <t>BUJALSKI TOMASZ</t>
        </is>
      </c>
    </row>
    <row r="756">
      <c r="A756" s="1" t="n">
        <v>46172</v>
      </c>
      <c r="B756" t="inlineStr">
        <is>
          <t>TK/26/2165</t>
        </is>
      </c>
      <c r="C756" t="inlineStr">
        <is>
          <t>Waldemar Napieralski</t>
        </is>
      </c>
      <c r="D756" t="inlineStr">
        <is>
          <t>63112400715</t>
        </is>
      </c>
      <c r="E756" s="1" t="n">
        <v>46172</v>
      </c>
      <c r="F756" t="inlineStr">
        <is>
          <t>CITO-CITO</t>
        </is>
      </c>
      <c r="G756" t="inlineStr">
        <is>
          <t>TK</t>
        </is>
      </c>
      <c r="H756" t="inlineStr">
        <is>
          <t>TK głowy</t>
        </is>
      </c>
      <c r="I756" t="inlineStr">
        <is>
          <t>TK Onkologia</t>
        </is>
      </c>
      <c r="J756" t="inlineStr">
        <is>
          <t>1 okolica anatomiczna</t>
        </is>
      </c>
      <c r="K756" t="inlineStr">
        <is>
          <t>Tomasz Bujalski</t>
        </is>
      </c>
      <c r="L756" t="inlineStr">
        <is>
          <t> </t>
        </is>
      </c>
      <c r="M756" t="inlineStr">
        <is>
          <t>Zespół Opieki Zdrowotnej w Bolesławcu</t>
        </is>
      </c>
      <c r="N756" t="inlineStr">
        <is>
          <t>Szpitalny Oddział Ratunkowy/NPL</t>
        </is>
      </c>
      <c r="O756" t="inlineStr">
        <is>
          <t>Daria Witkowska</t>
        </is>
      </c>
      <c r="P756" t="inlineStr">
        <is>
          <t>3374194</t>
        </is>
      </c>
      <c r="Q756" t="inlineStr">
        <is>
          <t> </t>
        </is>
      </c>
      <c r="R756" t="inlineStr">
        <is>
          <t>zozboleslawiec</t>
        </is>
      </c>
      <c r="S756" s="1" t="n">
        <v>46172.61944444444</v>
      </c>
      <c r="T756" t="n">
        <v>0</v>
      </c>
      <c r="U756" t="inlineStr">
        <is>
          <t>BUJALSKI TOMASZ</t>
        </is>
      </c>
    </row>
    <row r="757">
      <c r="A757" s="1" t="n">
        <v>46151</v>
      </c>
      <c r="B757" t="inlineStr">
        <is>
          <t>CT_26_002349</t>
        </is>
      </c>
      <c r="C757" t="inlineStr">
        <is>
          <t>WIESŁAW WOJCIECHOWSKI</t>
        </is>
      </c>
      <c r="D757" t="inlineStr">
        <is>
          <t>60080910299</t>
        </is>
      </c>
      <c r="E757" s="1" t="n">
        <v>46151</v>
      </c>
      <c r="F757" t="inlineStr">
        <is>
          <t>CITO-CITO</t>
        </is>
      </c>
      <c r="G757" t="inlineStr">
        <is>
          <t>TK</t>
        </is>
      </c>
      <c r="H757" t="inlineStr">
        <is>
          <t>Badanie TK klatki piersiowej</t>
        </is>
      </c>
      <c r="I757" t="inlineStr">
        <is>
          <t>TK Angiografia</t>
        </is>
      </c>
      <c r="J757" t="inlineStr">
        <is>
          <t>1 okolica anatomiczna</t>
        </is>
      </c>
      <c r="K757" t="inlineStr">
        <is>
          <t>Tomasz Bujalski</t>
        </is>
      </c>
      <c r="L757" t="inlineStr">
        <is>
          <t> </t>
        </is>
      </c>
      <c r="M757" t="inlineStr">
        <is>
          <t>Zespół Opieki Zdrowotnej "Szpitala Powiatowego" w Sochaczewie</t>
        </is>
      </c>
      <c r="N757" t="inlineStr">
        <is>
          <t>SZPITALNY ODDZIAŁ RATUNKOWY (40633)</t>
        </is>
      </c>
      <c r="O757" t="inlineStr">
        <is>
          <t>Artur Kalisiewicz</t>
        </is>
      </c>
      <c r="P757" t="inlineStr">
        <is>
          <t>1867111</t>
        </is>
      </c>
      <c r="Q757" t="inlineStr">
        <is>
          <t> </t>
        </is>
      </c>
      <c r="R757" t="inlineStr">
        <is>
          <t>zozsochaczew</t>
        </is>
      </c>
      <c r="S757" s="1" t="n">
        <v>46151.5375</v>
      </c>
      <c r="T757" t="n">
        <v>0</v>
      </c>
      <c r="U757" t="inlineStr">
        <is>
          <t>BUJALSKI TOMASZ</t>
        </is>
      </c>
    </row>
    <row r="758">
      <c r="A758" s="1" t="n">
        <v>46156</v>
      </c>
      <c r="B758" t="inlineStr">
        <is>
          <t>13579364</t>
        </is>
      </c>
      <c r="C758" t="inlineStr">
        <is>
          <t>KRYSTYNA GAJEWSKA</t>
        </is>
      </c>
      <c r="D758" t="inlineStr">
        <is>
          <t>60080301721</t>
        </is>
      </c>
      <c r="E758" s="1" t="n">
        <v>46078</v>
      </c>
      <c r="F758" t="inlineStr">
        <is>
          <t>Planowy</t>
        </is>
      </c>
      <c r="G758" t="inlineStr">
        <is>
          <t>TK</t>
        </is>
      </c>
      <c r="H758" t="inlineStr">
        <is>
          <t>Badanie TK twarzoczaszki + C miękkie + klatki piersiowej dwufazowe z kontrastem</t>
        </is>
      </c>
      <c r="I758" t="inlineStr">
        <is>
          <t>TK Onkologia</t>
        </is>
      </c>
      <c r="J758" t="inlineStr">
        <is>
          <t>3 okolice anatomiczne</t>
        </is>
      </c>
      <c r="K758" t="inlineStr">
        <is>
          <t>Tomasz Bujalski</t>
        </is>
      </c>
      <c r="L758" t="inlineStr">
        <is>
          <t> </t>
        </is>
      </c>
      <c r="M758" t="inlineStr">
        <is>
          <t>Zespół Opieki Zdrowotnej "Szpitala Powiatowego" w Sochaczewie</t>
        </is>
      </c>
      <c r="N758" t="inlineStr">
        <is>
          <t>Narodowy Instytut Onkologii im</t>
        </is>
      </c>
      <c r="O758" t="inlineStr">
        <is>
          <t>Paulina Gołębiowska</t>
        </is>
      </c>
      <c r="P758" t="inlineStr">
        <is>
          <t>3781914</t>
        </is>
      </c>
      <c r="Q758" t="inlineStr">
        <is>
          <t>C02.8</t>
        </is>
      </c>
      <c r="R758" t="inlineStr">
        <is>
          <t>zozsochaczew</t>
        </is>
      </c>
      <c r="S758" s="1" t="n">
        <v>46156.26111111111</v>
      </c>
      <c r="T758" t="n">
        <v>0</v>
      </c>
      <c r="U758" t="inlineStr">
        <is>
          <t>BUJALSKI TOMASZ</t>
        </is>
      </c>
    </row>
    <row r="759">
      <c r="A759" s="1" t="n">
        <v>46160</v>
      </c>
      <c r="B759" t="inlineStr">
        <is>
          <t>CT_26_002599</t>
        </is>
      </c>
      <c r="C759" t="inlineStr">
        <is>
          <t>ROMANA GRZELAK</t>
        </is>
      </c>
      <c r="D759" t="inlineStr">
        <is>
          <t>59060813242</t>
        </is>
      </c>
      <c r="E759" s="1" t="n">
        <v>46160</v>
      </c>
      <c r="F759" t="inlineStr">
        <is>
          <t>CITO-CITO</t>
        </is>
      </c>
      <c r="G759" t="inlineStr">
        <is>
          <t>TK</t>
        </is>
      </c>
      <c r="H759" t="inlineStr">
        <is>
          <t>Badanie TK głowy</t>
        </is>
      </c>
      <c r="I759" t="inlineStr">
        <is>
          <t>TK Zwykłe</t>
        </is>
      </c>
      <c r="J759" t="inlineStr">
        <is>
          <t>1 okolica anatomiczna</t>
        </is>
      </c>
      <c r="K759" t="inlineStr">
        <is>
          <t>Tomasz Bujalski</t>
        </is>
      </c>
      <c r="L759" t="inlineStr">
        <is>
          <t> </t>
        </is>
      </c>
      <c r="M759" t="inlineStr">
        <is>
          <t>Zespół Opieki Zdrowotnej "Szpitala Powiatowego" w Sochaczewie</t>
        </is>
      </c>
      <c r="N759" t="inlineStr">
        <is>
          <t>SZPITALNY ODDZIAŁ RATUNKOWY (40633)</t>
        </is>
      </c>
      <c r="O759" t="inlineStr">
        <is>
          <t>Sergey Shalamov</t>
        </is>
      </c>
      <c r="P759" t="inlineStr">
        <is>
          <t>3789715</t>
        </is>
      </c>
      <c r="Q759" t="inlineStr">
        <is>
          <t> </t>
        </is>
      </c>
      <c r="R759" t="inlineStr">
        <is>
          <t>zozsochaczew</t>
        </is>
      </c>
      <c r="S759" s="1" t="n">
        <v>46160.41597222222</v>
      </c>
      <c r="T759" t="n">
        <v>0</v>
      </c>
      <c r="U759" t="inlineStr">
        <is>
          <t>BUJALSKI TOMASZ</t>
        </is>
      </c>
    </row>
    <row r="760">
      <c r="A760" s="1" t="n">
        <v>46160</v>
      </c>
      <c r="B760" t="inlineStr">
        <is>
          <t>CT_26_002610</t>
        </is>
      </c>
      <c r="C760" t="inlineStr">
        <is>
          <t>ROMANA GRZELAK</t>
        </is>
      </c>
      <c r="D760" t="inlineStr">
        <is>
          <t>59060813242</t>
        </is>
      </c>
      <c r="E760" s="1" t="n">
        <v>46160</v>
      </c>
      <c r="F760" t="inlineStr">
        <is>
          <t>CITO-CITO</t>
        </is>
      </c>
      <c r="G760" t="inlineStr">
        <is>
          <t>TK</t>
        </is>
      </c>
      <c r="H760" t="inlineStr">
        <is>
          <t>Badanie TK jamy brzusznej i miednicy dwufazowe z kontrastem</t>
        </is>
      </c>
      <c r="I760" t="inlineStr">
        <is>
          <t>TK Zwykłe</t>
        </is>
      </c>
      <c r="J760" t="inlineStr">
        <is>
          <t>2 okolice anatomiczne</t>
        </is>
      </c>
      <c r="K760" t="inlineStr">
        <is>
          <t>Tomasz Bujalski</t>
        </is>
      </c>
      <c r="L760" t="inlineStr">
        <is>
          <t> </t>
        </is>
      </c>
      <c r="M760" t="inlineStr">
        <is>
          <t>Zespół Opieki Zdrowotnej "Szpitala Powiatowego" w Sochaczewie</t>
        </is>
      </c>
      <c r="N760" t="inlineStr">
        <is>
          <t>SZPITALNY ODDZIAŁ RATUNKOWY (40633)</t>
        </is>
      </c>
      <c r="O760" t="inlineStr">
        <is>
          <t>Sergey Shalamov</t>
        </is>
      </c>
      <c r="P760" t="inlineStr">
        <is>
          <t>3789715</t>
        </is>
      </c>
      <c r="Q760" t="inlineStr">
        <is>
          <t> </t>
        </is>
      </c>
      <c r="R760" t="inlineStr">
        <is>
          <t>zozsochaczew</t>
        </is>
      </c>
      <c r="S760" s="1" t="n">
        <v>46160.49027777778</v>
      </c>
      <c r="T760" t="n">
        <v>0</v>
      </c>
      <c r="U760" t="inlineStr">
        <is>
          <t>BUJALSKI TOMASZ</t>
        </is>
      </c>
    </row>
    <row r="761">
      <c r="A761" s="1" t="n">
        <v>46160</v>
      </c>
      <c r="B761" t="inlineStr">
        <is>
          <t>CT_26_002612</t>
        </is>
      </c>
      <c r="C761" t="inlineStr">
        <is>
          <t>DANUTA LASKOWSKA</t>
        </is>
      </c>
      <c r="D761" t="inlineStr">
        <is>
          <t>67121613401</t>
        </is>
      </c>
      <c r="E761" s="1" t="n">
        <v>46160</v>
      </c>
      <c r="F761" t="inlineStr">
        <is>
          <t>CITO-CITO</t>
        </is>
      </c>
      <c r="G761" t="inlineStr">
        <is>
          <t>TK</t>
        </is>
      </c>
      <c r="H761" t="inlineStr">
        <is>
          <t>Badanie TK głowy</t>
        </is>
      </c>
      <c r="I761" t="inlineStr">
        <is>
          <t>TK Zwykłe</t>
        </is>
      </c>
      <c r="J761" t="inlineStr">
        <is>
          <t>1 okolica anatomiczna</t>
        </is>
      </c>
      <c r="K761" t="inlineStr">
        <is>
          <t>Tomasz Bujalski</t>
        </is>
      </c>
      <c r="L761" t="inlineStr">
        <is>
          <t> </t>
        </is>
      </c>
      <c r="M761" t="inlineStr">
        <is>
          <t>Zespół Opieki Zdrowotnej "Szpitala Powiatowego" w Sochaczewie</t>
        </is>
      </c>
      <c r="N761" t="inlineStr">
        <is>
          <t>SZPITALNY ODDZIAŁ RATUNKOWY (40633)</t>
        </is>
      </c>
      <c r="O761" t="inlineStr">
        <is>
          <t>Mikołaj Jońca</t>
        </is>
      </c>
      <c r="P761" t="inlineStr">
        <is>
          <t>4589386</t>
        </is>
      </c>
      <c r="Q761" t="inlineStr">
        <is>
          <t> </t>
        </is>
      </c>
      <c r="R761" t="inlineStr">
        <is>
          <t>zozsochaczew</t>
        </is>
      </c>
      <c r="S761" s="1" t="n">
        <v>46160.52083333334</v>
      </c>
      <c r="T761" t="n">
        <v>0</v>
      </c>
      <c r="U761" t="inlineStr">
        <is>
          <t>BUJALSKI TOMASZ</t>
        </is>
      </c>
    </row>
    <row r="762">
      <c r="A762" s="1" t="n">
        <v>46161</v>
      </c>
      <c r="B762" t="inlineStr">
        <is>
          <t>CT_26_002627</t>
        </is>
      </c>
      <c r="C762" t="inlineStr">
        <is>
          <t>ADAM GODLEWSKI</t>
        </is>
      </c>
      <c r="D762" t="inlineStr">
        <is>
          <t>02262008392</t>
        </is>
      </c>
      <c r="E762" s="1" t="n">
        <v>46160</v>
      </c>
      <c r="F762" t="inlineStr">
        <is>
          <t>CITO-CITO</t>
        </is>
      </c>
      <c r="G762" t="inlineStr">
        <is>
          <t>TK</t>
        </is>
      </c>
      <c r="H762" t="inlineStr">
        <is>
          <t>Badanie TK kręgosłupa lędźwiowego</t>
        </is>
      </c>
      <c r="I762" t="inlineStr">
        <is>
          <t>TK Zwykłe</t>
        </is>
      </c>
      <c r="J762" t="inlineStr">
        <is>
          <t>1 okolica anatomiczna</t>
        </is>
      </c>
      <c r="K762" t="inlineStr">
        <is>
          <t>Tomasz Bujalski</t>
        </is>
      </c>
      <c r="L762" t="inlineStr">
        <is>
          <t> </t>
        </is>
      </c>
      <c r="M762" t="inlineStr">
        <is>
          <t>Zespół Opieki Zdrowotnej "Szpitala Powiatowego" w Sochaczewie</t>
        </is>
      </c>
      <c r="N762" t="inlineStr">
        <is>
          <t>SZPITALNY ODDZIAŁ RATUNKOWY (40633)</t>
        </is>
      </c>
      <c r="O762" t="inlineStr">
        <is>
          <t>Sergey Shalamov</t>
        </is>
      </c>
      <c r="P762" t="inlineStr">
        <is>
          <t>3789715</t>
        </is>
      </c>
      <c r="Q762" t="inlineStr">
        <is>
          <t> </t>
        </is>
      </c>
      <c r="R762" t="inlineStr">
        <is>
          <t>zozsochaczew</t>
        </is>
      </c>
      <c r="S762" s="1" t="n">
        <v>46161.20138888889</v>
      </c>
      <c r="T762" t="n">
        <v>0</v>
      </c>
      <c r="U762" t="inlineStr">
        <is>
          <t>BUJALSKI TOMASZ</t>
        </is>
      </c>
    </row>
    <row r="763">
      <c r="A763" s="1" t="n">
        <v>46161</v>
      </c>
      <c r="B763" t="inlineStr">
        <is>
          <t>CT_26_002640</t>
        </is>
      </c>
      <c r="C763" t="inlineStr">
        <is>
          <t>BARBARA SOBKOWICZ</t>
        </is>
      </c>
      <c r="D763" t="inlineStr">
        <is>
          <t>41011405280</t>
        </is>
      </c>
      <c r="E763" s="1" t="n">
        <v>46161</v>
      </c>
      <c r="F763" t="inlineStr">
        <is>
          <t>Pilny</t>
        </is>
      </c>
      <c r="G763" t="inlineStr">
        <is>
          <t>TK</t>
        </is>
      </c>
      <c r="H763" t="inlineStr">
        <is>
          <t>Badanie TK jamy brzusznej i miednicy dwufazowe z kontrastem</t>
        </is>
      </c>
      <c r="I763" t="inlineStr">
        <is>
          <t>TK Zwykłe</t>
        </is>
      </c>
      <c r="J763" t="inlineStr">
        <is>
          <t>2 okolice anatomiczne</t>
        </is>
      </c>
      <c r="K763" t="inlineStr">
        <is>
          <t>Tomasz Bujalski</t>
        </is>
      </c>
      <c r="L763" t="inlineStr">
        <is>
          <t> </t>
        </is>
      </c>
      <c r="M763" t="inlineStr">
        <is>
          <t>Zespół Opieki Zdrowotnej "Szpitala Powiatowego" w Sochaczewie</t>
        </is>
      </c>
      <c r="N763" t="inlineStr">
        <is>
          <t>PRACOWNIA TOMOGRAFII KOMPUTEROWEJ (36625)</t>
        </is>
      </c>
      <c r="O763" t="inlineStr">
        <is>
          <t> </t>
        </is>
      </c>
      <c r="P763" t="inlineStr">
        <is>
          <t> </t>
        </is>
      </c>
      <c r="Q763" t="inlineStr">
        <is>
          <t> </t>
        </is>
      </c>
      <c r="R763" t="inlineStr">
        <is>
          <t>zozsochaczew</t>
        </is>
      </c>
      <c r="S763" s="1" t="n">
        <v>46161.35833333333</v>
      </c>
      <c r="T763" t="n">
        <v>0</v>
      </c>
      <c r="U763" t="inlineStr">
        <is>
          <t>BUJALSKI TOMASZ</t>
        </is>
      </c>
    </row>
    <row r="764">
      <c r="A764" s="1" t="n">
        <v>46161</v>
      </c>
      <c r="B764" t="inlineStr">
        <is>
          <t>CT_26_002641</t>
        </is>
      </c>
      <c r="C764" t="inlineStr">
        <is>
          <t>BARBARA SOBKOWICZ</t>
        </is>
      </c>
      <c r="D764" t="inlineStr">
        <is>
          <t>41011405280</t>
        </is>
      </c>
      <c r="E764" s="1" t="n">
        <v>46161</v>
      </c>
      <c r="F764" t="inlineStr">
        <is>
          <t>Pilny</t>
        </is>
      </c>
      <c r="G764" t="inlineStr">
        <is>
          <t>TK</t>
        </is>
      </c>
      <c r="H764" t="inlineStr">
        <is>
          <t>Badanie TK klatki piersiowej dwufazowe z kontrastem</t>
        </is>
      </c>
      <c r="I764" t="inlineStr">
        <is>
          <t>TK Angiografia</t>
        </is>
      </c>
      <c r="J764" t="inlineStr">
        <is>
          <t>1 okolica anatomiczna</t>
        </is>
      </c>
      <c r="K764" t="inlineStr">
        <is>
          <t>Tomasz Bujalski</t>
        </is>
      </c>
      <c r="L764" t="inlineStr">
        <is>
          <t> </t>
        </is>
      </c>
      <c r="M764" t="inlineStr">
        <is>
          <t>Zespół Opieki Zdrowotnej "Szpitala Powiatowego" w Sochaczewie</t>
        </is>
      </c>
      <c r="N764" t="inlineStr">
        <is>
          <t>PRACOWNIA TK</t>
        </is>
      </c>
      <c r="O764" t="inlineStr">
        <is>
          <t> </t>
        </is>
      </c>
      <c r="P764" t="inlineStr">
        <is>
          <t> </t>
        </is>
      </c>
      <c r="Q764" t="inlineStr">
        <is>
          <t> </t>
        </is>
      </c>
      <c r="R764" t="inlineStr">
        <is>
          <t>zozsochaczew</t>
        </is>
      </c>
      <c r="S764" s="1" t="n">
        <v>46161.35902777778</v>
      </c>
      <c r="T764" t="n">
        <v>0</v>
      </c>
      <c r="U764" t="inlineStr">
        <is>
          <t>BUJALSKI TOMASZ</t>
        </is>
      </c>
    </row>
    <row r="765">
      <c r="A765" s="1" t="n">
        <v>46163</v>
      </c>
      <c r="B765" t="inlineStr">
        <is>
          <t>CT_26_002449</t>
        </is>
      </c>
      <c r="C765" t="inlineStr">
        <is>
          <t>JOLANTA GONTA</t>
        </is>
      </c>
      <c r="D765" t="inlineStr">
        <is>
          <t>64022907989</t>
        </is>
      </c>
      <c r="E765" s="1" t="n">
        <v>46162</v>
      </c>
      <c r="F765" t="inlineStr">
        <is>
          <t>Pilny</t>
        </is>
      </c>
      <c r="G765" t="inlineStr">
        <is>
          <t>TK</t>
        </is>
      </c>
      <c r="H765" t="inlineStr">
        <is>
          <t>Badanie TK klatki piersiowej, jamy brzusznej i miednicy dwufazowe z kontrastem</t>
        </is>
      </c>
      <c r="I765" t="inlineStr">
        <is>
          <t>TK Onkologia</t>
        </is>
      </c>
      <c r="J765" t="inlineStr">
        <is>
          <t>3 okolice anatomiczne</t>
        </is>
      </c>
      <c r="K765" t="inlineStr">
        <is>
          <t>Tomasz Bujalski</t>
        </is>
      </c>
      <c r="L765" t="inlineStr">
        <is>
          <t> </t>
        </is>
      </c>
      <c r="M765" t="inlineStr">
        <is>
          <t>Zespół Opieki Zdrowotnej "Szpitala Powiatowego" w Sochaczewie</t>
        </is>
      </c>
      <c r="N765" t="inlineStr">
        <is>
          <t>NARODOWY INSTYTUT ONKOLOGII IM. MARII SKŁODOWSKIEJ-CURIE PAŃSTWOWY INSTYTUT BADAWCZY</t>
        </is>
      </c>
      <c r="O765" t="inlineStr">
        <is>
          <t>WOJDA MARIA</t>
        </is>
      </c>
      <c r="P765" t="inlineStr">
        <is>
          <t>9196396</t>
        </is>
      </c>
      <c r="Q765" t="inlineStr">
        <is>
          <t> </t>
        </is>
      </c>
      <c r="R765" t="inlineStr">
        <is>
          <t>zozsochaczew</t>
        </is>
      </c>
      <c r="S765" s="1" t="n">
        <v>46163.41180555556</v>
      </c>
      <c r="T765" t="n">
        <v>0</v>
      </c>
      <c r="U765" t="inlineStr">
        <is>
          <t>BUJALSKI TOMASZ</t>
        </is>
      </c>
    </row>
    <row r="766">
      <c r="A766" s="1" t="n">
        <v>46163</v>
      </c>
      <c r="B766" t="inlineStr">
        <is>
          <t>CT_26_002676</t>
        </is>
      </c>
      <c r="C766" t="inlineStr">
        <is>
          <t>ROMAN TEMPCZYK</t>
        </is>
      </c>
      <c r="D766" t="inlineStr">
        <is>
          <t>54021615134</t>
        </is>
      </c>
      <c r="E766" s="1" t="n">
        <v>46162</v>
      </c>
      <c r="F766" t="inlineStr">
        <is>
          <t>Pilny</t>
        </is>
      </c>
      <c r="G766" t="inlineStr">
        <is>
          <t>TK</t>
        </is>
      </c>
      <c r="H766" t="inlineStr">
        <is>
          <t>Badanie TK klatki piersiowej dwufazowe z kontrastem</t>
        </is>
      </c>
      <c r="I766" t="inlineStr">
        <is>
          <t>TK Angiografia</t>
        </is>
      </c>
      <c r="J766" t="inlineStr">
        <is>
          <t>1 okolica anatomiczna</t>
        </is>
      </c>
      <c r="K766" t="inlineStr">
        <is>
          <t>Tomasz Bujalski</t>
        </is>
      </c>
      <c r="L766" t="inlineStr">
        <is>
          <t> </t>
        </is>
      </c>
      <c r="M766" t="inlineStr">
        <is>
          <t>Zespół Opieki Zdrowotnej "Szpitala Powiatowego" w Sochaczewie</t>
        </is>
      </c>
      <c r="N766" t="inlineStr">
        <is>
          <t>ODDZIAŁ WEWNĘTRZNO - KARDIOLOGICZNY (36516)</t>
        </is>
      </c>
      <c r="O766" t="inlineStr">
        <is>
          <t>Anna Wujcik</t>
        </is>
      </c>
      <c r="P766" t="inlineStr">
        <is>
          <t>3303611</t>
        </is>
      </c>
      <c r="Q766" t="inlineStr">
        <is>
          <t> </t>
        </is>
      </c>
      <c r="R766" t="inlineStr">
        <is>
          <t>zozsochaczew</t>
        </is>
      </c>
      <c r="S766" s="1" t="n">
        <v>46163.38680555556</v>
      </c>
      <c r="T766" t="n">
        <v>0</v>
      </c>
      <c r="U766" t="inlineStr">
        <is>
          <t>BUJALSKI TOMASZ</t>
        </is>
      </c>
    </row>
    <row r="767">
      <c r="A767" s="1" t="n">
        <v>46167</v>
      </c>
      <c r="B767" t="inlineStr">
        <is>
          <t>CT_26_002783</t>
        </is>
      </c>
      <c r="C767" t="inlineStr">
        <is>
          <t>BARBARA ROKICKA</t>
        </is>
      </c>
      <c r="D767" t="inlineStr">
        <is>
          <t>42010114203</t>
        </is>
      </c>
      <c r="E767" s="1" t="n">
        <v>46167</v>
      </c>
      <c r="F767" t="inlineStr">
        <is>
          <t>CITO-CITO</t>
        </is>
      </c>
      <c r="G767" t="inlineStr">
        <is>
          <t>TK</t>
        </is>
      </c>
      <c r="H767" t="inlineStr">
        <is>
          <t>Angio TK tętnic mózgowych</t>
        </is>
      </c>
      <c r="I767" t="inlineStr">
        <is>
          <t>TK Angiografia</t>
        </is>
      </c>
      <c r="J767" t="inlineStr">
        <is>
          <t>1 okolica anatomiczna</t>
        </is>
      </c>
      <c r="K767" t="inlineStr">
        <is>
          <t>Tomasz Bujalski</t>
        </is>
      </c>
      <c r="L767" t="inlineStr">
        <is>
          <t> </t>
        </is>
      </c>
      <c r="M767" t="inlineStr">
        <is>
          <t>Zespół Opieki Zdrowotnej "Szpitala Powiatowego" w Sochaczewie</t>
        </is>
      </c>
      <c r="N767" t="inlineStr">
        <is>
          <t>SZPITALNY ODDZIAŁ RATUNKOWY (40633)</t>
        </is>
      </c>
      <c r="O767" t="inlineStr">
        <is>
          <t>Mikołaj Baranowski</t>
        </is>
      </c>
      <c r="P767" t="inlineStr">
        <is>
          <t>3963435</t>
        </is>
      </c>
      <c r="Q767" t="inlineStr">
        <is>
          <t> </t>
        </is>
      </c>
      <c r="R767" t="inlineStr">
        <is>
          <t>zozsochaczew</t>
        </is>
      </c>
      <c r="S767" s="1" t="n">
        <v>46167.30694444444</v>
      </c>
      <c r="T767" t="n">
        <v>0</v>
      </c>
      <c r="U767" t="inlineStr">
        <is>
          <t>BUJALSKI TOMASZ</t>
        </is>
      </c>
    </row>
    <row r="768">
      <c r="A768" s="1" t="n">
        <v>46167</v>
      </c>
      <c r="B768" t="inlineStr">
        <is>
          <t>CT_26_002785</t>
        </is>
      </c>
      <c r="C768" t="inlineStr">
        <is>
          <t>MAREK MŁYŃSKI</t>
        </is>
      </c>
      <c r="D768" t="inlineStr">
        <is>
          <t>57040816775</t>
        </is>
      </c>
      <c r="E768" s="1" t="n">
        <v>46167</v>
      </c>
      <c r="F768" t="inlineStr">
        <is>
          <t>CITO-CITO</t>
        </is>
      </c>
      <c r="G768" t="inlineStr">
        <is>
          <t>TK</t>
        </is>
      </c>
      <c r="H768" t="inlineStr">
        <is>
          <t>Badanie TK głowy</t>
        </is>
      </c>
      <c r="I768" t="inlineStr">
        <is>
          <t>TK Zwykłe</t>
        </is>
      </c>
      <c r="J768" t="inlineStr">
        <is>
          <t>1 okolica anatomiczna</t>
        </is>
      </c>
      <c r="K768" t="inlineStr">
        <is>
          <t>Tomasz Bujalski</t>
        </is>
      </c>
      <c r="L768" t="inlineStr">
        <is>
          <t> </t>
        </is>
      </c>
      <c r="M768" t="inlineStr">
        <is>
          <t>Zespół Opieki Zdrowotnej "Szpitala Powiatowego" w Sochaczewie</t>
        </is>
      </c>
      <c r="N768" t="inlineStr">
        <is>
          <t>SZPITALNY ODDZIAŁ RATUNKOWY (40633)</t>
        </is>
      </c>
      <c r="O768" t="inlineStr">
        <is>
          <t>Sabina Zaborowska</t>
        </is>
      </c>
      <c r="P768" t="inlineStr">
        <is>
          <t>4590278</t>
        </is>
      </c>
      <c r="Q768" t="inlineStr">
        <is>
          <t> </t>
        </is>
      </c>
      <c r="R768" t="inlineStr">
        <is>
          <t>zozsochaczew</t>
        </is>
      </c>
      <c r="S768" s="1" t="n">
        <v>46167.33125</v>
      </c>
      <c r="T768" t="n">
        <v>0</v>
      </c>
      <c r="U768" t="inlineStr">
        <is>
          <t>BUJALSKI TOMASZ</t>
        </is>
      </c>
    </row>
    <row r="769">
      <c r="A769" s="1" t="n">
        <v>46167</v>
      </c>
      <c r="B769" t="inlineStr">
        <is>
          <t>CT_26_002786</t>
        </is>
      </c>
      <c r="C769" t="inlineStr">
        <is>
          <t>MAREK MŁYŃSKI</t>
        </is>
      </c>
      <c r="D769" t="inlineStr">
        <is>
          <t>57040816775</t>
        </is>
      </c>
      <c r="E769" s="1" t="n">
        <v>46167</v>
      </c>
      <c r="F769" t="inlineStr">
        <is>
          <t>CITO-CITO</t>
        </is>
      </c>
      <c r="G769" t="inlineStr">
        <is>
          <t>TK</t>
        </is>
      </c>
      <c r="H769" t="inlineStr">
        <is>
          <t>Badanie TK klatki piersiowej</t>
        </is>
      </c>
      <c r="I769" t="inlineStr">
        <is>
          <t>TK Angiografia</t>
        </is>
      </c>
      <c r="J769" t="inlineStr">
        <is>
          <t>1 okolica anatomiczna</t>
        </is>
      </c>
      <c r="K769" t="inlineStr">
        <is>
          <t>Tomasz Bujalski</t>
        </is>
      </c>
      <c r="L769" t="inlineStr">
        <is>
          <t> </t>
        </is>
      </c>
      <c r="M769" t="inlineStr">
        <is>
          <t>Zespół Opieki Zdrowotnej "Szpitala Powiatowego" w Sochaczewie</t>
        </is>
      </c>
      <c r="N769" t="inlineStr">
        <is>
          <t>SZPITALNY ODDZIAŁ RATUNKOWY (40633)</t>
        </is>
      </c>
      <c r="O769" t="inlineStr">
        <is>
          <t>Sabina Zaborowska</t>
        </is>
      </c>
      <c r="P769" t="inlineStr">
        <is>
          <t>4590278</t>
        </is>
      </c>
      <c r="Q769" t="inlineStr">
        <is>
          <t> </t>
        </is>
      </c>
      <c r="R769" t="inlineStr">
        <is>
          <t>zozsochaczew</t>
        </is>
      </c>
      <c r="S769" s="1" t="n">
        <v>46167.32986111111</v>
      </c>
      <c r="T769" t="n">
        <v>0</v>
      </c>
      <c r="U769" t="inlineStr">
        <is>
          <t>BUJALSKI TOMASZ</t>
        </is>
      </c>
    </row>
    <row r="770">
      <c r="A770" s="1" t="n">
        <v>46167</v>
      </c>
      <c r="B770" t="inlineStr">
        <is>
          <t>CT_26_002789</t>
        </is>
      </c>
      <c r="C770" t="inlineStr">
        <is>
          <t>GENOWEFA KALINOWSKA</t>
        </is>
      </c>
      <c r="D770" t="inlineStr">
        <is>
          <t>35021002241</t>
        </is>
      </c>
      <c r="E770" s="1" t="n">
        <v>46167</v>
      </c>
      <c r="F770" t="inlineStr">
        <is>
          <t>CITO-CITO</t>
        </is>
      </c>
      <c r="G770" t="inlineStr">
        <is>
          <t>TK</t>
        </is>
      </c>
      <c r="H770" t="inlineStr">
        <is>
          <t>Badanie TK głowy</t>
        </is>
      </c>
      <c r="I770" t="inlineStr">
        <is>
          <t>TK Zwykłe</t>
        </is>
      </c>
      <c r="J770" t="inlineStr">
        <is>
          <t>1 okolica anatomiczna</t>
        </is>
      </c>
      <c r="K770" t="inlineStr">
        <is>
          <t>Tomasz Bujalski</t>
        </is>
      </c>
      <c r="L770" t="inlineStr">
        <is>
          <t> </t>
        </is>
      </c>
      <c r="M770" t="inlineStr">
        <is>
          <t>Zespół Opieki Zdrowotnej "Szpitala Powiatowego" w Sochaczewie</t>
        </is>
      </c>
      <c r="N770" t="inlineStr">
        <is>
          <t>SZPITALNY ODDZIAŁ RATUNKOWY (40633)</t>
        </is>
      </c>
      <c r="O770" t="inlineStr">
        <is>
          <t>Mikołaj Baranowski</t>
        </is>
      </c>
      <c r="P770" t="inlineStr">
        <is>
          <t>3963435</t>
        </is>
      </c>
      <c r="Q770" t="inlineStr">
        <is>
          <t> </t>
        </is>
      </c>
      <c r="R770" t="inlineStr">
        <is>
          <t>zozsochaczew</t>
        </is>
      </c>
      <c r="S770" s="1" t="n">
        <v>46167.33819444444</v>
      </c>
      <c r="T770" t="n">
        <v>0</v>
      </c>
      <c r="U770" t="inlineStr">
        <is>
          <t>BUJALSKI TOMASZ</t>
        </is>
      </c>
    </row>
    <row r="771">
      <c r="A771" s="1" t="n">
        <v>46167</v>
      </c>
      <c r="B771" t="inlineStr">
        <is>
          <t>CT_26_002793</t>
        </is>
      </c>
      <c r="C771" t="inlineStr">
        <is>
          <t>BARTŁOMIEJ PĘTLAK</t>
        </is>
      </c>
      <c r="D771" t="inlineStr">
        <is>
          <t>88090404214</t>
        </is>
      </c>
      <c r="E771" s="1" t="n">
        <v>46167</v>
      </c>
      <c r="F771" t="inlineStr">
        <is>
          <t>CITO-CITO</t>
        </is>
      </c>
      <c r="G771" t="inlineStr">
        <is>
          <t>TK</t>
        </is>
      </c>
      <c r="H771" t="inlineStr">
        <is>
          <t>Badanie TK głowy</t>
        </is>
      </c>
      <c r="I771" t="inlineStr">
        <is>
          <t>TK Zwykłe</t>
        </is>
      </c>
      <c r="J771" t="inlineStr">
        <is>
          <t>1 okolica anatomiczna</t>
        </is>
      </c>
      <c r="K771" t="inlineStr">
        <is>
          <t>Tomasz Bujalski</t>
        </is>
      </c>
      <c r="L771" t="inlineStr">
        <is>
          <t> </t>
        </is>
      </c>
      <c r="M771" t="inlineStr">
        <is>
          <t>Zespół Opieki Zdrowotnej "Szpitala Powiatowego" w Sochaczewie</t>
        </is>
      </c>
      <c r="N771" t="inlineStr">
        <is>
          <t>SZPITALNY ODDZIAŁ RATUNKOWY (40633)</t>
        </is>
      </c>
      <c r="O771" t="inlineStr">
        <is>
          <t>Sergey Shalamov</t>
        </is>
      </c>
      <c r="P771" t="inlineStr">
        <is>
          <t>3789715</t>
        </is>
      </c>
      <c r="Q771" t="inlineStr">
        <is>
          <t> </t>
        </is>
      </c>
      <c r="R771" t="inlineStr">
        <is>
          <t>zozsochaczew</t>
        </is>
      </c>
      <c r="S771" s="1" t="n">
        <v>46167.35208333333</v>
      </c>
      <c r="T771" t="n">
        <v>0</v>
      </c>
      <c r="U771" t="inlineStr">
        <is>
          <t>BUJALSKI TOMASZ</t>
        </is>
      </c>
    </row>
    <row r="772">
      <c r="A772" s="1" t="n">
        <v>46168</v>
      </c>
      <c r="B772" t="inlineStr">
        <is>
          <t>MR_26_002539</t>
        </is>
      </c>
      <c r="C772" t="inlineStr">
        <is>
          <t>GRAŻYNA PASIŃSKA</t>
        </is>
      </c>
      <c r="D772" t="inlineStr">
        <is>
          <t>62102408166</t>
        </is>
      </c>
      <c r="E772" s="1" t="n">
        <v>46163</v>
      </c>
      <c r="F772" t="inlineStr">
        <is>
          <t>Pilny</t>
        </is>
      </c>
      <c r="G772" t="inlineStr">
        <is>
          <t>MR</t>
        </is>
      </c>
      <c r="H772" t="inlineStr">
        <is>
          <t>MR - kręg. Th z kontrastem</t>
        </is>
      </c>
      <c r="I772" t="inlineStr">
        <is>
          <t>MR Neurologia</t>
        </is>
      </c>
      <c r="J772" t="inlineStr">
        <is>
          <t>1 okolica anatomiczna</t>
        </is>
      </c>
      <c r="K772" t="inlineStr">
        <is>
          <t>Tomasz Bujalski</t>
        </is>
      </c>
      <c r="L772" t="inlineStr">
        <is>
          <t> </t>
        </is>
      </c>
      <c r="M772" t="inlineStr">
        <is>
          <t>Zespół Opieki Zdrowotnej "Szpitala Powiatowego" w Sochaczewie</t>
        </is>
      </c>
      <c r="N772" t="inlineStr">
        <is>
          <t>ZESPÓŁ OPIEKI ZDROWOTNEJ ""SZPITALA POWIATOWEGO"" W SOCHACZEWIE</t>
        </is>
      </c>
      <c r="O772" t="inlineStr">
        <is>
          <t>Konrad Kopeć</t>
        </is>
      </c>
      <c r="P772" t="inlineStr">
        <is>
          <t>2605153</t>
        </is>
      </c>
      <c r="Q772" t="inlineStr">
        <is>
          <t>S22.0</t>
        </is>
      </c>
      <c r="R772" t="inlineStr">
        <is>
          <t>zozsochaczew</t>
        </is>
      </c>
      <c r="S772" s="1" t="n">
        <v>46167.50625</v>
      </c>
      <c r="T772" t="n">
        <v>1</v>
      </c>
      <c r="U772" t="inlineStr">
        <is>
          <t>BUJALSKI TOMASZ</t>
        </is>
      </c>
    </row>
    <row r="773">
      <c r="A773" s="1" t="n">
        <v>46169</v>
      </c>
      <c r="B773" t="inlineStr">
        <is>
          <t>CT_26_002886</t>
        </is>
      </c>
      <c r="C773" t="inlineStr">
        <is>
          <t>DAWID LEWANDOWSKI</t>
        </is>
      </c>
      <c r="D773" t="inlineStr">
        <is>
          <t>03261402699</t>
        </is>
      </c>
      <c r="E773" s="1" t="n">
        <v>46169</v>
      </c>
      <c r="F773" t="inlineStr">
        <is>
          <t>CITO-CITO</t>
        </is>
      </c>
      <c r="G773" t="inlineStr">
        <is>
          <t>TK</t>
        </is>
      </c>
      <c r="H773" t="inlineStr">
        <is>
          <t>Badanie układu kostnego</t>
        </is>
      </c>
      <c r="I773" t="inlineStr">
        <is>
          <t>TK Zwykłe</t>
        </is>
      </c>
      <c r="J773" t="inlineStr">
        <is>
          <t>1 okolica anatomiczna</t>
        </is>
      </c>
      <c r="K773" t="inlineStr">
        <is>
          <t>Tomasz Bujalski</t>
        </is>
      </c>
      <c r="L773" t="inlineStr">
        <is>
          <t> </t>
        </is>
      </c>
      <c r="M773" t="inlineStr">
        <is>
          <t>Zespół Opieki Zdrowotnej "Szpitala Powiatowego" w Sochaczewie</t>
        </is>
      </c>
      <c r="N773" t="inlineStr">
        <is>
          <t>SZPITALNY ODDZIAŁ RATUNKOWY (40633)</t>
        </is>
      </c>
      <c r="O773" t="inlineStr">
        <is>
          <t>Sergey Shalamov</t>
        </is>
      </c>
      <c r="P773" t="inlineStr">
        <is>
          <t>3789715</t>
        </is>
      </c>
      <c r="Q773" t="inlineStr">
        <is>
          <t> </t>
        </is>
      </c>
      <c r="R773" t="inlineStr">
        <is>
          <t>zozsochaczew</t>
        </is>
      </c>
      <c r="S773" s="1" t="n">
        <v>46169.62916666667</v>
      </c>
      <c r="T773" t="n">
        <v>0</v>
      </c>
      <c r="U773" t="inlineStr">
        <is>
          <t>BUJALSKI TOMASZ</t>
        </is>
      </c>
    </row>
    <row r="774">
      <c r="A774" s="1" t="n">
        <v>46169</v>
      </c>
      <c r="B774" t="inlineStr">
        <is>
          <t>CT_26_002890</t>
        </is>
      </c>
      <c r="C774" t="inlineStr">
        <is>
          <t>ANNA SZYSZ</t>
        </is>
      </c>
      <c r="D774" t="inlineStr">
        <is>
          <t>78013112467</t>
        </is>
      </c>
      <c r="E774" s="1" t="n">
        <v>46169</v>
      </c>
      <c r="F774" t="inlineStr">
        <is>
          <t>CITO-CITO</t>
        </is>
      </c>
      <c r="G774" t="inlineStr">
        <is>
          <t>TK</t>
        </is>
      </c>
      <c r="H774" t="inlineStr">
        <is>
          <t>Badanie TK jamy brzusznej i miednicy dwufazowe z kontrastem</t>
        </is>
      </c>
      <c r="I774" t="inlineStr">
        <is>
          <t>TK Zwykłe</t>
        </is>
      </c>
      <c r="J774" t="inlineStr">
        <is>
          <t>2 okolice anatomiczne</t>
        </is>
      </c>
      <c r="K774" t="inlineStr">
        <is>
          <t>Tomasz Bujalski</t>
        </is>
      </c>
      <c r="L774" t="inlineStr">
        <is>
          <t> </t>
        </is>
      </c>
      <c r="M774" t="inlineStr">
        <is>
          <t>Zespół Opieki Zdrowotnej "Szpitala Powiatowego" w Sochaczewie</t>
        </is>
      </c>
      <c r="N774" t="inlineStr">
        <is>
          <t>SZPITALNY ODDZIAŁ RATUNKOWY (40633)</t>
        </is>
      </c>
      <c r="O774" t="inlineStr">
        <is>
          <t>Sergey Shalamov</t>
        </is>
      </c>
      <c r="P774" t="inlineStr">
        <is>
          <t>3789715</t>
        </is>
      </c>
      <c r="Q774" t="inlineStr">
        <is>
          <t> </t>
        </is>
      </c>
      <c r="R774" t="inlineStr">
        <is>
          <t>zozsochaczew</t>
        </is>
      </c>
      <c r="S774" s="1" t="n">
        <v>46169.65763888889</v>
      </c>
      <c r="T774" t="n">
        <v>0</v>
      </c>
      <c r="U774" t="inlineStr">
        <is>
          <t>BUJALSKI TOMASZ</t>
        </is>
      </c>
    </row>
    <row r="775">
      <c r="A775" s="1" t="n">
        <v>46169</v>
      </c>
      <c r="B775" t="inlineStr">
        <is>
          <t>CT_26_002894</t>
        </is>
      </c>
      <c r="C775" t="inlineStr">
        <is>
          <t>MARIUSZ PARUSZEWSKI</t>
        </is>
      </c>
      <c r="D775" t="inlineStr">
        <is>
          <t>88070404991</t>
        </is>
      </c>
      <c r="E775" s="1" t="n">
        <v>46169</v>
      </c>
      <c r="F775" t="inlineStr">
        <is>
          <t>CITO-CITO</t>
        </is>
      </c>
      <c r="G775" t="inlineStr">
        <is>
          <t>TK</t>
        </is>
      </c>
      <c r="H775" t="inlineStr">
        <is>
          <t>Badanie układu kostnego</t>
        </is>
      </c>
      <c r="I775" t="inlineStr">
        <is>
          <t>TK Zwykłe</t>
        </is>
      </c>
      <c r="J775" t="inlineStr">
        <is>
          <t>1 okolica anatomiczna</t>
        </is>
      </c>
      <c r="K775" t="inlineStr">
        <is>
          <t>Tomasz Bujalski</t>
        </is>
      </c>
      <c r="L775" t="inlineStr">
        <is>
          <t> </t>
        </is>
      </c>
      <c r="M775" t="inlineStr">
        <is>
          <t>Zespół Opieki Zdrowotnej "Szpitala Powiatowego" w Sochaczewie</t>
        </is>
      </c>
      <c r="N775" t="inlineStr">
        <is>
          <t>SZPITALNY ODDZIAŁ RATUNKOWY (40633)</t>
        </is>
      </c>
      <c r="O775" t="inlineStr">
        <is>
          <t>Sergey Shalamov</t>
        </is>
      </c>
      <c r="P775" t="inlineStr">
        <is>
          <t>3789715</t>
        </is>
      </c>
      <c r="Q775" t="inlineStr">
        <is>
          <t> </t>
        </is>
      </c>
      <c r="R775" t="inlineStr">
        <is>
          <t>zozsochaczew</t>
        </is>
      </c>
      <c r="S775" s="1" t="n">
        <v>46169.67708333334</v>
      </c>
      <c r="T775" t="n">
        <v>0</v>
      </c>
      <c r="U775" t="inlineStr">
        <is>
          <t>BUJALSKI TOMASZ</t>
        </is>
      </c>
    </row>
    <row r="776">
      <c r="A776" s="1" t="n">
        <v>46171</v>
      </c>
      <c r="B776" t="inlineStr">
        <is>
          <t>CT_26_002939</t>
        </is>
      </c>
      <c r="C776" t="inlineStr">
        <is>
          <t>PAVEL MIKHALCHUK</t>
        </is>
      </c>
      <c r="D776" t="inlineStr">
        <is>
          <t>87032215974</t>
        </is>
      </c>
      <c r="E776" s="1" t="n">
        <v>46171</v>
      </c>
      <c r="F776" t="inlineStr">
        <is>
          <t>CITO-CITO</t>
        </is>
      </c>
      <c r="G776" t="inlineStr">
        <is>
          <t>TK</t>
        </is>
      </c>
      <c r="H776" t="inlineStr">
        <is>
          <t>Badanie TK jamy brzusznej i miednicy</t>
        </is>
      </c>
      <c r="I776" t="inlineStr">
        <is>
          <t>TK Zwykłe</t>
        </is>
      </c>
      <c r="J776" t="inlineStr">
        <is>
          <t>2 okolice anatomiczne</t>
        </is>
      </c>
      <c r="K776" t="inlineStr">
        <is>
          <t>Tomasz Bujalski</t>
        </is>
      </c>
      <c r="L776" t="inlineStr">
        <is>
          <t> </t>
        </is>
      </c>
      <c r="M776" t="inlineStr">
        <is>
          <t>Zespół Opieki Zdrowotnej "Szpitala Powiatowego" w Sochaczewie</t>
        </is>
      </c>
      <c r="N776" t="inlineStr">
        <is>
          <t>ODDZIAŁ WEWNĘTRZNO - KARDIOLOGICZNY (36516)</t>
        </is>
      </c>
      <c r="O776" t="inlineStr">
        <is>
          <t>Alicja Dubielecka</t>
        </is>
      </c>
      <c r="P776" t="inlineStr">
        <is>
          <t>3594594</t>
        </is>
      </c>
      <c r="Q776" t="inlineStr">
        <is>
          <t> </t>
        </is>
      </c>
      <c r="R776" t="inlineStr">
        <is>
          <t>zozsochaczew</t>
        </is>
      </c>
      <c r="S776" s="1" t="n">
        <v>46171.34583333333</v>
      </c>
      <c r="T776" t="n">
        <v>0</v>
      </c>
      <c r="U776" t="inlineStr">
        <is>
          <t>BUJALSKI TOMASZ</t>
        </is>
      </c>
    </row>
    <row r="777">
      <c r="A777" s="1" t="n">
        <v>46155</v>
      </c>
      <c r="B777" t="inlineStr">
        <is>
          <t>1766/26/CT</t>
        </is>
      </c>
      <c r="C777" t="inlineStr">
        <is>
          <t>Klaudia Barbara Teubner</t>
        </is>
      </c>
      <c r="D777" t="n">
        <v>98120402804</v>
      </c>
      <c r="E777" s="1" t="n">
        <v>46155</v>
      </c>
      <c r="F777" t="inlineStr">
        <is>
          <t>CITO-CITO</t>
        </is>
      </c>
      <c r="G777" t="inlineStr">
        <is>
          <t>TK</t>
        </is>
      </c>
      <c r="H777" t="inlineStr">
        <is>
          <t>TK głowy bez kontrastu</t>
        </is>
      </c>
      <c r="I777" t="inlineStr">
        <is>
          <t>TK Zwykłe</t>
        </is>
      </c>
      <c r="J777" t="inlineStr">
        <is>
          <t>1 okolica anatomiczna</t>
        </is>
      </c>
      <c r="K777" t="inlineStr">
        <is>
          <t>Tomasz Bujalski</t>
        </is>
      </c>
      <c r="L777" t="inlineStr">
        <is>
          <t> </t>
        </is>
      </c>
      <c r="M777" t="inlineStr">
        <is>
          <t>CENTRUM ZDROWIA W MIKOŁOWIE SPÓŁKA Z OGRANICZONĄ ODPOWIEDZIALNOŚCIĄ</t>
        </is>
      </c>
      <c r="N777" t="inlineStr">
        <is>
          <t>Izba Przyjęć</t>
        </is>
      </c>
      <c r="O777" t="inlineStr">
        <is>
          <t>Anna Juszczyk</t>
        </is>
      </c>
      <c r="P777" t="n">
        <v>2595461</v>
      </c>
      <c r="Q777" t="inlineStr">
        <is>
          <t>G44.8</t>
        </is>
      </c>
      <c r="R777" t="inlineStr">
        <is>
          <t>zozswietochlowice</t>
        </is>
      </c>
      <c r="S777" s="1" t="n">
        <v>46155.57430555556</v>
      </c>
      <c r="T777" t="n">
        <v>0</v>
      </c>
      <c r="U777" t="inlineStr">
        <is>
          <t>BUJALSKI TOMASZ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6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24" customWidth="1" min="4" max="4"/>
    <col width="24" customWidth="1" min="5" max="5"/>
    <col width="26" customWidth="1" min="6" max="6"/>
    <col width="35" customWidth="1" min="7" max="7"/>
    <col width="47" customWidth="1" min="8" max="8"/>
    <col width="26" customWidth="1" min="9" max="9"/>
    <col width="26" customWidth="1" min="10" max="10"/>
    <col width="18" customWidth="1" min="11" max="11"/>
    <col width="26" customWidth="1" min="12" max="12"/>
    <col width="29" customWidth="1" min="13" max="13"/>
    <col width="47" customWidth="1" min="14" max="14"/>
    <col width="26" customWidth="1" min="15" max="15"/>
    <col width="26" customWidth="1" min="16" max="16"/>
    <col width="21" customWidth="1" min="17" max="17"/>
    <col width="26" customWidth="1" min="18" max="18"/>
    <col width="32" customWidth="1" min="19" max="19"/>
    <col width="47" customWidth="1" min="20" max="20"/>
    <col width="26" customWidth="1" min="21" max="21"/>
    <col width="26" customWidth="1" min="22" max="22"/>
    <col width="18" customWidth="1" min="23" max="23"/>
    <col width="26" customWidth="1" min="24" max="24"/>
    <col width="29" customWidth="1" min="25" max="25"/>
    <col width="47" customWidth="1" min="26" max="26"/>
    <col width="28" customWidth="1" min="27" max="27"/>
    <col width="28" customWidth="1" min="28" max="28"/>
    <col width="14" customWidth="1" min="29" max="29"/>
    <col width="28" customWidth="1" min="30" max="30"/>
    <col width="28" customWidth="1" min="31" max="31"/>
    <col width="48" customWidth="1" min="32" max="32"/>
    <col width="28" customWidth="1" min="33" max="33"/>
    <col width="28" customWidth="1" min="34" max="34"/>
    <col width="16" customWidth="1" min="35" max="35"/>
    <col width="28" customWidth="1" min="36" max="36"/>
    <col width="28" customWidth="1" min="37" max="37"/>
    <col width="48" customWidth="1" min="38" max="38"/>
    <col width="28" customWidth="1" min="39" max="39"/>
    <col width="28" customWidth="1" min="40" max="40"/>
  </cols>
  <sheetData>
    <row r="1">
      <c r="A1" t="inlineStr">
        <is>
          <t>Modalność</t>
        </is>
      </c>
      <c r="B1" t="inlineStr">
        <is>
          <t>Procedura</t>
        </is>
      </c>
      <c r="C1" t="inlineStr">
        <is>
          <t>Rodzaj procedury rozlicz.</t>
        </is>
      </c>
      <c r="D1" t="inlineStr">
        <is>
          <t>Procedura rozlicz.</t>
        </is>
      </c>
      <c r="E1" s="2" t="inlineStr">
        <is>
          <t>CITO NA RATUNEK Stawka</t>
        </is>
      </c>
      <c r="F1" s="2" t="inlineStr">
        <is>
          <t>CITO NA RATUNEK #</t>
        </is>
      </c>
      <c r="G1" s="2" t="inlineStr">
        <is>
          <t>CITO NA RATUNEK w tym porównawcze</t>
        </is>
      </c>
      <c r="H1" s="2" t="inlineStr">
        <is>
          <t>CITO NA RATUNEK Mnożnik</t>
        </is>
      </c>
      <c r="I1" s="2" t="inlineStr">
        <is>
          <t>CITO NA RATUNEK Ilość</t>
        </is>
      </c>
      <c r="J1" s="2" t="inlineStr">
        <is>
          <t>CITO NA RATUNEK Wartość</t>
        </is>
      </c>
      <c r="K1" s="3" t="inlineStr">
        <is>
          <t>CITO-UDAR Stawka</t>
        </is>
      </c>
      <c r="L1" s="3" t="inlineStr">
        <is>
          <t>CITO-UDAR #</t>
        </is>
      </c>
      <c r="M1" s="3" t="inlineStr">
        <is>
          <t>CITO-UDAR w tym porównawcze</t>
        </is>
      </c>
      <c r="N1" s="3" t="inlineStr">
        <is>
          <t>CITO-UDAR Mnożnik</t>
        </is>
      </c>
      <c r="O1" s="3" t="inlineStr">
        <is>
          <t>CITO-UDAR Ilość</t>
        </is>
      </c>
      <c r="P1" s="3" t="inlineStr">
        <is>
          <t>CITO-UDAR Wartość</t>
        </is>
      </c>
      <c r="Q1" s="4" t="inlineStr">
        <is>
          <t>Bardzo pilny Stawka</t>
        </is>
      </c>
      <c r="R1" s="4" t="inlineStr">
        <is>
          <t>Bardzo pilny #</t>
        </is>
      </c>
      <c r="S1" s="4" t="inlineStr">
        <is>
          <t>Bardzo pilny w tym porównawcze</t>
        </is>
      </c>
      <c r="T1" s="4" t="inlineStr">
        <is>
          <t>Bardzo pilny Mnożnik</t>
        </is>
      </c>
      <c r="U1" s="4" t="inlineStr">
        <is>
          <t>Bardzo pilny Ilość</t>
        </is>
      </c>
      <c r="V1" s="4" t="inlineStr">
        <is>
          <t>Bardzo pilny Wartość</t>
        </is>
      </c>
      <c r="W1" s="5" t="inlineStr">
        <is>
          <t>CITO-CITO Stawka</t>
        </is>
      </c>
      <c r="X1" s="5" t="inlineStr">
        <is>
          <t>CITO-CITO #</t>
        </is>
      </c>
      <c r="Y1" s="5" t="inlineStr">
        <is>
          <t>CITO-CITO w tym porównawcze</t>
        </is>
      </c>
      <c r="Z1" s="5" t="inlineStr">
        <is>
          <t>CITO-CITO Mnożnik</t>
        </is>
      </c>
      <c r="AA1" s="5" t="inlineStr">
        <is>
          <t>CITO-CITO Ilość</t>
        </is>
      </c>
      <c r="AB1" s="5" t="inlineStr">
        <is>
          <t>CITO-CITO Wartość</t>
        </is>
      </c>
      <c r="AC1" s="6" t="inlineStr">
        <is>
          <t>Pilny Stawka</t>
        </is>
      </c>
      <c r="AD1" s="6" t="inlineStr">
        <is>
          <t>Pilny #</t>
        </is>
      </c>
      <c r="AE1" s="6" t="inlineStr">
        <is>
          <t>Pilny w tym porównawcze</t>
        </is>
      </c>
      <c r="AF1" s="6" t="inlineStr">
        <is>
          <t>Pilny Mnożnik</t>
        </is>
      </c>
      <c r="AG1" s="6" t="inlineStr">
        <is>
          <t>Pilny Ilość</t>
        </is>
      </c>
      <c r="AH1" s="6" t="inlineStr">
        <is>
          <t>Pilny Wartość</t>
        </is>
      </c>
      <c r="AI1" s="7" t="inlineStr">
        <is>
          <t>Planowy Stawka</t>
        </is>
      </c>
      <c r="AJ1" s="7" t="inlineStr">
        <is>
          <t>Planowy #</t>
        </is>
      </c>
      <c r="AK1" s="7" t="inlineStr">
        <is>
          <t>Planowy w tym porównawcze</t>
        </is>
      </c>
      <c r="AL1" s="7" t="inlineStr">
        <is>
          <t>Planowy Mnożnik</t>
        </is>
      </c>
      <c r="AM1" s="7" t="inlineStr">
        <is>
          <t>Planowy Ilość</t>
        </is>
      </c>
      <c r="AN1" s="7" t="inlineStr">
        <is>
          <t>Planowy Wartość</t>
        </is>
      </c>
    </row>
    <row r="2">
      <c r="A2" s="8" t="inlineStr">
        <is>
          <t>MR</t>
        </is>
      </c>
      <c r="B2" s="8" t="inlineStr">
        <is>
          <t>MR – Angio</t>
        </is>
      </c>
      <c r="C2" s="8" t="inlineStr">
        <is>
          <t>MR Angiografia</t>
        </is>
      </c>
      <c r="D2" s="8" t="inlineStr">
        <is>
          <t>1 okolica anatomiczna</t>
        </is>
      </c>
      <c r="E2" s="9" t="n">
        <v>0</v>
      </c>
      <c r="F2" s="8" t="n">
        <v>0</v>
      </c>
      <c r="G2" s="8" t="n">
        <v>0</v>
      </c>
      <c r="H2" s="8">
        <f>IF(F2&gt;0,IFERROR(VALUE(LEFT($D2,1)),1),0)</f>
        <v/>
      </c>
      <c r="I2" s="8">
        <f>F2*H2</f>
        <v/>
      </c>
      <c r="J2" s="9">
        <f>E2*I2</f>
        <v/>
      </c>
      <c r="K2" s="9" t="n">
        <v>0</v>
      </c>
      <c r="L2" s="8" t="n">
        <v>0</v>
      </c>
      <c r="M2" s="8" t="n">
        <v>0</v>
      </c>
      <c r="N2" s="8">
        <f>IF(L2&gt;0,IFERROR(VALUE(LEFT($D2,1)),1),0)</f>
        <v/>
      </c>
      <c r="O2" s="8">
        <f>L2*N2</f>
        <v/>
      </c>
      <c r="P2" s="9">
        <f>K2*O2</f>
        <v/>
      </c>
      <c r="Q2" s="9" t="n">
        <v>0</v>
      </c>
      <c r="R2" s="8" t="n">
        <v>0</v>
      </c>
      <c r="S2" s="8" t="n">
        <v>0</v>
      </c>
      <c r="T2" s="8">
        <f>IF(R2&gt;0,IFERROR(VALUE(LEFT($D2,1)),1),0)</f>
        <v/>
      </c>
      <c r="U2" s="8">
        <f>R2*T2</f>
        <v/>
      </c>
      <c r="V2" s="9">
        <f>Q2*U2</f>
        <v/>
      </c>
      <c r="W2" s="9" t="n">
        <v>170</v>
      </c>
      <c r="X2" s="8" t="n">
        <v>1</v>
      </c>
      <c r="Y2" s="8" t="n">
        <v>0</v>
      </c>
      <c r="Z2" s="8">
        <f>IF(X2&gt;0,IFERROR(VALUE(LEFT($D2,1)),1),0)</f>
        <v/>
      </c>
      <c r="AA2" s="8">
        <f>X2*Z2</f>
        <v/>
      </c>
      <c r="AB2" s="9">
        <f>W2*AA2</f>
        <v/>
      </c>
      <c r="AC2" s="9" t="n">
        <v>0</v>
      </c>
      <c r="AD2" s="8" t="n">
        <v>0</v>
      </c>
      <c r="AE2" s="8" t="n">
        <v>0</v>
      </c>
      <c r="AF2" s="8">
        <f>IF(AD2&gt;0,IFERROR(VALUE(LEFT($D2,1)),1),0)</f>
        <v/>
      </c>
      <c r="AG2" s="8">
        <f>AD2*AF2</f>
        <v/>
      </c>
      <c r="AH2" s="9">
        <f>AC2*AG2</f>
        <v/>
      </c>
      <c r="AI2" s="9" t="n">
        <v>0</v>
      </c>
      <c r="AJ2" s="8" t="n">
        <v>0</v>
      </c>
      <c r="AK2" s="8" t="n">
        <v>0</v>
      </c>
      <c r="AL2" s="8">
        <f>IF(AJ2&gt;0,IFERROR(VALUE(LEFT($D2,1)),1),0)</f>
        <v/>
      </c>
      <c r="AM2" s="8">
        <f>AJ2*AL2</f>
        <v/>
      </c>
      <c r="AN2" s="9">
        <f>AI2*AM2</f>
        <v/>
      </c>
    </row>
    <row r="3">
      <c r="A3" s="8" t="inlineStr">
        <is>
          <t>MR</t>
        </is>
      </c>
      <c r="B3" s="8" t="inlineStr">
        <is>
          <t>MR angio głowy</t>
        </is>
      </c>
      <c r="C3" s="8" t="inlineStr">
        <is>
          <t>MR Angiografia</t>
        </is>
      </c>
      <c r="D3" s="8" t="inlineStr">
        <is>
          <t>1 okolica anatomiczna</t>
        </is>
      </c>
      <c r="E3" s="9" t="n">
        <v>0</v>
      </c>
      <c r="F3" s="8" t="n">
        <v>0</v>
      </c>
      <c r="G3" s="8" t="n">
        <v>0</v>
      </c>
      <c r="H3" s="8">
        <f>IF(F3&gt;0,IFERROR(VALUE(LEFT($D3,1)),1),0)</f>
        <v/>
      </c>
      <c r="I3" s="8">
        <f>F3*H3</f>
        <v/>
      </c>
      <c r="J3" s="9">
        <f>E3*I3</f>
        <v/>
      </c>
      <c r="K3" s="9" t="n">
        <v>0</v>
      </c>
      <c r="L3" s="8" t="n">
        <v>0</v>
      </c>
      <c r="M3" s="8" t="n">
        <v>0</v>
      </c>
      <c r="N3" s="8">
        <f>IF(L3&gt;0,IFERROR(VALUE(LEFT($D3,1)),1),0)</f>
        <v/>
      </c>
      <c r="O3" s="8">
        <f>L3*N3</f>
        <v/>
      </c>
      <c r="P3" s="9">
        <f>K3*O3</f>
        <v/>
      </c>
      <c r="Q3" s="9" t="n">
        <v>0</v>
      </c>
      <c r="R3" s="8" t="n">
        <v>0</v>
      </c>
      <c r="S3" s="8" t="n">
        <v>0</v>
      </c>
      <c r="T3" s="8">
        <f>IF(R3&gt;0,IFERROR(VALUE(LEFT($D3,1)),1),0)</f>
        <v/>
      </c>
      <c r="U3" s="8">
        <f>R3*T3</f>
        <v/>
      </c>
      <c r="V3" s="9">
        <f>Q3*U3</f>
        <v/>
      </c>
      <c r="W3" s="9" t="n">
        <v>0</v>
      </c>
      <c r="X3" s="8" t="n">
        <v>0</v>
      </c>
      <c r="Y3" s="8" t="n">
        <v>0</v>
      </c>
      <c r="Z3" s="8">
        <f>IF(X3&gt;0,IFERROR(VALUE(LEFT($D3,1)),1),0)</f>
        <v/>
      </c>
      <c r="AA3" s="8">
        <f>X3*Z3</f>
        <v/>
      </c>
      <c r="AB3" s="9">
        <f>W3*AA3</f>
        <v/>
      </c>
      <c r="AC3" s="9" t="n">
        <v>0</v>
      </c>
      <c r="AD3" s="8" t="n">
        <v>0</v>
      </c>
      <c r="AE3" s="8" t="n">
        <v>0</v>
      </c>
      <c r="AF3" s="8">
        <f>IF(AD3&gt;0,IFERROR(VALUE(LEFT($D3,1)),1),0)</f>
        <v/>
      </c>
      <c r="AG3" s="8">
        <f>AD3*AF3</f>
        <v/>
      </c>
      <c r="AH3" s="9">
        <f>AC3*AG3</f>
        <v/>
      </c>
      <c r="AI3" s="9" t="n">
        <v>170</v>
      </c>
      <c r="AJ3" s="8" t="n">
        <v>1</v>
      </c>
      <c r="AK3" s="8" t="n">
        <v>0</v>
      </c>
      <c r="AL3" s="8">
        <f>IF(AJ3&gt;0,IFERROR(VALUE(LEFT($D3,1)),1),0)</f>
        <v/>
      </c>
      <c r="AM3" s="8">
        <f>AJ3*AL3</f>
        <v/>
      </c>
      <c r="AN3" s="9">
        <f>AI3*AM3</f>
        <v/>
      </c>
    </row>
    <row r="4">
      <c r="A4" s="10" t="inlineStr">
        <is>
          <t>MR</t>
        </is>
      </c>
      <c r="B4" s="10" t="inlineStr">
        <is>
          <t>MR - cholangiografia - bez kontrastu</t>
        </is>
      </c>
      <c r="C4" s="10" t="inlineStr">
        <is>
          <t>MR Inne - wtym prostata, miednica, jama brzuszna tkanki miekkie</t>
        </is>
      </c>
      <c r="D4" s="10" t="inlineStr">
        <is>
          <t>1 okolica anatomiczna</t>
        </is>
      </c>
      <c r="E4" s="9" t="n">
        <v>0</v>
      </c>
      <c r="F4" s="10" t="n">
        <v>0</v>
      </c>
      <c r="G4" s="10" t="n">
        <v>0</v>
      </c>
      <c r="H4" s="10">
        <f>IF(F4&gt;0,IFERROR(VALUE(LEFT($D4,1)),1),0)</f>
        <v/>
      </c>
      <c r="I4" s="10">
        <f>F4*H4</f>
        <v/>
      </c>
      <c r="J4" s="9">
        <f>E4*I4</f>
        <v/>
      </c>
      <c r="K4" s="9" t="n">
        <v>0</v>
      </c>
      <c r="L4" s="10" t="n">
        <v>0</v>
      </c>
      <c r="M4" s="10" t="n">
        <v>0</v>
      </c>
      <c r="N4" s="10">
        <f>IF(L4&gt;0,IFERROR(VALUE(LEFT($D4,1)),1),0)</f>
        <v/>
      </c>
      <c r="O4" s="10">
        <f>L4*N4</f>
        <v/>
      </c>
      <c r="P4" s="9">
        <f>K4*O4</f>
        <v/>
      </c>
      <c r="Q4" s="9" t="n">
        <v>0</v>
      </c>
      <c r="R4" s="10" t="n">
        <v>0</v>
      </c>
      <c r="S4" s="10" t="n">
        <v>0</v>
      </c>
      <c r="T4" s="10">
        <f>IF(R4&gt;0,IFERROR(VALUE(LEFT($D4,1)),1),0)</f>
        <v/>
      </c>
      <c r="U4" s="10">
        <f>R4*T4</f>
        <v/>
      </c>
      <c r="V4" s="9">
        <f>Q4*U4</f>
        <v/>
      </c>
      <c r="W4" s="9" t="n">
        <v>170</v>
      </c>
      <c r="X4" s="10" t="n">
        <v>1</v>
      </c>
      <c r="Y4" s="10" t="n">
        <v>0</v>
      </c>
      <c r="Z4" s="10">
        <f>IF(X4&gt;0,IFERROR(VALUE(LEFT($D4,1)),1),0)</f>
        <v/>
      </c>
      <c r="AA4" s="10">
        <f>X4*Z4</f>
        <v/>
      </c>
      <c r="AB4" s="9">
        <f>W4*AA4</f>
        <v/>
      </c>
      <c r="AC4" s="9" t="n">
        <v>0</v>
      </c>
      <c r="AD4" s="10" t="n">
        <v>0</v>
      </c>
      <c r="AE4" s="10" t="n">
        <v>0</v>
      </c>
      <c r="AF4" s="10">
        <f>IF(AD4&gt;0,IFERROR(VALUE(LEFT($D4,1)),1),0)</f>
        <v/>
      </c>
      <c r="AG4" s="10">
        <f>AD4*AF4</f>
        <v/>
      </c>
      <c r="AH4" s="9">
        <f>AC4*AG4</f>
        <v/>
      </c>
      <c r="AI4" s="9" t="n">
        <v>0</v>
      </c>
      <c r="AJ4" s="10" t="n">
        <v>0</v>
      </c>
      <c r="AK4" s="10" t="n">
        <v>0</v>
      </c>
      <c r="AL4" s="10">
        <f>IF(AJ4&gt;0,IFERROR(VALUE(LEFT($D4,1)),1),0)</f>
        <v/>
      </c>
      <c r="AM4" s="10">
        <f>AJ4*AL4</f>
        <v/>
      </c>
      <c r="AN4" s="9">
        <f>AI4*AM4</f>
        <v/>
      </c>
    </row>
    <row r="5">
      <c r="A5" s="10" t="inlineStr">
        <is>
          <t>MR</t>
        </is>
      </c>
      <c r="B5" s="10" t="inlineStr">
        <is>
          <t>MR jamy brzusznej, przestrzeni zaotrzewnowej - z kontrastem</t>
        </is>
      </c>
      <c r="C5" s="10" t="inlineStr">
        <is>
          <t>MR Inne - wtym prostata, miednica, jama brzuszna tkanki miekkie</t>
        </is>
      </c>
      <c r="D5" s="10" t="inlineStr">
        <is>
          <t>1 okolica anatomiczna</t>
        </is>
      </c>
      <c r="E5" s="9" t="n">
        <v>0</v>
      </c>
      <c r="F5" s="10" t="n">
        <v>0</v>
      </c>
      <c r="G5" s="10" t="n">
        <v>0</v>
      </c>
      <c r="H5" s="10">
        <f>IF(F5&gt;0,IFERROR(VALUE(LEFT($D5,1)),1),0)</f>
        <v/>
      </c>
      <c r="I5" s="10">
        <f>F5*H5</f>
        <v/>
      </c>
      <c r="J5" s="9">
        <f>E5*I5</f>
        <v/>
      </c>
      <c r="K5" s="9" t="n">
        <v>0</v>
      </c>
      <c r="L5" s="10" t="n">
        <v>0</v>
      </c>
      <c r="M5" s="10" t="n">
        <v>0</v>
      </c>
      <c r="N5" s="10">
        <f>IF(L5&gt;0,IFERROR(VALUE(LEFT($D5,1)),1),0)</f>
        <v/>
      </c>
      <c r="O5" s="10">
        <f>L5*N5</f>
        <v/>
      </c>
      <c r="P5" s="9">
        <f>K5*O5</f>
        <v/>
      </c>
      <c r="Q5" s="9" t="n">
        <v>0</v>
      </c>
      <c r="R5" s="10" t="n">
        <v>0</v>
      </c>
      <c r="S5" s="10" t="n">
        <v>0</v>
      </c>
      <c r="T5" s="10">
        <f>IF(R5&gt;0,IFERROR(VALUE(LEFT($D5,1)),1),0)</f>
        <v/>
      </c>
      <c r="U5" s="10">
        <f>R5*T5</f>
        <v/>
      </c>
      <c r="V5" s="9">
        <f>Q5*U5</f>
        <v/>
      </c>
      <c r="W5" s="9" t="n">
        <v>170</v>
      </c>
      <c r="X5" s="10" t="n">
        <v>2</v>
      </c>
      <c r="Y5" s="10" t="n">
        <v>0</v>
      </c>
      <c r="Z5" s="10">
        <f>IF(X5&gt;0,IFERROR(VALUE(LEFT($D5,1)),1),0)</f>
        <v/>
      </c>
      <c r="AA5" s="10">
        <f>X5*Z5</f>
        <v/>
      </c>
      <c r="AB5" s="9">
        <f>W5*AA5</f>
        <v/>
      </c>
      <c r="AC5" s="9" t="n">
        <v>0</v>
      </c>
      <c r="AD5" s="10" t="n">
        <v>0</v>
      </c>
      <c r="AE5" s="10" t="n">
        <v>0</v>
      </c>
      <c r="AF5" s="10">
        <f>IF(AD5&gt;0,IFERROR(VALUE(LEFT($D5,1)),1),0)</f>
        <v/>
      </c>
      <c r="AG5" s="10">
        <f>AD5*AF5</f>
        <v/>
      </c>
      <c r="AH5" s="9">
        <f>AC5*AG5</f>
        <v/>
      </c>
      <c r="AI5" s="9" t="n">
        <v>170</v>
      </c>
      <c r="AJ5" s="10" t="n">
        <v>2</v>
      </c>
      <c r="AK5" s="10" t="n">
        <v>0</v>
      </c>
      <c r="AL5" s="10">
        <f>IF(AJ5&gt;0,IFERROR(VALUE(LEFT($D5,1)),1),0)</f>
        <v/>
      </c>
      <c r="AM5" s="10">
        <f>AJ5*AL5</f>
        <v/>
      </c>
      <c r="AN5" s="9">
        <f>AI5*AM5</f>
        <v/>
      </c>
    </row>
    <row r="6">
      <c r="A6" s="10" t="inlineStr">
        <is>
          <t>MR</t>
        </is>
      </c>
      <c r="B6" s="10" t="inlineStr">
        <is>
          <t>Rezonans Magnetyczny jamy brzusznej bez kontrastu</t>
        </is>
      </c>
      <c r="C6" s="10" t="inlineStr">
        <is>
          <t>MR Inne - wtym prostata, miednica, jama brzuszna tkanki miekkie</t>
        </is>
      </c>
      <c r="D6" s="10" t="inlineStr">
        <is>
          <t>1 okolica anatomiczna</t>
        </is>
      </c>
      <c r="E6" s="9" t="n">
        <v>0</v>
      </c>
      <c r="F6" s="10" t="n">
        <v>0</v>
      </c>
      <c r="G6" s="10" t="n">
        <v>0</v>
      </c>
      <c r="H6" s="10">
        <f>IF(F6&gt;0,IFERROR(VALUE(LEFT($D6,1)),1),0)</f>
        <v/>
      </c>
      <c r="I6" s="10">
        <f>F6*H6</f>
        <v/>
      </c>
      <c r="J6" s="9">
        <f>E6*I6</f>
        <v/>
      </c>
      <c r="K6" s="9" t="n">
        <v>0</v>
      </c>
      <c r="L6" s="10" t="n">
        <v>0</v>
      </c>
      <c r="M6" s="10" t="n">
        <v>0</v>
      </c>
      <c r="N6" s="10">
        <f>IF(L6&gt;0,IFERROR(VALUE(LEFT($D6,1)),1),0)</f>
        <v/>
      </c>
      <c r="O6" s="10">
        <f>L6*N6</f>
        <v/>
      </c>
      <c r="P6" s="9">
        <f>K6*O6</f>
        <v/>
      </c>
      <c r="Q6" s="9" t="n">
        <v>0</v>
      </c>
      <c r="R6" s="10" t="n">
        <v>0</v>
      </c>
      <c r="S6" s="10" t="n">
        <v>0</v>
      </c>
      <c r="T6" s="10">
        <f>IF(R6&gt;0,IFERROR(VALUE(LEFT($D6,1)),1),0)</f>
        <v/>
      </c>
      <c r="U6" s="10">
        <f>R6*T6</f>
        <v/>
      </c>
      <c r="V6" s="9">
        <f>Q6*U6</f>
        <v/>
      </c>
      <c r="W6" s="9" t="n">
        <v>170</v>
      </c>
      <c r="X6" s="10" t="n">
        <v>1</v>
      </c>
      <c r="Y6" s="10" t="n">
        <v>0</v>
      </c>
      <c r="Z6" s="10">
        <f>IF(X6&gt;0,IFERROR(VALUE(LEFT($D6,1)),1),0)</f>
        <v/>
      </c>
      <c r="AA6" s="10">
        <f>X6*Z6</f>
        <v/>
      </c>
      <c r="AB6" s="9">
        <f>W6*AA6</f>
        <v/>
      </c>
      <c r="AC6" s="9" t="n">
        <v>0</v>
      </c>
      <c r="AD6" s="10" t="n">
        <v>0</v>
      </c>
      <c r="AE6" s="10" t="n">
        <v>0</v>
      </c>
      <c r="AF6" s="10">
        <f>IF(AD6&gt;0,IFERROR(VALUE(LEFT($D6,1)),1),0)</f>
        <v/>
      </c>
      <c r="AG6" s="10">
        <f>AD6*AF6</f>
        <v/>
      </c>
      <c r="AH6" s="9">
        <f>AC6*AG6</f>
        <v/>
      </c>
      <c r="AI6" s="9" t="n">
        <v>0</v>
      </c>
      <c r="AJ6" s="10" t="n">
        <v>0</v>
      </c>
      <c r="AK6" s="10" t="n">
        <v>0</v>
      </c>
      <c r="AL6" s="10">
        <f>IF(AJ6&gt;0,IFERROR(VALUE(LEFT($D6,1)),1),0)</f>
        <v/>
      </c>
      <c r="AM6" s="10">
        <f>AJ6*AL6</f>
        <v/>
      </c>
      <c r="AN6" s="9">
        <f>AI6*AM6</f>
        <v/>
      </c>
    </row>
    <row r="7">
      <c r="A7" s="10" t="inlineStr">
        <is>
          <t>MR</t>
        </is>
      </c>
      <c r="B7" s="10" t="inlineStr">
        <is>
          <t>Rezonans Magnetyczny jamy brzusznej z kontrastem</t>
        </is>
      </c>
      <c r="C7" s="10" t="inlineStr">
        <is>
          <t>MR Inne - wtym prostata, miednica, jama brzuszna tkanki miekkie</t>
        </is>
      </c>
      <c r="D7" s="10" t="inlineStr">
        <is>
          <t>1 okolica anatomiczna</t>
        </is>
      </c>
      <c r="E7" s="9" t="n">
        <v>0</v>
      </c>
      <c r="F7" s="10" t="n">
        <v>0</v>
      </c>
      <c r="G7" s="10" t="n">
        <v>0</v>
      </c>
      <c r="H7" s="10">
        <f>IF(F7&gt;0,IFERROR(VALUE(LEFT($D7,1)),1),0)</f>
        <v/>
      </c>
      <c r="I7" s="10">
        <f>F7*H7</f>
        <v/>
      </c>
      <c r="J7" s="9">
        <f>E7*I7</f>
        <v/>
      </c>
      <c r="K7" s="9" t="n">
        <v>0</v>
      </c>
      <c r="L7" s="10" t="n">
        <v>0</v>
      </c>
      <c r="M7" s="10" t="n">
        <v>0</v>
      </c>
      <c r="N7" s="10">
        <f>IF(L7&gt;0,IFERROR(VALUE(LEFT($D7,1)),1),0)</f>
        <v/>
      </c>
      <c r="O7" s="10">
        <f>L7*N7</f>
        <v/>
      </c>
      <c r="P7" s="9">
        <f>K7*O7</f>
        <v/>
      </c>
      <c r="Q7" s="9" t="n">
        <v>0</v>
      </c>
      <c r="R7" s="10" t="n">
        <v>0</v>
      </c>
      <c r="S7" s="10" t="n">
        <v>0</v>
      </c>
      <c r="T7" s="10">
        <f>IF(R7&gt;0,IFERROR(VALUE(LEFT($D7,1)),1),0)</f>
        <v/>
      </c>
      <c r="U7" s="10">
        <f>R7*T7</f>
        <v/>
      </c>
      <c r="V7" s="9">
        <f>Q7*U7</f>
        <v/>
      </c>
      <c r="W7" s="9" t="n">
        <v>170</v>
      </c>
      <c r="X7" s="10" t="n">
        <v>3</v>
      </c>
      <c r="Y7" s="10" t="n">
        <v>0</v>
      </c>
      <c r="Z7" s="10">
        <f>IF(X7&gt;0,IFERROR(VALUE(LEFT($D7,1)),1),0)</f>
        <v/>
      </c>
      <c r="AA7" s="10">
        <f>X7*Z7</f>
        <v/>
      </c>
      <c r="AB7" s="9">
        <f>W7*AA7</f>
        <v/>
      </c>
      <c r="AC7" s="9" t="n">
        <v>0</v>
      </c>
      <c r="AD7" s="10" t="n">
        <v>0</v>
      </c>
      <c r="AE7" s="10" t="n">
        <v>0</v>
      </c>
      <c r="AF7" s="10">
        <f>IF(AD7&gt;0,IFERROR(VALUE(LEFT($D7,1)),1),0)</f>
        <v/>
      </c>
      <c r="AG7" s="10">
        <f>AD7*AF7</f>
        <v/>
      </c>
      <c r="AH7" s="9">
        <f>AC7*AG7</f>
        <v/>
      </c>
      <c r="AI7" s="9" t="n">
        <v>170</v>
      </c>
      <c r="AJ7" s="10" t="n">
        <v>1</v>
      </c>
      <c r="AK7" s="10" t="n">
        <v>0</v>
      </c>
      <c r="AL7" s="10">
        <f>IF(AJ7&gt;0,IFERROR(VALUE(LEFT($D7,1)),1),0)</f>
        <v/>
      </c>
      <c r="AM7" s="10">
        <f>AJ7*AL7</f>
        <v/>
      </c>
      <c r="AN7" s="9">
        <f>AI7*AM7</f>
        <v/>
      </c>
    </row>
    <row r="8">
      <c r="A8" s="10" t="inlineStr">
        <is>
          <t>MR</t>
        </is>
      </c>
      <c r="B8" s="10" t="inlineStr">
        <is>
          <t>MR badanie jednej okolicy anatomicznej innej niż kręgosłupa bez wzmocnienia kontrastowego</t>
        </is>
      </c>
      <c r="C8" s="10" t="inlineStr">
        <is>
          <t>MR Inne - wtym prostata, miednica, jama brzuszna tkanki miekkie</t>
        </is>
      </c>
      <c r="D8" s="10" t="inlineStr">
        <is>
          <t>1 okolica anatomiczna</t>
        </is>
      </c>
      <c r="E8" s="9" t="n">
        <v>0</v>
      </c>
      <c r="F8" s="10" t="n">
        <v>0</v>
      </c>
      <c r="G8" s="10" t="n">
        <v>0</v>
      </c>
      <c r="H8" s="10">
        <f>IF(F8&gt;0,IFERROR(VALUE(LEFT($D8,1)),1),0)</f>
        <v/>
      </c>
      <c r="I8" s="10">
        <f>F8*H8</f>
        <v/>
      </c>
      <c r="J8" s="9">
        <f>E8*I8</f>
        <v/>
      </c>
      <c r="K8" s="9" t="n">
        <v>0</v>
      </c>
      <c r="L8" s="10" t="n">
        <v>0</v>
      </c>
      <c r="M8" s="10" t="n">
        <v>0</v>
      </c>
      <c r="N8" s="10">
        <f>IF(L8&gt;0,IFERROR(VALUE(LEFT($D8,1)),1),0)</f>
        <v/>
      </c>
      <c r="O8" s="10">
        <f>L8*N8</f>
        <v/>
      </c>
      <c r="P8" s="9">
        <f>K8*O8</f>
        <v/>
      </c>
      <c r="Q8" s="9" t="n">
        <v>0</v>
      </c>
      <c r="R8" s="10" t="n">
        <v>0</v>
      </c>
      <c r="S8" s="10" t="n">
        <v>0</v>
      </c>
      <c r="T8" s="10">
        <f>IF(R8&gt;0,IFERROR(VALUE(LEFT($D8,1)),1),0)</f>
        <v/>
      </c>
      <c r="U8" s="10">
        <f>R8*T8</f>
        <v/>
      </c>
      <c r="V8" s="9">
        <f>Q8*U8</f>
        <v/>
      </c>
      <c r="W8" s="9" t="n">
        <v>0</v>
      </c>
      <c r="X8" s="10" t="n">
        <v>0</v>
      </c>
      <c r="Y8" s="10" t="n">
        <v>0</v>
      </c>
      <c r="Z8" s="10">
        <f>IF(X8&gt;0,IFERROR(VALUE(LEFT($D8,1)),1),0)</f>
        <v/>
      </c>
      <c r="AA8" s="10">
        <f>X8*Z8</f>
        <v/>
      </c>
      <c r="AB8" s="9">
        <f>W8*AA8</f>
        <v/>
      </c>
      <c r="AC8" s="9" t="n">
        <v>170</v>
      </c>
      <c r="AD8" s="10" t="n">
        <v>1</v>
      </c>
      <c r="AE8" s="10" t="n">
        <v>1</v>
      </c>
      <c r="AF8" s="10">
        <f>IF(AD8&gt;0,IFERROR(VALUE(LEFT($D8,1)),1),0)</f>
        <v/>
      </c>
      <c r="AG8" s="10">
        <f>AD8*AF8</f>
        <v/>
      </c>
      <c r="AH8" s="9">
        <f>AC8*AG8</f>
        <v/>
      </c>
      <c r="AI8" s="9" t="n">
        <v>0</v>
      </c>
      <c r="AJ8" s="10" t="n">
        <v>0</v>
      </c>
      <c r="AK8" s="10" t="n">
        <v>0</v>
      </c>
      <c r="AL8" s="10">
        <f>IF(AJ8&gt;0,IFERROR(VALUE(LEFT($D8,1)),1),0)</f>
        <v/>
      </c>
      <c r="AM8" s="10">
        <f>AJ8*AL8</f>
        <v/>
      </c>
      <c r="AN8" s="9">
        <f>AI8*AM8</f>
        <v/>
      </c>
    </row>
    <row r="9">
      <c r="A9" s="10" t="inlineStr">
        <is>
          <t>MR</t>
        </is>
      </c>
      <c r="B9" s="10" t="inlineStr">
        <is>
          <t>Rezonans magnet. jamy brzusznej lub miednicy małej bez kontr. i z kontr.</t>
        </is>
      </c>
      <c r="C9" s="10" t="inlineStr">
        <is>
          <t>MR Inne - wtym prostata, miednica, jama brzuszna tkanki miekkie</t>
        </is>
      </c>
      <c r="D9" s="10" t="inlineStr">
        <is>
          <t>1 okolica anatomiczna</t>
        </is>
      </c>
      <c r="E9" s="9" t="n">
        <v>0</v>
      </c>
      <c r="F9" s="10" t="n">
        <v>0</v>
      </c>
      <c r="G9" s="10" t="n">
        <v>0</v>
      </c>
      <c r="H9" s="10">
        <f>IF(F9&gt;0,IFERROR(VALUE(LEFT($D9,1)),1),0)</f>
        <v/>
      </c>
      <c r="I9" s="10">
        <f>F9*H9</f>
        <v/>
      </c>
      <c r="J9" s="9">
        <f>E9*I9</f>
        <v/>
      </c>
      <c r="K9" s="9" t="n">
        <v>0</v>
      </c>
      <c r="L9" s="10" t="n">
        <v>0</v>
      </c>
      <c r="M9" s="10" t="n">
        <v>0</v>
      </c>
      <c r="N9" s="10">
        <f>IF(L9&gt;0,IFERROR(VALUE(LEFT($D9,1)),1),0)</f>
        <v/>
      </c>
      <c r="O9" s="10">
        <f>L9*N9</f>
        <v/>
      </c>
      <c r="P9" s="9">
        <f>K9*O9</f>
        <v/>
      </c>
      <c r="Q9" s="9" t="n">
        <v>0</v>
      </c>
      <c r="R9" s="10" t="n">
        <v>0</v>
      </c>
      <c r="S9" s="10" t="n">
        <v>0</v>
      </c>
      <c r="T9" s="10">
        <f>IF(R9&gt;0,IFERROR(VALUE(LEFT($D9,1)),1),0)</f>
        <v/>
      </c>
      <c r="U9" s="10">
        <f>R9*T9</f>
        <v/>
      </c>
      <c r="V9" s="9">
        <f>Q9*U9</f>
        <v/>
      </c>
      <c r="W9" s="9" t="n">
        <v>0</v>
      </c>
      <c r="X9" s="10" t="n">
        <v>0</v>
      </c>
      <c r="Y9" s="10" t="n">
        <v>0</v>
      </c>
      <c r="Z9" s="10">
        <f>IF(X9&gt;0,IFERROR(VALUE(LEFT($D9,1)),1),0)</f>
        <v/>
      </c>
      <c r="AA9" s="10">
        <f>X9*Z9</f>
        <v/>
      </c>
      <c r="AB9" s="9">
        <f>W9*AA9</f>
        <v/>
      </c>
      <c r="AC9" s="9" t="n">
        <v>170</v>
      </c>
      <c r="AD9" s="10" t="n">
        <v>4</v>
      </c>
      <c r="AE9" s="10" t="n">
        <v>2</v>
      </c>
      <c r="AF9" s="10">
        <f>IF(AD9&gt;0,IFERROR(VALUE(LEFT($D9,1)),1),0)</f>
        <v/>
      </c>
      <c r="AG9" s="10">
        <f>AD9*AF9</f>
        <v/>
      </c>
      <c r="AH9" s="9">
        <f>AC9*AG9</f>
        <v/>
      </c>
      <c r="AI9" s="9" t="n">
        <v>0</v>
      </c>
      <c r="AJ9" s="10" t="n">
        <v>0</v>
      </c>
      <c r="AK9" s="10" t="n">
        <v>0</v>
      </c>
      <c r="AL9" s="10">
        <f>IF(AJ9&gt;0,IFERROR(VALUE(LEFT($D9,1)),1),0)</f>
        <v/>
      </c>
      <c r="AM9" s="10">
        <f>AJ9*AL9</f>
        <v/>
      </c>
      <c r="AN9" s="9">
        <f>AI9*AM9</f>
        <v/>
      </c>
    </row>
    <row r="10">
      <c r="A10" s="10" t="inlineStr">
        <is>
          <t>MR</t>
        </is>
      </c>
      <c r="B10" s="10" t="inlineStr">
        <is>
          <t>CHOLANGIOGRAFIA</t>
        </is>
      </c>
      <c r="C10" s="10" t="inlineStr">
        <is>
          <t>MR Inne - wtym prostata, miednica, jama brzuszna tkanki miekkie</t>
        </is>
      </c>
      <c r="D10" s="10" t="inlineStr">
        <is>
          <t>1 okolica anatomiczna</t>
        </is>
      </c>
      <c r="E10" s="9" t="n">
        <v>0</v>
      </c>
      <c r="F10" s="10" t="n">
        <v>0</v>
      </c>
      <c r="G10" s="10" t="n">
        <v>0</v>
      </c>
      <c r="H10" s="10">
        <f>IF(F10&gt;0,IFERROR(VALUE(LEFT($D10,1)),1),0)</f>
        <v/>
      </c>
      <c r="I10" s="10">
        <f>F10*H10</f>
        <v/>
      </c>
      <c r="J10" s="9">
        <f>E10*I10</f>
        <v/>
      </c>
      <c r="K10" s="9" t="n">
        <v>0</v>
      </c>
      <c r="L10" s="10" t="n">
        <v>0</v>
      </c>
      <c r="M10" s="10" t="n">
        <v>0</v>
      </c>
      <c r="N10" s="10">
        <f>IF(L10&gt;0,IFERROR(VALUE(LEFT($D10,1)),1),0)</f>
        <v/>
      </c>
      <c r="O10" s="10">
        <f>L10*N10</f>
        <v/>
      </c>
      <c r="P10" s="9">
        <f>K10*O10</f>
        <v/>
      </c>
      <c r="Q10" s="9" t="n">
        <v>0</v>
      </c>
      <c r="R10" s="10" t="n">
        <v>0</v>
      </c>
      <c r="S10" s="10" t="n">
        <v>0</v>
      </c>
      <c r="T10" s="10">
        <f>IF(R10&gt;0,IFERROR(VALUE(LEFT($D10,1)),1),0)</f>
        <v/>
      </c>
      <c r="U10" s="10">
        <f>R10*T10</f>
        <v/>
      </c>
      <c r="V10" s="9">
        <f>Q10*U10</f>
        <v/>
      </c>
      <c r="W10" s="9" t="n">
        <v>0</v>
      </c>
      <c r="X10" s="10" t="n">
        <v>0</v>
      </c>
      <c r="Y10" s="10" t="n">
        <v>0</v>
      </c>
      <c r="Z10" s="10">
        <f>IF(X10&gt;0,IFERROR(VALUE(LEFT($D10,1)),1),0)</f>
        <v/>
      </c>
      <c r="AA10" s="10">
        <f>X10*Z10</f>
        <v/>
      </c>
      <c r="AB10" s="9">
        <f>W10*AA10</f>
        <v/>
      </c>
      <c r="AC10" s="9" t="n">
        <v>0</v>
      </c>
      <c r="AD10" s="10" t="n">
        <v>0</v>
      </c>
      <c r="AE10" s="10" t="n">
        <v>0</v>
      </c>
      <c r="AF10" s="10">
        <f>IF(AD10&gt;0,IFERROR(VALUE(LEFT($D10,1)),1),0)</f>
        <v/>
      </c>
      <c r="AG10" s="10">
        <f>AD10*AF10</f>
        <v/>
      </c>
      <c r="AH10" s="9">
        <f>AC10*AG10</f>
        <v/>
      </c>
      <c r="AI10" s="9" t="n">
        <v>170</v>
      </c>
      <c r="AJ10" s="10" t="n">
        <v>1</v>
      </c>
      <c r="AK10" s="10" t="n">
        <v>1</v>
      </c>
      <c r="AL10" s="10">
        <f>IF(AJ10&gt;0,IFERROR(VALUE(LEFT($D10,1)),1),0)</f>
        <v/>
      </c>
      <c r="AM10" s="10">
        <f>AJ10*AL10</f>
        <v/>
      </c>
      <c r="AN10" s="9">
        <f>AI10*AM10</f>
        <v/>
      </c>
    </row>
    <row r="11">
      <c r="A11" s="10" t="inlineStr">
        <is>
          <t>MR</t>
        </is>
      </c>
      <c r="B11" s="10" t="inlineStr">
        <is>
          <t>K.MR MIEDNICY MNIEJSZEJ</t>
        </is>
      </c>
      <c r="C11" s="10" t="inlineStr">
        <is>
          <t>MR Inne - wtym prostata, miednica, jama brzuszna tkanki miekkie</t>
        </is>
      </c>
      <c r="D11" s="10" t="inlineStr">
        <is>
          <t>1 okolica anatomiczna</t>
        </is>
      </c>
      <c r="E11" s="9" t="n">
        <v>0</v>
      </c>
      <c r="F11" s="10" t="n">
        <v>0</v>
      </c>
      <c r="G11" s="10" t="n">
        <v>0</v>
      </c>
      <c r="H11" s="10">
        <f>IF(F11&gt;0,IFERROR(VALUE(LEFT($D11,1)),1),0)</f>
        <v/>
      </c>
      <c r="I11" s="10">
        <f>F11*H11</f>
        <v/>
      </c>
      <c r="J11" s="9">
        <f>E11*I11</f>
        <v/>
      </c>
      <c r="K11" s="9" t="n">
        <v>0</v>
      </c>
      <c r="L11" s="10" t="n">
        <v>0</v>
      </c>
      <c r="M11" s="10" t="n">
        <v>0</v>
      </c>
      <c r="N11" s="10">
        <f>IF(L11&gt;0,IFERROR(VALUE(LEFT($D11,1)),1),0)</f>
        <v/>
      </c>
      <c r="O11" s="10">
        <f>L11*N11</f>
        <v/>
      </c>
      <c r="P11" s="9">
        <f>K11*O11</f>
        <v/>
      </c>
      <c r="Q11" s="9" t="n">
        <v>0</v>
      </c>
      <c r="R11" s="10" t="n">
        <v>0</v>
      </c>
      <c r="S11" s="10" t="n">
        <v>0</v>
      </c>
      <c r="T11" s="10">
        <f>IF(R11&gt;0,IFERROR(VALUE(LEFT($D11,1)),1),0)</f>
        <v/>
      </c>
      <c r="U11" s="10">
        <f>R11*T11</f>
        <v/>
      </c>
      <c r="V11" s="9">
        <f>Q11*U11</f>
        <v/>
      </c>
      <c r="W11" s="9" t="n">
        <v>0</v>
      </c>
      <c r="X11" s="10" t="n">
        <v>0</v>
      </c>
      <c r="Y11" s="10" t="n">
        <v>0</v>
      </c>
      <c r="Z11" s="10">
        <f>IF(X11&gt;0,IFERROR(VALUE(LEFT($D11,1)),1),0)</f>
        <v/>
      </c>
      <c r="AA11" s="10">
        <f>X11*Z11</f>
        <v/>
      </c>
      <c r="AB11" s="9">
        <f>W11*AA11</f>
        <v/>
      </c>
      <c r="AC11" s="9" t="n">
        <v>0</v>
      </c>
      <c r="AD11" s="10" t="n">
        <v>0</v>
      </c>
      <c r="AE11" s="10" t="n">
        <v>0</v>
      </c>
      <c r="AF11" s="10">
        <f>IF(AD11&gt;0,IFERROR(VALUE(LEFT($D11,1)),1),0)</f>
        <v/>
      </c>
      <c r="AG11" s="10">
        <f>AD11*AF11</f>
        <v/>
      </c>
      <c r="AH11" s="9">
        <f>AC11*AG11</f>
        <v/>
      </c>
      <c r="AI11" s="9" t="n">
        <v>170</v>
      </c>
      <c r="AJ11" s="10" t="n">
        <v>1</v>
      </c>
      <c r="AK11" s="10" t="n">
        <v>0</v>
      </c>
      <c r="AL11" s="10">
        <f>IF(AJ11&gt;0,IFERROR(VALUE(LEFT($D11,1)),1),0)</f>
        <v/>
      </c>
      <c r="AM11" s="10">
        <f>AJ11*AL11</f>
        <v/>
      </c>
      <c r="AN11" s="9">
        <f>AI11*AM11</f>
        <v/>
      </c>
    </row>
    <row r="12">
      <c r="A12" s="10" t="inlineStr">
        <is>
          <t>MR</t>
        </is>
      </c>
      <c r="B12" s="10" t="inlineStr">
        <is>
          <t>MR dynam - jamy brzusznej z kontrastem</t>
        </is>
      </c>
      <c r="C12" s="10" t="inlineStr">
        <is>
          <t>MR Inne - wtym prostata, miednica, jama brzuszna tkanki miekkie</t>
        </is>
      </c>
      <c r="D12" s="10" t="inlineStr">
        <is>
          <t>1 okolica anatomiczna</t>
        </is>
      </c>
      <c r="E12" s="9" t="n">
        <v>0</v>
      </c>
      <c r="F12" s="10" t="n">
        <v>0</v>
      </c>
      <c r="G12" s="10" t="n">
        <v>0</v>
      </c>
      <c r="H12" s="10">
        <f>IF(F12&gt;0,IFERROR(VALUE(LEFT($D12,1)),1),0)</f>
        <v/>
      </c>
      <c r="I12" s="10">
        <f>F12*H12</f>
        <v/>
      </c>
      <c r="J12" s="9">
        <f>E12*I12</f>
        <v/>
      </c>
      <c r="K12" s="9" t="n">
        <v>0</v>
      </c>
      <c r="L12" s="10" t="n">
        <v>0</v>
      </c>
      <c r="M12" s="10" t="n">
        <v>0</v>
      </c>
      <c r="N12" s="10">
        <f>IF(L12&gt;0,IFERROR(VALUE(LEFT($D12,1)),1),0)</f>
        <v/>
      </c>
      <c r="O12" s="10">
        <f>L12*N12</f>
        <v/>
      </c>
      <c r="P12" s="9">
        <f>K12*O12</f>
        <v/>
      </c>
      <c r="Q12" s="9" t="n">
        <v>0</v>
      </c>
      <c r="R12" s="10" t="n">
        <v>0</v>
      </c>
      <c r="S12" s="10" t="n">
        <v>0</v>
      </c>
      <c r="T12" s="10">
        <f>IF(R12&gt;0,IFERROR(VALUE(LEFT($D12,1)),1),0)</f>
        <v/>
      </c>
      <c r="U12" s="10">
        <f>R12*T12</f>
        <v/>
      </c>
      <c r="V12" s="9">
        <f>Q12*U12</f>
        <v/>
      </c>
      <c r="W12" s="9" t="n">
        <v>0</v>
      </c>
      <c r="X12" s="10" t="n">
        <v>0</v>
      </c>
      <c r="Y12" s="10" t="n">
        <v>0</v>
      </c>
      <c r="Z12" s="10">
        <f>IF(X12&gt;0,IFERROR(VALUE(LEFT($D12,1)),1),0)</f>
        <v/>
      </c>
      <c r="AA12" s="10">
        <f>X12*Z12</f>
        <v/>
      </c>
      <c r="AB12" s="9">
        <f>W12*AA12</f>
        <v/>
      </c>
      <c r="AC12" s="9" t="n">
        <v>0</v>
      </c>
      <c r="AD12" s="10" t="n">
        <v>0</v>
      </c>
      <c r="AE12" s="10" t="n">
        <v>0</v>
      </c>
      <c r="AF12" s="10">
        <f>IF(AD12&gt;0,IFERROR(VALUE(LEFT($D12,1)),1),0)</f>
        <v/>
      </c>
      <c r="AG12" s="10">
        <f>AD12*AF12</f>
        <v/>
      </c>
      <c r="AH12" s="9">
        <f>AC12*AG12</f>
        <v/>
      </c>
      <c r="AI12" s="9" t="n">
        <v>170</v>
      </c>
      <c r="AJ12" s="10" t="n">
        <v>2</v>
      </c>
      <c r="AK12" s="10" t="n">
        <v>0</v>
      </c>
      <c r="AL12" s="10">
        <f>IF(AJ12&gt;0,IFERROR(VALUE(LEFT($D12,1)),1),0)</f>
        <v/>
      </c>
      <c r="AM12" s="10">
        <f>AJ12*AL12</f>
        <v/>
      </c>
      <c r="AN12" s="9">
        <f>AI12*AM12</f>
        <v/>
      </c>
    </row>
    <row r="13">
      <c r="A13" s="10" t="inlineStr">
        <is>
          <t>MR</t>
        </is>
      </c>
      <c r="B13" s="10" t="inlineStr">
        <is>
          <t>MR miednicy małej - z kontrastem</t>
        </is>
      </c>
      <c r="C13" s="10" t="inlineStr">
        <is>
          <t>MR Inne - wtym prostata, miednica, jama brzuszna tkanki miekkie</t>
        </is>
      </c>
      <c r="D13" s="10" t="inlineStr">
        <is>
          <t>1 okolica anatomiczna</t>
        </is>
      </c>
      <c r="E13" s="9" t="n">
        <v>0</v>
      </c>
      <c r="F13" s="10" t="n">
        <v>0</v>
      </c>
      <c r="G13" s="10" t="n">
        <v>0</v>
      </c>
      <c r="H13" s="10">
        <f>IF(F13&gt;0,IFERROR(VALUE(LEFT($D13,1)),1),0)</f>
        <v/>
      </c>
      <c r="I13" s="10">
        <f>F13*H13</f>
        <v/>
      </c>
      <c r="J13" s="9">
        <f>E13*I13</f>
        <v/>
      </c>
      <c r="K13" s="9" t="n">
        <v>0</v>
      </c>
      <c r="L13" s="10" t="n">
        <v>0</v>
      </c>
      <c r="M13" s="10" t="n">
        <v>0</v>
      </c>
      <c r="N13" s="10">
        <f>IF(L13&gt;0,IFERROR(VALUE(LEFT($D13,1)),1),0)</f>
        <v/>
      </c>
      <c r="O13" s="10">
        <f>L13*N13</f>
        <v/>
      </c>
      <c r="P13" s="9">
        <f>K13*O13</f>
        <v/>
      </c>
      <c r="Q13" s="9" t="n">
        <v>0</v>
      </c>
      <c r="R13" s="10" t="n">
        <v>0</v>
      </c>
      <c r="S13" s="10" t="n">
        <v>0</v>
      </c>
      <c r="T13" s="10">
        <f>IF(R13&gt;0,IFERROR(VALUE(LEFT($D13,1)),1),0)</f>
        <v/>
      </c>
      <c r="U13" s="10">
        <f>R13*T13</f>
        <v/>
      </c>
      <c r="V13" s="9">
        <f>Q13*U13</f>
        <v/>
      </c>
      <c r="W13" s="9" t="n">
        <v>0</v>
      </c>
      <c r="X13" s="10" t="n">
        <v>0</v>
      </c>
      <c r="Y13" s="10" t="n">
        <v>0</v>
      </c>
      <c r="Z13" s="10">
        <f>IF(X13&gt;0,IFERROR(VALUE(LEFT($D13,1)),1),0)</f>
        <v/>
      </c>
      <c r="AA13" s="10">
        <f>X13*Z13</f>
        <v/>
      </c>
      <c r="AB13" s="9">
        <f>W13*AA13</f>
        <v/>
      </c>
      <c r="AC13" s="9" t="n">
        <v>0</v>
      </c>
      <c r="AD13" s="10" t="n">
        <v>0</v>
      </c>
      <c r="AE13" s="10" t="n">
        <v>0</v>
      </c>
      <c r="AF13" s="10">
        <f>IF(AD13&gt;0,IFERROR(VALUE(LEFT($D13,1)),1),0)</f>
        <v/>
      </c>
      <c r="AG13" s="10">
        <f>AD13*AF13</f>
        <v/>
      </c>
      <c r="AH13" s="9">
        <f>AC13*AG13</f>
        <v/>
      </c>
      <c r="AI13" s="9" t="n">
        <v>170</v>
      </c>
      <c r="AJ13" s="10" t="n">
        <v>1</v>
      </c>
      <c r="AK13" s="10" t="n">
        <v>0</v>
      </c>
      <c r="AL13" s="10">
        <f>IF(AJ13&gt;0,IFERROR(VALUE(LEFT($D13,1)),1),0)</f>
        <v/>
      </c>
      <c r="AM13" s="10">
        <f>AJ13*AL13</f>
        <v/>
      </c>
      <c r="AN13" s="9">
        <f>AI13*AM13</f>
        <v/>
      </c>
    </row>
    <row r="14">
      <c r="A14" s="10" t="inlineStr">
        <is>
          <t>MR</t>
        </is>
      </c>
      <c r="B14" s="10" t="inlineStr">
        <is>
          <t>MR miednicy z kontrastem</t>
        </is>
      </c>
      <c r="C14" s="10" t="inlineStr">
        <is>
          <t>MR Inne - wtym prostata, miednica, jama brzuszna tkanki miekkie</t>
        </is>
      </c>
      <c r="D14" s="10" t="inlineStr">
        <is>
          <t>1 okolica anatomiczna</t>
        </is>
      </c>
      <c r="E14" s="9" t="n">
        <v>0</v>
      </c>
      <c r="F14" s="10" t="n">
        <v>0</v>
      </c>
      <c r="G14" s="10" t="n">
        <v>0</v>
      </c>
      <c r="H14" s="10">
        <f>IF(F14&gt;0,IFERROR(VALUE(LEFT($D14,1)),1),0)</f>
        <v/>
      </c>
      <c r="I14" s="10">
        <f>F14*H14</f>
        <v/>
      </c>
      <c r="J14" s="9">
        <f>E14*I14</f>
        <v/>
      </c>
      <c r="K14" s="9" t="n">
        <v>0</v>
      </c>
      <c r="L14" s="10" t="n">
        <v>0</v>
      </c>
      <c r="M14" s="10" t="n">
        <v>0</v>
      </c>
      <c r="N14" s="10">
        <f>IF(L14&gt;0,IFERROR(VALUE(LEFT($D14,1)),1),0)</f>
        <v/>
      </c>
      <c r="O14" s="10">
        <f>L14*N14</f>
        <v/>
      </c>
      <c r="P14" s="9">
        <f>K14*O14</f>
        <v/>
      </c>
      <c r="Q14" s="9" t="n">
        <v>0</v>
      </c>
      <c r="R14" s="10" t="n">
        <v>0</v>
      </c>
      <c r="S14" s="10" t="n">
        <v>0</v>
      </c>
      <c r="T14" s="10">
        <f>IF(R14&gt;0,IFERROR(VALUE(LEFT($D14,1)),1),0)</f>
        <v/>
      </c>
      <c r="U14" s="10">
        <f>R14*T14</f>
        <v/>
      </c>
      <c r="V14" s="9">
        <f>Q14*U14</f>
        <v/>
      </c>
      <c r="W14" s="9" t="n">
        <v>0</v>
      </c>
      <c r="X14" s="10" t="n">
        <v>0</v>
      </c>
      <c r="Y14" s="10" t="n">
        <v>0</v>
      </c>
      <c r="Z14" s="10">
        <f>IF(X14&gt;0,IFERROR(VALUE(LEFT($D14,1)),1),0)</f>
        <v/>
      </c>
      <c r="AA14" s="10">
        <f>X14*Z14</f>
        <v/>
      </c>
      <c r="AB14" s="9">
        <f>W14*AA14</f>
        <v/>
      </c>
      <c r="AC14" s="9" t="n">
        <v>0</v>
      </c>
      <c r="AD14" s="10" t="n">
        <v>0</v>
      </c>
      <c r="AE14" s="10" t="n">
        <v>0</v>
      </c>
      <c r="AF14" s="10">
        <f>IF(AD14&gt;0,IFERROR(VALUE(LEFT($D14,1)),1),0)</f>
        <v/>
      </c>
      <c r="AG14" s="10">
        <f>AD14*AF14</f>
        <v/>
      </c>
      <c r="AH14" s="9">
        <f>AC14*AG14</f>
        <v/>
      </c>
      <c r="AI14" s="9" t="n">
        <v>170</v>
      </c>
      <c r="AJ14" s="10" t="n">
        <v>1</v>
      </c>
      <c r="AK14" s="10" t="n">
        <v>0</v>
      </c>
      <c r="AL14" s="10">
        <f>IF(AJ14&gt;0,IFERROR(VALUE(LEFT($D14,1)),1),0)</f>
        <v/>
      </c>
      <c r="AM14" s="10">
        <f>AJ14*AL14</f>
        <v/>
      </c>
      <c r="AN14" s="9">
        <f>AI14*AM14</f>
        <v/>
      </c>
    </row>
    <row r="15">
      <c r="A15" s="10" t="inlineStr">
        <is>
          <t>MR</t>
        </is>
      </c>
      <c r="B15" s="10" t="inlineStr">
        <is>
          <t>NFZ.MR MIEDNICY MNIEJSZEJ - WIELOFAZOWE</t>
        </is>
      </c>
      <c r="C15" s="10" t="inlineStr">
        <is>
          <t>MR Inne - wtym prostata, miednica, jama brzuszna tkanki miekkie</t>
        </is>
      </c>
      <c r="D15" s="10" t="inlineStr">
        <is>
          <t>1 okolica anatomiczna</t>
        </is>
      </c>
      <c r="E15" s="9" t="n">
        <v>0</v>
      </c>
      <c r="F15" s="10" t="n">
        <v>0</v>
      </c>
      <c r="G15" s="10" t="n">
        <v>0</v>
      </c>
      <c r="H15" s="10">
        <f>IF(F15&gt;0,IFERROR(VALUE(LEFT($D15,1)),1),0)</f>
        <v/>
      </c>
      <c r="I15" s="10">
        <f>F15*H15</f>
        <v/>
      </c>
      <c r="J15" s="9">
        <f>E15*I15</f>
        <v/>
      </c>
      <c r="K15" s="9" t="n">
        <v>0</v>
      </c>
      <c r="L15" s="10" t="n">
        <v>0</v>
      </c>
      <c r="M15" s="10" t="n">
        <v>0</v>
      </c>
      <c r="N15" s="10">
        <f>IF(L15&gt;0,IFERROR(VALUE(LEFT($D15,1)),1),0)</f>
        <v/>
      </c>
      <c r="O15" s="10">
        <f>L15*N15</f>
        <v/>
      </c>
      <c r="P15" s="9">
        <f>K15*O15</f>
        <v/>
      </c>
      <c r="Q15" s="9" t="n">
        <v>0</v>
      </c>
      <c r="R15" s="10" t="n">
        <v>0</v>
      </c>
      <c r="S15" s="10" t="n">
        <v>0</v>
      </c>
      <c r="T15" s="10">
        <f>IF(R15&gt;0,IFERROR(VALUE(LEFT($D15,1)),1),0)</f>
        <v/>
      </c>
      <c r="U15" s="10">
        <f>R15*T15</f>
        <v/>
      </c>
      <c r="V15" s="9">
        <f>Q15*U15</f>
        <v/>
      </c>
      <c r="W15" s="9" t="n">
        <v>0</v>
      </c>
      <c r="X15" s="10" t="n">
        <v>0</v>
      </c>
      <c r="Y15" s="10" t="n">
        <v>0</v>
      </c>
      <c r="Z15" s="10">
        <f>IF(X15&gt;0,IFERROR(VALUE(LEFT($D15,1)),1),0)</f>
        <v/>
      </c>
      <c r="AA15" s="10">
        <f>X15*Z15</f>
        <v/>
      </c>
      <c r="AB15" s="9">
        <f>W15*AA15</f>
        <v/>
      </c>
      <c r="AC15" s="9" t="n">
        <v>0</v>
      </c>
      <c r="AD15" s="10" t="n">
        <v>0</v>
      </c>
      <c r="AE15" s="10" t="n">
        <v>0</v>
      </c>
      <c r="AF15" s="10">
        <f>IF(AD15&gt;0,IFERROR(VALUE(LEFT($D15,1)),1),0)</f>
        <v/>
      </c>
      <c r="AG15" s="10">
        <f>AD15*AF15</f>
        <v/>
      </c>
      <c r="AH15" s="9">
        <f>AC15*AG15</f>
        <v/>
      </c>
      <c r="AI15" s="9" t="n">
        <v>170</v>
      </c>
      <c r="AJ15" s="10" t="n">
        <v>1</v>
      </c>
      <c r="AK15" s="10" t="n">
        <v>0</v>
      </c>
      <c r="AL15" s="10">
        <f>IF(AJ15&gt;0,IFERROR(VALUE(LEFT($D15,1)),1),0)</f>
        <v/>
      </c>
      <c r="AM15" s="10">
        <f>AJ15*AL15</f>
        <v/>
      </c>
      <c r="AN15" s="9">
        <f>AI15*AM15</f>
        <v/>
      </c>
    </row>
    <row r="16">
      <c r="A16" s="10" t="inlineStr">
        <is>
          <t>MR</t>
        </is>
      </c>
      <c r="B16" s="10" t="inlineStr">
        <is>
          <t>NFZ.MRCP</t>
        </is>
      </c>
      <c r="C16" s="10" t="inlineStr">
        <is>
          <t>MR Inne - wtym prostata, miednica, jama brzuszna tkanki miekkie</t>
        </is>
      </c>
      <c r="D16" s="10" t="inlineStr">
        <is>
          <t>1 okolica anatomiczna</t>
        </is>
      </c>
      <c r="E16" s="9" t="n">
        <v>0</v>
      </c>
      <c r="F16" s="10" t="n">
        <v>0</v>
      </c>
      <c r="G16" s="10" t="n">
        <v>0</v>
      </c>
      <c r="H16" s="10">
        <f>IF(F16&gt;0,IFERROR(VALUE(LEFT($D16,1)),1),0)</f>
        <v/>
      </c>
      <c r="I16" s="10">
        <f>F16*H16</f>
        <v/>
      </c>
      <c r="J16" s="9">
        <f>E16*I16</f>
        <v/>
      </c>
      <c r="K16" s="9" t="n">
        <v>0</v>
      </c>
      <c r="L16" s="10" t="n">
        <v>0</v>
      </c>
      <c r="M16" s="10" t="n">
        <v>0</v>
      </c>
      <c r="N16" s="10">
        <f>IF(L16&gt;0,IFERROR(VALUE(LEFT($D16,1)),1),0)</f>
        <v/>
      </c>
      <c r="O16" s="10">
        <f>L16*N16</f>
        <v/>
      </c>
      <c r="P16" s="9">
        <f>K16*O16</f>
        <v/>
      </c>
      <c r="Q16" s="9" t="n">
        <v>0</v>
      </c>
      <c r="R16" s="10" t="n">
        <v>0</v>
      </c>
      <c r="S16" s="10" t="n">
        <v>0</v>
      </c>
      <c r="T16" s="10">
        <f>IF(R16&gt;0,IFERROR(VALUE(LEFT($D16,1)),1),0)</f>
        <v/>
      </c>
      <c r="U16" s="10">
        <f>R16*T16</f>
        <v/>
      </c>
      <c r="V16" s="9">
        <f>Q16*U16</f>
        <v/>
      </c>
      <c r="W16" s="9" t="n">
        <v>0</v>
      </c>
      <c r="X16" s="10" t="n">
        <v>0</v>
      </c>
      <c r="Y16" s="10" t="n">
        <v>0</v>
      </c>
      <c r="Z16" s="10">
        <f>IF(X16&gt;0,IFERROR(VALUE(LEFT($D16,1)),1),0)</f>
        <v/>
      </c>
      <c r="AA16" s="10">
        <f>X16*Z16</f>
        <v/>
      </c>
      <c r="AB16" s="9">
        <f>W16*AA16</f>
        <v/>
      </c>
      <c r="AC16" s="9" t="n">
        <v>0</v>
      </c>
      <c r="AD16" s="10" t="n">
        <v>0</v>
      </c>
      <c r="AE16" s="10" t="n">
        <v>0</v>
      </c>
      <c r="AF16" s="10">
        <f>IF(AD16&gt;0,IFERROR(VALUE(LEFT($D16,1)),1),0)</f>
        <v/>
      </c>
      <c r="AG16" s="10">
        <f>AD16*AF16</f>
        <v/>
      </c>
      <c r="AH16" s="9">
        <f>AC16*AG16</f>
        <v/>
      </c>
      <c r="AI16" s="9" t="n">
        <v>170</v>
      </c>
      <c r="AJ16" s="10" t="n">
        <v>1</v>
      </c>
      <c r="AK16" s="10" t="n">
        <v>1</v>
      </c>
      <c r="AL16" s="10">
        <f>IF(AJ16&gt;0,IFERROR(VALUE(LEFT($D16,1)),1),0)</f>
        <v/>
      </c>
      <c r="AM16" s="10">
        <f>AJ16*AL16</f>
        <v/>
      </c>
      <c r="AN16" s="9">
        <f>AI16*AM16</f>
        <v/>
      </c>
    </row>
    <row r="17">
      <c r="A17" s="10" t="inlineStr">
        <is>
          <t>MR</t>
        </is>
      </c>
      <c r="B17" s="10" t="inlineStr">
        <is>
          <t>RM  miednicy bez i ze wzmocnieniem kontrastowym</t>
        </is>
      </c>
      <c r="C17" s="10" t="inlineStr">
        <is>
          <t>MR Inne - wtym prostata, miednica, jama brzuszna tkanki miekkie</t>
        </is>
      </c>
      <c r="D17" s="10" t="inlineStr">
        <is>
          <t>1 okolica anatomiczna</t>
        </is>
      </c>
      <c r="E17" s="9" t="n">
        <v>0</v>
      </c>
      <c r="F17" s="10" t="n">
        <v>0</v>
      </c>
      <c r="G17" s="10" t="n">
        <v>0</v>
      </c>
      <c r="H17" s="10">
        <f>IF(F17&gt;0,IFERROR(VALUE(LEFT($D17,1)),1),0)</f>
        <v/>
      </c>
      <c r="I17" s="10">
        <f>F17*H17</f>
        <v/>
      </c>
      <c r="J17" s="9">
        <f>E17*I17</f>
        <v/>
      </c>
      <c r="K17" s="9" t="n">
        <v>0</v>
      </c>
      <c r="L17" s="10" t="n">
        <v>0</v>
      </c>
      <c r="M17" s="10" t="n">
        <v>0</v>
      </c>
      <c r="N17" s="10">
        <f>IF(L17&gt;0,IFERROR(VALUE(LEFT($D17,1)),1),0)</f>
        <v/>
      </c>
      <c r="O17" s="10">
        <f>L17*N17</f>
        <v/>
      </c>
      <c r="P17" s="9">
        <f>K17*O17</f>
        <v/>
      </c>
      <c r="Q17" s="9" t="n">
        <v>0</v>
      </c>
      <c r="R17" s="10" t="n">
        <v>0</v>
      </c>
      <c r="S17" s="10" t="n">
        <v>0</v>
      </c>
      <c r="T17" s="10">
        <f>IF(R17&gt;0,IFERROR(VALUE(LEFT($D17,1)),1),0)</f>
        <v/>
      </c>
      <c r="U17" s="10">
        <f>R17*T17</f>
        <v/>
      </c>
      <c r="V17" s="9">
        <f>Q17*U17</f>
        <v/>
      </c>
      <c r="W17" s="9" t="n">
        <v>0</v>
      </c>
      <c r="X17" s="10" t="n">
        <v>0</v>
      </c>
      <c r="Y17" s="10" t="n">
        <v>0</v>
      </c>
      <c r="Z17" s="10">
        <f>IF(X17&gt;0,IFERROR(VALUE(LEFT($D17,1)),1),0)</f>
        <v/>
      </c>
      <c r="AA17" s="10">
        <f>X17*Z17</f>
        <v/>
      </c>
      <c r="AB17" s="9">
        <f>W17*AA17</f>
        <v/>
      </c>
      <c r="AC17" s="9" t="n">
        <v>0</v>
      </c>
      <c r="AD17" s="10" t="n">
        <v>0</v>
      </c>
      <c r="AE17" s="10" t="n">
        <v>0</v>
      </c>
      <c r="AF17" s="10">
        <f>IF(AD17&gt;0,IFERROR(VALUE(LEFT($D17,1)),1),0)</f>
        <v/>
      </c>
      <c r="AG17" s="10">
        <f>AD17*AF17</f>
        <v/>
      </c>
      <c r="AH17" s="9">
        <f>AC17*AG17</f>
        <v/>
      </c>
      <c r="AI17" s="9" t="n">
        <v>170</v>
      </c>
      <c r="AJ17" s="10" t="n">
        <v>1</v>
      </c>
      <c r="AK17" s="10" t="n">
        <v>0</v>
      </c>
      <c r="AL17" s="10">
        <f>IF(AJ17&gt;0,IFERROR(VALUE(LEFT($D17,1)),1),0)</f>
        <v/>
      </c>
      <c r="AM17" s="10">
        <f>AJ17*AL17</f>
        <v/>
      </c>
      <c r="AN17" s="9">
        <f>AI17*AM17</f>
        <v/>
      </c>
    </row>
    <row r="18">
      <c r="A18" s="10" t="inlineStr">
        <is>
          <t>MR</t>
        </is>
      </c>
      <c r="B18" s="10" t="inlineStr">
        <is>
          <t>RM MRCP</t>
        </is>
      </c>
      <c r="C18" s="10" t="inlineStr">
        <is>
          <t>MR Inne - wtym prostata, miednica, jama brzuszna tkanki miekkie</t>
        </is>
      </c>
      <c r="D18" s="10" t="inlineStr">
        <is>
          <t>1 okolica anatomiczna</t>
        </is>
      </c>
      <c r="E18" s="9" t="n">
        <v>0</v>
      </c>
      <c r="F18" s="10" t="n">
        <v>0</v>
      </c>
      <c r="G18" s="10" t="n">
        <v>0</v>
      </c>
      <c r="H18" s="10">
        <f>IF(F18&gt;0,IFERROR(VALUE(LEFT($D18,1)),1),0)</f>
        <v/>
      </c>
      <c r="I18" s="10">
        <f>F18*H18</f>
        <v/>
      </c>
      <c r="J18" s="9">
        <f>E18*I18</f>
        <v/>
      </c>
      <c r="K18" s="9" t="n">
        <v>0</v>
      </c>
      <c r="L18" s="10" t="n">
        <v>0</v>
      </c>
      <c r="M18" s="10" t="n">
        <v>0</v>
      </c>
      <c r="N18" s="10">
        <f>IF(L18&gt;0,IFERROR(VALUE(LEFT($D18,1)),1),0)</f>
        <v/>
      </c>
      <c r="O18" s="10">
        <f>L18*N18</f>
        <v/>
      </c>
      <c r="P18" s="9">
        <f>K18*O18</f>
        <v/>
      </c>
      <c r="Q18" s="9" t="n">
        <v>0</v>
      </c>
      <c r="R18" s="10" t="n">
        <v>0</v>
      </c>
      <c r="S18" s="10" t="n">
        <v>0</v>
      </c>
      <c r="T18" s="10">
        <f>IF(R18&gt;0,IFERROR(VALUE(LEFT($D18,1)),1),0)</f>
        <v/>
      </c>
      <c r="U18" s="10">
        <f>R18*T18</f>
        <v/>
      </c>
      <c r="V18" s="9">
        <f>Q18*U18</f>
        <v/>
      </c>
      <c r="W18" s="9" t="n">
        <v>0</v>
      </c>
      <c r="X18" s="10" t="n">
        <v>0</v>
      </c>
      <c r="Y18" s="10" t="n">
        <v>0</v>
      </c>
      <c r="Z18" s="10">
        <f>IF(X18&gt;0,IFERROR(VALUE(LEFT($D18,1)),1),0)</f>
        <v/>
      </c>
      <c r="AA18" s="10">
        <f>X18*Z18</f>
        <v/>
      </c>
      <c r="AB18" s="9">
        <f>W18*AA18</f>
        <v/>
      </c>
      <c r="AC18" s="9" t="n">
        <v>0</v>
      </c>
      <c r="AD18" s="10" t="n">
        <v>0</v>
      </c>
      <c r="AE18" s="10" t="n">
        <v>0</v>
      </c>
      <c r="AF18" s="10">
        <f>IF(AD18&gt;0,IFERROR(VALUE(LEFT($D18,1)),1),0)</f>
        <v/>
      </c>
      <c r="AG18" s="10">
        <f>AD18*AF18</f>
        <v/>
      </c>
      <c r="AH18" s="9">
        <f>AC18*AG18</f>
        <v/>
      </c>
      <c r="AI18" s="9" t="n">
        <v>170</v>
      </c>
      <c r="AJ18" s="10" t="n">
        <v>1</v>
      </c>
      <c r="AK18" s="10" t="n">
        <v>0</v>
      </c>
      <c r="AL18" s="10">
        <f>IF(AJ18&gt;0,IFERROR(VALUE(LEFT($D18,1)),1),0)</f>
        <v/>
      </c>
      <c r="AM18" s="10">
        <f>AJ18*AL18</f>
        <v/>
      </c>
      <c r="AN18" s="9">
        <f>AI18*AM18</f>
        <v/>
      </c>
    </row>
    <row r="19">
      <c r="A19" s="10" t="inlineStr">
        <is>
          <t>MR</t>
        </is>
      </c>
      <c r="B19" s="10" t="inlineStr">
        <is>
          <t>RM jamy brzusznej lub miednicy małej bez i z kontrastem</t>
        </is>
      </c>
      <c r="C19" s="10" t="inlineStr">
        <is>
          <t>MR Inne - wtym prostata, miednica, jama brzuszna tkanki miekkie</t>
        </is>
      </c>
      <c r="D19" s="10" t="inlineStr">
        <is>
          <t>1 okolica anatomiczna</t>
        </is>
      </c>
      <c r="E19" s="9" t="n">
        <v>0</v>
      </c>
      <c r="F19" s="10" t="n">
        <v>0</v>
      </c>
      <c r="G19" s="10" t="n">
        <v>0</v>
      </c>
      <c r="H19" s="10">
        <f>IF(F19&gt;0,IFERROR(VALUE(LEFT($D19,1)),1),0)</f>
        <v/>
      </c>
      <c r="I19" s="10">
        <f>F19*H19</f>
        <v/>
      </c>
      <c r="J19" s="9">
        <f>E19*I19</f>
        <v/>
      </c>
      <c r="K19" s="9" t="n">
        <v>0</v>
      </c>
      <c r="L19" s="10" t="n">
        <v>0</v>
      </c>
      <c r="M19" s="10" t="n">
        <v>0</v>
      </c>
      <c r="N19" s="10">
        <f>IF(L19&gt;0,IFERROR(VALUE(LEFT($D19,1)),1),0)</f>
        <v/>
      </c>
      <c r="O19" s="10">
        <f>L19*N19</f>
        <v/>
      </c>
      <c r="P19" s="9">
        <f>K19*O19</f>
        <v/>
      </c>
      <c r="Q19" s="9" t="n">
        <v>0</v>
      </c>
      <c r="R19" s="10" t="n">
        <v>0</v>
      </c>
      <c r="S19" s="10" t="n">
        <v>0</v>
      </c>
      <c r="T19" s="10">
        <f>IF(R19&gt;0,IFERROR(VALUE(LEFT($D19,1)),1),0)</f>
        <v/>
      </c>
      <c r="U19" s="10">
        <f>R19*T19</f>
        <v/>
      </c>
      <c r="V19" s="9">
        <f>Q19*U19</f>
        <v/>
      </c>
      <c r="W19" s="9" t="n">
        <v>0</v>
      </c>
      <c r="X19" s="10" t="n">
        <v>0</v>
      </c>
      <c r="Y19" s="10" t="n">
        <v>0</v>
      </c>
      <c r="Z19" s="10">
        <f>IF(X19&gt;0,IFERROR(VALUE(LEFT($D19,1)),1),0)</f>
        <v/>
      </c>
      <c r="AA19" s="10">
        <f>X19*Z19</f>
        <v/>
      </c>
      <c r="AB19" s="9">
        <f>W19*AA19</f>
        <v/>
      </c>
      <c r="AC19" s="9" t="n">
        <v>0</v>
      </c>
      <c r="AD19" s="10" t="n">
        <v>0</v>
      </c>
      <c r="AE19" s="10" t="n">
        <v>0</v>
      </c>
      <c r="AF19" s="10">
        <f>IF(AD19&gt;0,IFERROR(VALUE(LEFT($D19,1)),1),0)</f>
        <v/>
      </c>
      <c r="AG19" s="10">
        <f>AD19*AF19</f>
        <v/>
      </c>
      <c r="AH19" s="9">
        <f>AC19*AG19</f>
        <v/>
      </c>
      <c r="AI19" s="9" t="n">
        <v>170</v>
      </c>
      <c r="AJ19" s="10" t="n">
        <v>1</v>
      </c>
      <c r="AK19" s="10" t="n">
        <v>0</v>
      </c>
      <c r="AL19" s="10">
        <f>IF(AJ19&gt;0,IFERROR(VALUE(LEFT($D19,1)),1),0)</f>
        <v/>
      </c>
      <c r="AM19" s="10">
        <f>AJ19*AL19</f>
        <v/>
      </c>
      <c r="AN19" s="9">
        <f>AI19*AM19</f>
        <v/>
      </c>
    </row>
    <row r="20">
      <c r="A20" s="10" t="inlineStr">
        <is>
          <t>MR</t>
        </is>
      </c>
      <c r="B20" s="10" t="inlineStr">
        <is>
          <t>RM miednicy, pęcherza, prostaty</t>
        </is>
      </c>
      <c r="C20" s="10" t="inlineStr">
        <is>
          <t>MR Inne - wtym prostata, miednica, jama brzuszna tkanki miekkie</t>
        </is>
      </c>
      <c r="D20" s="10" t="inlineStr">
        <is>
          <t>3 okolice anatomiczne</t>
        </is>
      </c>
      <c r="E20" s="9" t="n">
        <v>0</v>
      </c>
      <c r="F20" s="10" t="n">
        <v>0</v>
      </c>
      <c r="G20" s="10" t="n">
        <v>0</v>
      </c>
      <c r="H20" s="10">
        <f>IF(F20&gt;0,IFERROR(VALUE(LEFT($D20,1)),1),0)</f>
        <v/>
      </c>
      <c r="I20" s="10">
        <f>F20*H20</f>
        <v/>
      </c>
      <c r="J20" s="9">
        <f>E20*I20</f>
        <v/>
      </c>
      <c r="K20" s="9" t="n">
        <v>0</v>
      </c>
      <c r="L20" s="10" t="n">
        <v>0</v>
      </c>
      <c r="M20" s="10" t="n">
        <v>0</v>
      </c>
      <c r="N20" s="10">
        <f>IF(L20&gt;0,IFERROR(VALUE(LEFT($D20,1)),1),0)</f>
        <v/>
      </c>
      <c r="O20" s="10">
        <f>L20*N20</f>
        <v/>
      </c>
      <c r="P20" s="9">
        <f>K20*O20</f>
        <v/>
      </c>
      <c r="Q20" s="9" t="n">
        <v>0</v>
      </c>
      <c r="R20" s="10" t="n">
        <v>0</v>
      </c>
      <c r="S20" s="10" t="n">
        <v>0</v>
      </c>
      <c r="T20" s="10">
        <f>IF(R20&gt;0,IFERROR(VALUE(LEFT($D20,1)),1),0)</f>
        <v/>
      </c>
      <c r="U20" s="10">
        <f>R20*T20</f>
        <v/>
      </c>
      <c r="V20" s="9">
        <f>Q20*U20</f>
        <v/>
      </c>
      <c r="W20" s="9" t="n">
        <v>0</v>
      </c>
      <c r="X20" s="10" t="n">
        <v>0</v>
      </c>
      <c r="Y20" s="10" t="n">
        <v>0</v>
      </c>
      <c r="Z20" s="10">
        <f>IF(X20&gt;0,IFERROR(VALUE(LEFT($D20,1)),1),0)</f>
        <v/>
      </c>
      <c r="AA20" s="10">
        <f>X20*Z20</f>
        <v/>
      </c>
      <c r="AB20" s="9">
        <f>W20*AA20</f>
        <v/>
      </c>
      <c r="AC20" s="9" t="n">
        <v>0</v>
      </c>
      <c r="AD20" s="10" t="n">
        <v>0</v>
      </c>
      <c r="AE20" s="10" t="n">
        <v>0</v>
      </c>
      <c r="AF20" s="10">
        <f>IF(AD20&gt;0,IFERROR(VALUE(LEFT($D20,1)),1),0)</f>
        <v/>
      </c>
      <c r="AG20" s="10">
        <f>AD20*AF20</f>
        <v/>
      </c>
      <c r="AH20" s="9">
        <f>AC20*AG20</f>
        <v/>
      </c>
      <c r="AI20" s="9" t="n">
        <v>170</v>
      </c>
      <c r="AJ20" s="10" t="n">
        <v>3</v>
      </c>
      <c r="AK20" s="10" t="n">
        <v>3</v>
      </c>
      <c r="AL20" s="10">
        <f>IF(AJ20&gt;0,IFERROR(VALUE(LEFT($D20,1)),1),0)</f>
        <v/>
      </c>
      <c r="AM20" s="10">
        <f>AJ20*AL20</f>
        <v/>
      </c>
      <c r="AN20" s="9">
        <f>AI20*AM20</f>
        <v/>
      </c>
    </row>
    <row r="21">
      <c r="A21" s="10" t="inlineStr">
        <is>
          <t>MR</t>
        </is>
      </c>
      <c r="B21" s="10" t="inlineStr">
        <is>
          <t>RM szyi bez i ze wzmocnieniem kontrastowym</t>
        </is>
      </c>
      <c r="C21" s="10" t="inlineStr">
        <is>
          <t>MR Inne - wtym prostata, miednica, jama brzuszna tkanki miekkie</t>
        </is>
      </c>
      <c r="D21" s="10" t="inlineStr">
        <is>
          <t>1 okolica anatomiczna</t>
        </is>
      </c>
      <c r="E21" s="9" t="n">
        <v>0</v>
      </c>
      <c r="F21" s="10" t="n">
        <v>0</v>
      </c>
      <c r="G21" s="10" t="n">
        <v>0</v>
      </c>
      <c r="H21" s="10">
        <f>IF(F21&gt;0,IFERROR(VALUE(LEFT($D21,1)),1),0)</f>
        <v/>
      </c>
      <c r="I21" s="10">
        <f>F21*H21</f>
        <v/>
      </c>
      <c r="J21" s="9">
        <f>E21*I21</f>
        <v/>
      </c>
      <c r="K21" s="9" t="n">
        <v>0</v>
      </c>
      <c r="L21" s="10" t="n">
        <v>0</v>
      </c>
      <c r="M21" s="10" t="n">
        <v>0</v>
      </c>
      <c r="N21" s="10">
        <f>IF(L21&gt;0,IFERROR(VALUE(LEFT($D21,1)),1),0)</f>
        <v/>
      </c>
      <c r="O21" s="10">
        <f>L21*N21</f>
        <v/>
      </c>
      <c r="P21" s="9">
        <f>K21*O21</f>
        <v/>
      </c>
      <c r="Q21" s="9" t="n">
        <v>0</v>
      </c>
      <c r="R21" s="10" t="n">
        <v>0</v>
      </c>
      <c r="S21" s="10" t="n">
        <v>0</v>
      </c>
      <c r="T21" s="10">
        <f>IF(R21&gt;0,IFERROR(VALUE(LEFT($D21,1)),1),0)</f>
        <v/>
      </c>
      <c r="U21" s="10">
        <f>R21*T21</f>
        <v/>
      </c>
      <c r="V21" s="9">
        <f>Q21*U21</f>
        <v/>
      </c>
      <c r="W21" s="9" t="n">
        <v>0</v>
      </c>
      <c r="X21" s="10" t="n">
        <v>0</v>
      </c>
      <c r="Y21" s="10" t="n">
        <v>0</v>
      </c>
      <c r="Z21" s="10">
        <f>IF(X21&gt;0,IFERROR(VALUE(LEFT($D21,1)),1),0)</f>
        <v/>
      </c>
      <c r="AA21" s="10">
        <f>X21*Z21</f>
        <v/>
      </c>
      <c r="AB21" s="9">
        <f>W21*AA21</f>
        <v/>
      </c>
      <c r="AC21" s="9" t="n">
        <v>0</v>
      </c>
      <c r="AD21" s="10" t="n">
        <v>0</v>
      </c>
      <c r="AE21" s="10" t="n">
        <v>0</v>
      </c>
      <c r="AF21" s="10">
        <f>IF(AD21&gt;0,IFERROR(VALUE(LEFT($D21,1)),1),0)</f>
        <v/>
      </c>
      <c r="AG21" s="10">
        <f>AD21*AF21</f>
        <v/>
      </c>
      <c r="AH21" s="9">
        <f>AC21*AG21</f>
        <v/>
      </c>
      <c r="AI21" s="9" t="n">
        <v>170</v>
      </c>
      <c r="AJ21" s="10" t="n">
        <v>1</v>
      </c>
      <c r="AK21" s="10" t="n">
        <v>0</v>
      </c>
      <c r="AL21" s="10">
        <f>IF(AJ21&gt;0,IFERROR(VALUE(LEFT($D21,1)),1),0)</f>
        <v/>
      </c>
      <c r="AM21" s="10">
        <f>AJ21*AL21</f>
        <v/>
      </c>
      <c r="AN21" s="9">
        <f>AI21*AM21</f>
        <v/>
      </c>
    </row>
    <row r="22">
      <c r="A22" s="11" t="inlineStr">
        <is>
          <t>MR</t>
        </is>
      </c>
      <c r="B22" s="11" t="inlineStr">
        <is>
          <t>MR głowy bez wzmocnienia kontrastowego - protokół udarowy</t>
        </is>
      </c>
      <c r="C22" s="11" t="inlineStr">
        <is>
          <t>MR Neurologia</t>
        </is>
      </c>
      <c r="D22" s="11" t="inlineStr">
        <is>
          <t>1 okolica anatomiczna</t>
        </is>
      </c>
      <c r="E22" s="9" t="n">
        <v>0</v>
      </c>
      <c r="F22" s="11" t="n">
        <v>0</v>
      </c>
      <c r="G22" s="11" t="n">
        <v>0</v>
      </c>
      <c r="H22" s="11">
        <f>IF(F22&gt;0,IFERROR(VALUE(LEFT($D22,1)),1),0)</f>
        <v/>
      </c>
      <c r="I22" s="11">
        <f>F22*H22</f>
        <v/>
      </c>
      <c r="J22" s="9">
        <f>E22*I22</f>
        <v/>
      </c>
      <c r="K22" s="9" t="n">
        <v>115</v>
      </c>
      <c r="L22" s="11" t="n">
        <v>7</v>
      </c>
      <c r="M22" s="11" t="n">
        <v>0</v>
      </c>
      <c r="N22" s="11">
        <f>IF(L22&gt;0,IFERROR(VALUE(LEFT($D22,1)),1),0)</f>
        <v/>
      </c>
      <c r="O22" s="11">
        <f>L22*N22</f>
        <v/>
      </c>
      <c r="P22" s="9">
        <f>K22*O22</f>
        <v/>
      </c>
      <c r="Q22" s="9" t="n">
        <v>0</v>
      </c>
      <c r="R22" s="11" t="n">
        <v>0</v>
      </c>
      <c r="S22" s="11" t="n">
        <v>0</v>
      </c>
      <c r="T22" s="11">
        <f>IF(R22&gt;0,IFERROR(VALUE(LEFT($D22,1)),1),0)</f>
        <v/>
      </c>
      <c r="U22" s="11">
        <f>R22*T22</f>
        <v/>
      </c>
      <c r="V22" s="9">
        <f>Q22*U22</f>
        <v/>
      </c>
      <c r="W22" s="9" t="n">
        <v>115</v>
      </c>
      <c r="X22" s="11" t="n">
        <v>1</v>
      </c>
      <c r="Y22" s="11" t="n">
        <v>0</v>
      </c>
      <c r="Z22" s="11">
        <f>IF(X22&gt;0,IFERROR(VALUE(LEFT($D22,1)),1),0)</f>
        <v/>
      </c>
      <c r="AA22" s="11">
        <f>X22*Z22</f>
        <v/>
      </c>
      <c r="AB22" s="9">
        <f>W22*AA22</f>
        <v/>
      </c>
      <c r="AC22" s="9" t="n">
        <v>0</v>
      </c>
      <c r="AD22" s="11" t="n">
        <v>0</v>
      </c>
      <c r="AE22" s="11" t="n">
        <v>0</v>
      </c>
      <c r="AF22" s="11">
        <f>IF(AD22&gt;0,IFERROR(VALUE(LEFT($D22,1)),1),0)</f>
        <v/>
      </c>
      <c r="AG22" s="11">
        <f>AD22*AF22</f>
        <v/>
      </c>
      <c r="AH22" s="9">
        <f>AC22*AG22</f>
        <v/>
      </c>
      <c r="AI22" s="9" t="n">
        <v>0</v>
      </c>
      <c r="AJ22" s="11" t="n">
        <v>0</v>
      </c>
      <c r="AK22" s="11" t="n">
        <v>0</v>
      </c>
      <c r="AL22" s="11">
        <f>IF(AJ22&gt;0,IFERROR(VALUE(LEFT($D22,1)),1),0)</f>
        <v/>
      </c>
      <c r="AM22" s="11">
        <f>AJ22*AL22</f>
        <v/>
      </c>
      <c r="AN22" s="9">
        <f>AI22*AM22</f>
        <v/>
      </c>
    </row>
    <row r="23">
      <c r="A23" s="11" t="inlineStr">
        <is>
          <t>MR</t>
        </is>
      </c>
      <c r="B23" s="11" t="inlineStr">
        <is>
          <t>MR głowy z kontrastem</t>
        </is>
      </c>
      <c r="C23" s="11" t="inlineStr">
        <is>
          <t>MR Neurologia</t>
        </is>
      </c>
      <c r="D23" s="11" t="inlineStr">
        <is>
          <t>1 okolica anatomiczna</t>
        </is>
      </c>
      <c r="E23" s="9" t="n">
        <v>0</v>
      </c>
      <c r="F23" s="11" t="n">
        <v>0</v>
      </c>
      <c r="G23" s="11" t="n">
        <v>0</v>
      </c>
      <c r="H23" s="11">
        <f>IF(F23&gt;0,IFERROR(VALUE(LEFT($D23,1)),1),0)</f>
        <v/>
      </c>
      <c r="I23" s="11">
        <f>F23*H23</f>
        <v/>
      </c>
      <c r="J23" s="9">
        <f>E23*I23</f>
        <v/>
      </c>
      <c r="K23" s="9" t="n">
        <v>0</v>
      </c>
      <c r="L23" s="11" t="n">
        <v>0</v>
      </c>
      <c r="M23" s="11" t="n">
        <v>0</v>
      </c>
      <c r="N23" s="11">
        <f>IF(L23&gt;0,IFERROR(VALUE(LEFT($D23,1)),1),0)</f>
        <v/>
      </c>
      <c r="O23" s="11">
        <f>L23*N23</f>
        <v/>
      </c>
      <c r="P23" s="9">
        <f>K23*O23</f>
        <v/>
      </c>
      <c r="Q23" s="9" t="n">
        <v>0</v>
      </c>
      <c r="R23" s="11" t="n">
        <v>0</v>
      </c>
      <c r="S23" s="11" t="n">
        <v>0</v>
      </c>
      <c r="T23" s="11">
        <f>IF(R23&gt;0,IFERROR(VALUE(LEFT($D23,1)),1),0)</f>
        <v/>
      </c>
      <c r="U23" s="11">
        <f>R23*T23</f>
        <v/>
      </c>
      <c r="V23" s="9">
        <f>Q23*U23</f>
        <v/>
      </c>
      <c r="W23" s="9" t="n">
        <v>115</v>
      </c>
      <c r="X23" s="11" t="n">
        <v>1</v>
      </c>
      <c r="Y23" s="11" t="n">
        <v>0</v>
      </c>
      <c r="Z23" s="11">
        <f>IF(X23&gt;0,IFERROR(VALUE(LEFT($D23,1)),1),0)</f>
        <v/>
      </c>
      <c r="AA23" s="11">
        <f>X23*Z23</f>
        <v/>
      </c>
      <c r="AB23" s="9">
        <f>W23*AA23</f>
        <v/>
      </c>
      <c r="AC23" s="9" t="n">
        <v>0</v>
      </c>
      <c r="AD23" s="11" t="n">
        <v>0</v>
      </c>
      <c r="AE23" s="11" t="n">
        <v>0</v>
      </c>
      <c r="AF23" s="11">
        <f>IF(AD23&gt;0,IFERROR(VALUE(LEFT($D23,1)),1),0)</f>
        <v/>
      </c>
      <c r="AG23" s="11">
        <f>AD23*AF23</f>
        <v/>
      </c>
      <c r="AH23" s="9">
        <f>AC23*AG23</f>
        <v/>
      </c>
      <c r="AI23" s="9" t="n">
        <v>0</v>
      </c>
      <c r="AJ23" s="11" t="n">
        <v>0</v>
      </c>
      <c r="AK23" s="11" t="n">
        <v>0</v>
      </c>
      <c r="AL23" s="11">
        <f>IF(AJ23&gt;0,IFERROR(VALUE(LEFT($D23,1)),1),0)</f>
        <v/>
      </c>
      <c r="AM23" s="11">
        <f>AJ23*AL23</f>
        <v/>
      </c>
      <c r="AN23" s="9">
        <f>AI23*AM23</f>
        <v/>
      </c>
    </row>
    <row r="24">
      <c r="A24" s="11" t="inlineStr">
        <is>
          <t>MR</t>
        </is>
      </c>
      <c r="B24" s="11" t="inlineStr">
        <is>
          <t>MR kręgosłupa lędźwiowego - bez kontrastu</t>
        </is>
      </c>
      <c r="C24" s="11" t="inlineStr">
        <is>
          <t>MR Neurologia</t>
        </is>
      </c>
      <c r="D24" s="11" t="inlineStr">
        <is>
          <t>1 okolica anatomiczna</t>
        </is>
      </c>
      <c r="E24" s="9" t="n">
        <v>0</v>
      </c>
      <c r="F24" s="11" t="n">
        <v>0</v>
      </c>
      <c r="G24" s="11" t="n">
        <v>0</v>
      </c>
      <c r="H24" s="11">
        <f>IF(F24&gt;0,IFERROR(VALUE(LEFT($D24,1)),1),0)</f>
        <v/>
      </c>
      <c r="I24" s="11">
        <f>F24*H24</f>
        <v/>
      </c>
      <c r="J24" s="9">
        <f>E24*I24</f>
        <v/>
      </c>
      <c r="K24" s="9" t="n">
        <v>0</v>
      </c>
      <c r="L24" s="11" t="n">
        <v>0</v>
      </c>
      <c r="M24" s="11" t="n">
        <v>0</v>
      </c>
      <c r="N24" s="11">
        <f>IF(L24&gt;0,IFERROR(VALUE(LEFT($D24,1)),1),0)</f>
        <v/>
      </c>
      <c r="O24" s="11">
        <f>L24*N24</f>
        <v/>
      </c>
      <c r="P24" s="9">
        <f>K24*O24</f>
        <v/>
      </c>
      <c r="Q24" s="9" t="n">
        <v>0</v>
      </c>
      <c r="R24" s="11" t="n">
        <v>0</v>
      </c>
      <c r="S24" s="11" t="n">
        <v>0</v>
      </c>
      <c r="T24" s="11">
        <f>IF(R24&gt;0,IFERROR(VALUE(LEFT($D24,1)),1),0)</f>
        <v/>
      </c>
      <c r="U24" s="11">
        <f>R24*T24</f>
        <v/>
      </c>
      <c r="V24" s="9">
        <f>Q24*U24</f>
        <v/>
      </c>
      <c r="W24" s="9" t="n">
        <v>115</v>
      </c>
      <c r="X24" s="11" t="n">
        <v>2</v>
      </c>
      <c r="Y24" s="11" t="n">
        <v>0</v>
      </c>
      <c r="Z24" s="11">
        <f>IF(X24&gt;0,IFERROR(VALUE(LEFT($D24,1)),1),0)</f>
        <v/>
      </c>
      <c r="AA24" s="11">
        <f>X24*Z24</f>
        <v/>
      </c>
      <c r="AB24" s="9">
        <f>W24*AA24</f>
        <v/>
      </c>
      <c r="AC24" s="9" t="n">
        <v>0</v>
      </c>
      <c r="AD24" s="11" t="n">
        <v>0</v>
      </c>
      <c r="AE24" s="11" t="n">
        <v>0</v>
      </c>
      <c r="AF24" s="11">
        <f>IF(AD24&gt;0,IFERROR(VALUE(LEFT($D24,1)),1),0)</f>
        <v/>
      </c>
      <c r="AG24" s="11">
        <f>AD24*AF24</f>
        <v/>
      </c>
      <c r="AH24" s="9">
        <f>AC24*AG24</f>
        <v/>
      </c>
      <c r="AI24" s="9" t="n">
        <v>0</v>
      </c>
      <c r="AJ24" s="11" t="n">
        <v>0</v>
      </c>
      <c r="AK24" s="11" t="n">
        <v>0</v>
      </c>
      <c r="AL24" s="11">
        <f>IF(AJ24&gt;0,IFERROR(VALUE(LEFT($D24,1)),1),0)</f>
        <v/>
      </c>
      <c r="AM24" s="11">
        <f>AJ24*AL24</f>
        <v/>
      </c>
      <c r="AN24" s="9">
        <f>AI24*AM24</f>
        <v/>
      </c>
    </row>
    <row r="25">
      <c r="A25" s="11" t="inlineStr">
        <is>
          <t>MR</t>
        </is>
      </c>
      <c r="B25" s="11" t="inlineStr">
        <is>
          <t>Rezonans Magnetyczny głowy protokół udar</t>
        </is>
      </c>
      <c r="C25" s="11" t="inlineStr">
        <is>
          <t>MR Neurologia</t>
        </is>
      </c>
      <c r="D25" s="11" t="inlineStr">
        <is>
          <t>1 okolica anatomiczna</t>
        </is>
      </c>
      <c r="E25" s="9" t="n">
        <v>0</v>
      </c>
      <c r="F25" s="11" t="n">
        <v>0</v>
      </c>
      <c r="G25" s="11" t="n">
        <v>0</v>
      </c>
      <c r="H25" s="11">
        <f>IF(F25&gt;0,IFERROR(VALUE(LEFT($D25,1)),1),0)</f>
        <v/>
      </c>
      <c r="I25" s="11">
        <f>F25*H25</f>
        <v/>
      </c>
      <c r="J25" s="9">
        <f>E25*I25</f>
        <v/>
      </c>
      <c r="K25" s="9" t="n">
        <v>0</v>
      </c>
      <c r="L25" s="11" t="n">
        <v>0</v>
      </c>
      <c r="M25" s="11" t="n">
        <v>0</v>
      </c>
      <c r="N25" s="11">
        <f>IF(L25&gt;0,IFERROR(VALUE(LEFT($D25,1)),1),0)</f>
        <v/>
      </c>
      <c r="O25" s="11">
        <f>L25*N25</f>
        <v/>
      </c>
      <c r="P25" s="9">
        <f>K25*O25</f>
        <v/>
      </c>
      <c r="Q25" s="9" t="n">
        <v>0</v>
      </c>
      <c r="R25" s="11" t="n">
        <v>0</v>
      </c>
      <c r="S25" s="11" t="n">
        <v>0</v>
      </c>
      <c r="T25" s="11">
        <f>IF(R25&gt;0,IFERROR(VALUE(LEFT($D25,1)),1),0)</f>
        <v/>
      </c>
      <c r="U25" s="11">
        <f>R25*T25</f>
        <v/>
      </c>
      <c r="V25" s="9">
        <f>Q25*U25</f>
        <v/>
      </c>
      <c r="W25" s="9" t="n">
        <v>115</v>
      </c>
      <c r="X25" s="11" t="n">
        <v>1</v>
      </c>
      <c r="Y25" s="11" t="n">
        <v>0</v>
      </c>
      <c r="Z25" s="11">
        <f>IF(X25&gt;0,IFERROR(VALUE(LEFT($D25,1)),1),0)</f>
        <v/>
      </c>
      <c r="AA25" s="11">
        <f>X25*Z25</f>
        <v/>
      </c>
      <c r="AB25" s="9">
        <f>W25*AA25</f>
        <v/>
      </c>
      <c r="AC25" s="9" t="n">
        <v>0</v>
      </c>
      <c r="AD25" s="11" t="n">
        <v>0</v>
      </c>
      <c r="AE25" s="11" t="n">
        <v>0</v>
      </c>
      <c r="AF25" s="11">
        <f>IF(AD25&gt;0,IFERROR(VALUE(LEFT($D25,1)),1),0)</f>
        <v/>
      </c>
      <c r="AG25" s="11">
        <f>AD25*AF25</f>
        <v/>
      </c>
      <c r="AH25" s="9">
        <f>AC25*AG25</f>
        <v/>
      </c>
      <c r="AI25" s="9" t="n">
        <v>0</v>
      </c>
      <c r="AJ25" s="11" t="n">
        <v>0</v>
      </c>
      <c r="AK25" s="11" t="n">
        <v>0</v>
      </c>
      <c r="AL25" s="11">
        <f>IF(AJ25&gt;0,IFERROR(VALUE(LEFT($D25,1)),1),0)</f>
        <v/>
      </c>
      <c r="AM25" s="11">
        <f>AJ25*AL25</f>
        <v/>
      </c>
      <c r="AN25" s="9">
        <f>AI25*AM25</f>
        <v/>
      </c>
    </row>
    <row r="26">
      <c r="A26" s="11" t="inlineStr">
        <is>
          <t>MR</t>
        </is>
      </c>
      <c r="B26" s="11" t="inlineStr">
        <is>
          <t>Rezonans Magnetyczny głowy z kontrastem</t>
        </is>
      </c>
      <c r="C26" s="11" t="inlineStr">
        <is>
          <t>MR Neurologia</t>
        </is>
      </c>
      <c r="D26" s="11" t="inlineStr">
        <is>
          <t>1 okolica anatomiczna</t>
        </is>
      </c>
      <c r="E26" s="9" t="n">
        <v>0</v>
      </c>
      <c r="F26" s="11" t="n">
        <v>0</v>
      </c>
      <c r="G26" s="11" t="n">
        <v>0</v>
      </c>
      <c r="H26" s="11">
        <f>IF(F26&gt;0,IFERROR(VALUE(LEFT($D26,1)),1),0)</f>
        <v/>
      </c>
      <c r="I26" s="11">
        <f>F26*H26</f>
        <v/>
      </c>
      <c r="J26" s="9">
        <f>E26*I26</f>
        <v/>
      </c>
      <c r="K26" s="9" t="n">
        <v>0</v>
      </c>
      <c r="L26" s="11" t="n">
        <v>0</v>
      </c>
      <c r="M26" s="11" t="n">
        <v>0</v>
      </c>
      <c r="N26" s="11">
        <f>IF(L26&gt;0,IFERROR(VALUE(LEFT($D26,1)),1),0)</f>
        <v/>
      </c>
      <c r="O26" s="11">
        <f>L26*N26</f>
        <v/>
      </c>
      <c r="P26" s="9">
        <f>K26*O26</f>
        <v/>
      </c>
      <c r="Q26" s="9" t="n">
        <v>0</v>
      </c>
      <c r="R26" s="11" t="n">
        <v>0</v>
      </c>
      <c r="S26" s="11" t="n">
        <v>0</v>
      </c>
      <c r="T26" s="11">
        <f>IF(R26&gt;0,IFERROR(VALUE(LEFT($D26,1)),1),0)</f>
        <v/>
      </c>
      <c r="U26" s="11">
        <f>R26*T26</f>
        <v/>
      </c>
      <c r="V26" s="9">
        <f>Q26*U26</f>
        <v/>
      </c>
      <c r="W26" s="9" t="n">
        <v>115</v>
      </c>
      <c r="X26" s="11" t="n">
        <v>4</v>
      </c>
      <c r="Y26" s="11" t="n">
        <v>0</v>
      </c>
      <c r="Z26" s="11">
        <f>IF(X26&gt;0,IFERROR(VALUE(LEFT($D26,1)),1),0)</f>
        <v/>
      </c>
      <c r="AA26" s="11">
        <f>X26*Z26</f>
        <v/>
      </c>
      <c r="AB26" s="9">
        <f>W26*AA26</f>
        <v/>
      </c>
      <c r="AC26" s="9" t="n">
        <v>0</v>
      </c>
      <c r="AD26" s="11" t="n">
        <v>0</v>
      </c>
      <c r="AE26" s="11" t="n">
        <v>0</v>
      </c>
      <c r="AF26" s="11">
        <f>IF(AD26&gt;0,IFERROR(VALUE(LEFT($D26,1)),1),0)</f>
        <v/>
      </c>
      <c r="AG26" s="11">
        <f>AD26*AF26</f>
        <v/>
      </c>
      <c r="AH26" s="9">
        <f>AC26*AG26</f>
        <v/>
      </c>
      <c r="AI26" s="9" t="n">
        <v>0</v>
      </c>
      <c r="AJ26" s="11" t="n">
        <v>0</v>
      </c>
      <c r="AK26" s="11" t="n">
        <v>0</v>
      </c>
      <c r="AL26" s="11">
        <f>IF(AJ26&gt;0,IFERROR(VALUE(LEFT($D26,1)),1),0)</f>
        <v/>
      </c>
      <c r="AM26" s="11">
        <f>AJ26*AL26</f>
        <v/>
      </c>
      <c r="AN26" s="9">
        <f>AI26*AM26</f>
        <v/>
      </c>
    </row>
    <row r="27">
      <c r="A27" s="11" t="inlineStr">
        <is>
          <t>MR</t>
        </is>
      </c>
      <c r="B27" s="11" t="inlineStr">
        <is>
          <t>Rezonans Magnetyczny kręgosłupa piersiowego z kontrastem</t>
        </is>
      </c>
      <c r="C27" s="11" t="inlineStr">
        <is>
          <t>MR Neurologia</t>
        </is>
      </c>
      <c r="D27" s="11" t="inlineStr">
        <is>
          <t>1 okolica anatomiczna</t>
        </is>
      </c>
      <c r="E27" s="9" t="n">
        <v>0</v>
      </c>
      <c r="F27" s="11" t="n">
        <v>0</v>
      </c>
      <c r="G27" s="11" t="n">
        <v>0</v>
      </c>
      <c r="H27" s="11">
        <f>IF(F27&gt;0,IFERROR(VALUE(LEFT($D27,1)),1),0)</f>
        <v/>
      </c>
      <c r="I27" s="11">
        <f>F27*H27</f>
        <v/>
      </c>
      <c r="J27" s="9">
        <f>E27*I27</f>
        <v/>
      </c>
      <c r="K27" s="9" t="n">
        <v>0</v>
      </c>
      <c r="L27" s="11" t="n">
        <v>0</v>
      </c>
      <c r="M27" s="11" t="n">
        <v>0</v>
      </c>
      <c r="N27" s="11">
        <f>IF(L27&gt;0,IFERROR(VALUE(LEFT($D27,1)),1),0)</f>
        <v/>
      </c>
      <c r="O27" s="11">
        <f>L27*N27</f>
        <v/>
      </c>
      <c r="P27" s="9">
        <f>K27*O27</f>
        <v/>
      </c>
      <c r="Q27" s="9" t="n">
        <v>0</v>
      </c>
      <c r="R27" s="11" t="n">
        <v>0</v>
      </c>
      <c r="S27" s="11" t="n">
        <v>0</v>
      </c>
      <c r="T27" s="11">
        <f>IF(R27&gt;0,IFERROR(VALUE(LEFT($D27,1)),1),0)</f>
        <v/>
      </c>
      <c r="U27" s="11">
        <f>R27*T27</f>
        <v/>
      </c>
      <c r="V27" s="9">
        <f>Q27*U27</f>
        <v/>
      </c>
      <c r="W27" s="9" t="n">
        <v>115</v>
      </c>
      <c r="X27" s="11" t="n">
        <v>1</v>
      </c>
      <c r="Y27" s="11" t="n">
        <v>0</v>
      </c>
      <c r="Z27" s="11">
        <f>IF(X27&gt;0,IFERROR(VALUE(LEFT($D27,1)),1),0)</f>
        <v/>
      </c>
      <c r="AA27" s="11">
        <f>X27*Z27</f>
        <v/>
      </c>
      <c r="AB27" s="9">
        <f>W27*AA27</f>
        <v/>
      </c>
      <c r="AC27" s="9" t="n">
        <v>0</v>
      </c>
      <c r="AD27" s="11" t="n">
        <v>0</v>
      </c>
      <c r="AE27" s="11" t="n">
        <v>0</v>
      </c>
      <c r="AF27" s="11">
        <f>IF(AD27&gt;0,IFERROR(VALUE(LEFT($D27,1)),1),0)</f>
        <v/>
      </c>
      <c r="AG27" s="11">
        <f>AD27*AF27</f>
        <v/>
      </c>
      <c r="AH27" s="9">
        <f>AC27*AG27</f>
        <v/>
      </c>
      <c r="AI27" s="9" t="n">
        <v>0</v>
      </c>
      <c r="AJ27" s="11" t="n">
        <v>0</v>
      </c>
      <c r="AK27" s="11" t="n">
        <v>0</v>
      </c>
      <c r="AL27" s="11">
        <f>IF(AJ27&gt;0,IFERROR(VALUE(LEFT($D27,1)),1),0)</f>
        <v/>
      </c>
      <c r="AM27" s="11">
        <f>AJ27*AL27</f>
        <v/>
      </c>
      <c r="AN27" s="9">
        <f>AI27*AM27</f>
        <v/>
      </c>
    </row>
    <row r="28">
      <c r="A28" s="11" t="inlineStr">
        <is>
          <t>MR</t>
        </is>
      </c>
      <c r="B28" s="11" t="inlineStr">
        <is>
          <t>MR - kręg. Th z kontrastem</t>
        </is>
      </c>
      <c r="C28" s="11" t="inlineStr">
        <is>
          <t>MR Neurologia</t>
        </is>
      </c>
      <c r="D28" s="11" t="inlineStr">
        <is>
          <t>1 okolica anatomiczna</t>
        </is>
      </c>
      <c r="E28" s="9" t="n">
        <v>0</v>
      </c>
      <c r="F28" s="11" t="n">
        <v>0</v>
      </c>
      <c r="G28" s="11" t="n">
        <v>0</v>
      </c>
      <c r="H28" s="11">
        <f>IF(F28&gt;0,IFERROR(VALUE(LEFT($D28,1)),1),0)</f>
        <v/>
      </c>
      <c r="I28" s="11">
        <f>F28*H28</f>
        <v/>
      </c>
      <c r="J28" s="9">
        <f>E28*I28</f>
        <v/>
      </c>
      <c r="K28" s="9" t="n">
        <v>0</v>
      </c>
      <c r="L28" s="11" t="n">
        <v>0</v>
      </c>
      <c r="M28" s="11" t="n">
        <v>0</v>
      </c>
      <c r="N28" s="11">
        <f>IF(L28&gt;0,IFERROR(VALUE(LEFT($D28,1)),1),0)</f>
        <v/>
      </c>
      <c r="O28" s="11">
        <f>L28*N28</f>
        <v/>
      </c>
      <c r="P28" s="9">
        <f>K28*O28</f>
        <v/>
      </c>
      <c r="Q28" s="9" t="n">
        <v>0</v>
      </c>
      <c r="R28" s="11" t="n">
        <v>0</v>
      </c>
      <c r="S28" s="11" t="n">
        <v>0</v>
      </c>
      <c r="T28" s="11">
        <f>IF(R28&gt;0,IFERROR(VALUE(LEFT($D28,1)),1),0)</f>
        <v/>
      </c>
      <c r="U28" s="11">
        <f>R28*T28</f>
        <v/>
      </c>
      <c r="V28" s="9">
        <f>Q28*U28</f>
        <v/>
      </c>
      <c r="W28" s="9" t="n">
        <v>0</v>
      </c>
      <c r="X28" s="11" t="n">
        <v>0</v>
      </c>
      <c r="Y28" s="11" t="n">
        <v>0</v>
      </c>
      <c r="Z28" s="11">
        <f>IF(X28&gt;0,IFERROR(VALUE(LEFT($D28,1)),1),0)</f>
        <v/>
      </c>
      <c r="AA28" s="11">
        <f>X28*Z28</f>
        <v/>
      </c>
      <c r="AB28" s="9">
        <f>W28*AA28</f>
        <v/>
      </c>
      <c r="AC28" s="9" t="n">
        <v>115</v>
      </c>
      <c r="AD28" s="11" t="n">
        <v>1</v>
      </c>
      <c r="AE28" s="11" t="n">
        <v>1</v>
      </c>
      <c r="AF28" s="11">
        <f>IF(AD28&gt;0,IFERROR(VALUE(LEFT($D28,1)),1),0)</f>
        <v/>
      </c>
      <c r="AG28" s="11">
        <f>AD28*AF28</f>
        <v/>
      </c>
      <c r="AH28" s="9">
        <f>AC28*AG28</f>
        <v/>
      </c>
      <c r="AI28" s="9" t="n">
        <v>0</v>
      </c>
      <c r="AJ28" s="11" t="n">
        <v>0</v>
      </c>
      <c r="AK28" s="11" t="n">
        <v>0</v>
      </c>
      <c r="AL28" s="11">
        <f>IF(AJ28&gt;0,IFERROR(VALUE(LEFT($D28,1)),1),0)</f>
        <v/>
      </c>
      <c r="AM28" s="11">
        <f>AJ28*AL28</f>
        <v/>
      </c>
      <c r="AN28" s="9">
        <f>AI28*AM28</f>
        <v/>
      </c>
    </row>
    <row r="29">
      <c r="A29" s="11" t="inlineStr">
        <is>
          <t>MR</t>
        </is>
      </c>
      <c r="B29" s="11" t="inlineStr">
        <is>
          <t>MR głowy bez wzmocnienia kontrastowego</t>
        </is>
      </c>
      <c r="C29" s="11" t="inlineStr">
        <is>
          <t>MR Neurologia</t>
        </is>
      </c>
      <c r="D29" s="11" t="inlineStr">
        <is>
          <t>1 okolica anatomiczna</t>
        </is>
      </c>
      <c r="E29" s="9" t="n">
        <v>0</v>
      </c>
      <c r="F29" s="11" t="n">
        <v>0</v>
      </c>
      <c r="G29" s="11" t="n">
        <v>0</v>
      </c>
      <c r="H29" s="11">
        <f>IF(F29&gt;0,IFERROR(VALUE(LEFT($D29,1)),1),0)</f>
        <v/>
      </c>
      <c r="I29" s="11">
        <f>F29*H29</f>
        <v/>
      </c>
      <c r="J29" s="9">
        <f>E29*I29</f>
        <v/>
      </c>
      <c r="K29" s="9" t="n">
        <v>0</v>
      </c>
      <c r="L29" s="11" t="n">
        <v>0</v>
      </c>
      <c r="M29" s="11" t="n">
        <v>0</v>
      </c>
      <c r="N29" s="11">
        <f>IF(L29&gt;0,IFERROR(VALUE(LEFT($D29,1)),1),0)</f>
        <v/>
      </c>
      <c r="O29" s="11">
        <f>L29*N29</f>
        <v/>
      </c>
      <c r="P29" s="9">
        <f>K29*O29</f>
        <v/>
      </c>
      <c r="Q29" s="9" t="n">
        <v>0</v>
      </c>
      <c r="R29" s="11" t="n">
        <v>0</v>
      </c>
      <c r="S29" s="11" t="n">
        <v>0</v>
      </c>
      <c r="T29" s="11">
        <f>IF(R29&gt;0,IFERROR(VALUE(LEFT($D29,1)),1),0)</f>
        <v/>
      </c>
      <c r="U29" s="11">
        <f>R29*T29</f>
        <v/>
      </c>
      <c r="V29" s="9">
        <f>Q29*U29</f>
        <v/>
      </c>
      <c r="W29" s="9" t="n">
        <v>0</v>
      </c>
      <c r="X29" s="11" t="n">
        <v>0</v>
      </c>
      <c r="Y29" s="11" t="n">
        <v>0</v>
      </c>
      <c r="Z29" s="11">
        <f>IF(X29&gt;0,IFERROR(VALUE(LEFT($D29,1)),1),0)</f>
        <v/>
      </c>
      <c r="AA29" s="11">
        <f>X29*Z29</f>
        <v/>
      </c>
      <c r="AB29" s="9">
        <f>W29*AA29</f>
        <v/>
      </c>
      <c r="AC29" s="9" t="n">
        <v>0</v>
      </c>
      <c r="AD29" s="11" t="n">
        <v>0</v>
      </c>
      <c r="AE29" s="11" t="n">
        <v>0</v>
      </c>
      <c r="AF29" s="11">
        <f>IF(AD29&gt;0,IFERROR(VALUE(LEFT($D29,1)),1),0)</f>
        <v/>
      </c>
      <c r="AG29" s="11">
        <f>AD29*AF29</f>
        <v/>
      </c>
      <c r="AH29" s="9">
        <f>AC29*AG29</f>
        <v/>
      </c>
      <c r="AI29" s="9" t="n">
        <v>115</v>
      </c>
      <c r="AJ29" s="11" t="n">
        <v>1</v>
      </c>
      <c r="AK29" s="11" t="n">
        <v>1</v>
      </c>
      <c r="AL29" s="11">
        <f>IF(AJ29&gt;0,IFERROR(VALUE(LEFT($D29,1)),1),0)</f>
        <v/>
      </c>
      <c r="AM29" s="11">
        <f>AJ29*AL29</f>
        <v/>
      </c>
      <c r="AN29" s="9">
        <f>AI29*AM29</f>
        <v/>
      </c>
    </row>
    <row r="30">
      <c r="A30" s="11" t="inlineStr">
        <is>
          <t>MR</t>
        </is>
      </c>
      <c r="B30" s="11" t="inlineStr">
        <is>
          <t>MR głowy ze wzmocnieniem kontrastowym</t>
        </is>
      </c>
      <c r="C30" s="11" t="inlineStr">
        <is>
          <t>MR Neurologia</t>
        </is>
      </c>
      <c r="D30" s="11" t="inlineStr">
        <is>
          <t>2 okolice anatomiczne</t>
        </is>
      </c>
      <c r="E30" s="9" t="n">
        <v>0</v>
      </c>
      <c r="F30" s="11" t="n">
        <v>0</v>
      </c>
      <c r="G30" s="11" t="n">
        <v>0</v>
      </c>
      <c r="H30" s="11">
        <f>IF(F30&gt;0,IFERROR(VALUE(LEFT($D30,1)),1),0)</f>
        <v/>
      </c>
      <c r="I30" s="11">
        <f>F30*H30</f>
        <v/>
      </c>
      <c r="J30" s="9">
        <f>E30*I30</f>
        <v/>
      </c>
      <c r="K30" s="9" t="n">
        <v>0</v>
      </c>
      <c r="L30" s="11" t="n">
        <v>0</v>
      </c>
      <c r="M30" s="11" t="n">
        <v>0</v>
      </c>
      <c r="N30" s="11">
        <f>IF(L30&gt;0,IFERROR(VALUE(LEFT($D30,1)),1),0)</f>
        <v/>
      </c>
      <c r="O30" s="11">
        <f>L30*N30</f>
        <v/>
      </c>
      <c r="P30" s="9">
        <f>K30*O30</f>
        <v/>
      </c>
      <c r="Q30" s="9" t="n">
        <v>0</v>
      </c>
      <c r="R30" s="11" t="n">
        <v>0</v>
      </c>
      <c r="S30" s="11" t="n">
        <v>0</v>
      </c>
      <c r="T30" s="11">
        <f>IF(R30&gt;0,IFERROR(VALUE(LEFT($D30,1)),1),0)</f>
        <v/>
      </c>
      <c r="U30" s="11">
        <f>R30*T30</f>
        <v/>
      </c>
      <c r="V30" s="9">
        <f>Q30*U30</f>
        <v/>
      </c>
      <c r="W30" s="9" t="n">
        <v>0</v>
      </c>
      <c r="X30" s="11" t="n">
        <v>0</v>
      </c>
      <c r="Y30" s="11" t="n">
        <v>0</v>
      </c>
      <c r="Z30" s="11">
        <f>IF(X30&gt;0,IFERROR(VALUE(LEFT($D30,1)),1),0)</f>
        <v/>
      </c>
      <c r="AA30" s="11">
        <f>X30*Z30</f>
        <v/>
      </c>
      <c r="AB30" s="9">
        <f>W30*AA30</f>
        <v/>
      </c>
      <c r="AC30" s="9" t="n">
        <v>0</v>
      </c>
      <c r="AD30" s="11" t="n">
        <v>0</v>
      </c>
      <c r="AE30" s="11" t="n">
        <v>0</v>
      </c>
      <c r="AF30" s="11">
        <f>IF(AD30&gt;0,IFERROR(VALUE(LEFT($D30,1)),1),0)</f>
        <v/>
      </c>
      <c r="AG30" s="11">
        <f>AD30*AF30</f>
        <v/>
      </c>
      <c r="AH30" s="9">
        <f>AC30*AG30</f>
        <v/>
      </c>
      <c r="AI30" s="9" t="n">
        <v>115</v>
      </c>
      <c r="AJ30" s="11" t="n">
        <v>1</v>
      </c>
      <c r="AK30" s="11" t="n">
        <v>0</v>
      </c>
      <c r="AL30" s="11">
        <f>IF(AJ30&gt;0,IFERROR(VALUE(LEFT($D30,1)),1),0)</f>
        <v/>
      </c>
      <c r="AM30" s="11">
        <f>AJ30*AL30</f>
        <v/>
      </c>
      <c r="AN30" s="9">
        <f>AI30*AM30</f>
        <v/>
      </c>
    </row>
    <row r="31">
      <c r="A31" s="12" t="inlineStr">
        <is>
          <t>MR</t>
        </is>
      </c>
      <c r="B31" s="12" t="inlineStr">
        <is>
          <t>MR jamy brzusznej, przestrzeni zaotrzewnowej - z kontrastem</t>
        </is>
      </c>
      <c r="C31" s="12" t="inlineStr">
        <is>
          <t>MR Onkologia</t>
        </is>
      </c>
      <c r="D31" s="12" t="inlineStr">
        <is>
          <t>1 okolica anatomiczna</t>
        </is>
      </c>
      <c r="E31" s="9" t="n">
        <v>0</v>
      </c>
      <c r="F31" s="12" t="n">
        <v>0</v>
      </c>
      <c r="G31" s="12" t="n">
        <v>0</v>
      </c>
      <c r="H31" s="12">
        <f>IF(F31&gt;0,IFERROR(VALUE(LEFT($D31,1)),1),0)</f>
        <v/>
      </c>
      <c r="I31" s="12">
        <f>F31*H31</f>
        <v/>
      </c>
      <c r="J31" s="9">
        <f>E31*I31</f>
        <v/>
      </c>
      <c r="K31" s="9" t="n">
        <v>0</v>
      </c>
      <c r="L31" s="12" t="n">
        <v>0</v>
      </c>
      <c r="M31" s="12" t="n">
        <v>0</v>
      </c>
      <c r="N31" s="12">
        <f>IF(L31&gt;0,IFERROR(VALUE(LEFT($D31,1)),1),0)</f>
        <v/>
      </c>
      <c r="O31" s="12">
        <f>L31*N31</f>
        <v/>
      </c>
      <c r="P31" s="9">
        <f>K31*O31</f>
        <v/>
      </c>
      <c r="Q31" s="9" t="n">
        <v>0</v>
      </c>
      <c r="R31" s="12" t="n">
        <v>0</v>
      </c>
      <c r="S31" s="12" t="n">
        <v>0</v>
      </c>
      <c r="T31" s="12">
        <f>IF(R31&gt;0,IFERROR(VALUE(LEFT($D31,1)),1),0)</f>
        <v/>
      </c>
      <c r="U31" s="12">
        <f>R31*T31</f>
        <v/>
      </c>
      <c r="V31" s="9">
        <f>Q31*U31</f>
        <v/>
      </c>
      <c r="W31" s="9" t="n">
        <v>170</v>
      </c>
      <c r="X31" s="12" t="n">
        <v>1</v>
      </c>
      <c r="Y31" s="12" t="n">
        <v>0</v>
      </c>
      <c r="Z31" s="12">
        <f>IF(X31&gt;0,IFERROR(VALUE(LEFT($D31,1)),1),0)</f>
        <v/>
      </c>
      <c r="AA31" s="12">
        <f>X31*Z31</f>
        <v/>
      </c>
      <c r="AB31" s="9">
        <f>W31*AA31</f>
        <v/>
      </c>
      <c r="AC31" s="9" t="n">
        <v>0</v>
      </c>
      <c r="AD31" s="12" t="n">
        <v>0</v>
      </c>
      <c r="AE31" s="12" t="n">
        <v>0</v>
      </c>
      <c r="AF31" s="12">
        <f>IF(AD31&gt;0,IFERROR(VALUE(LEFT($D31,1)),1),0)</f>
        <v/>
      </c>
      <c r="AG31" s="12">
        <f>AD31*AF31</f>
        <v/>
      </c>
      <c r="AH31" s="9">
        <f>AC31*AG31</f>
        <v/>
      </c>
      <c r="AI31" s="9" t="n">
        <v>0</v>
      </c>
      <c r="AJ31" s="12" t="n">
        <v>0</v>
      </c>
      <c r="AK31" s="12" t="n">
        <v>0</v>
      </c>
      <c r="AL31" s="12">
        <f>IF(AJ31&gt;0,IFERROR(VALUE(LEFT($D31,1)),1),0)</f>
        <v/>
      </c>
      <c r="AM31" s="12">
        <f>AJ31*AL31</f>
        <v/>
      </c>
      <c r="AN31" s="9">
        <f>AI31*AM31</f>
        <v/>
      </c>
    </row>
    <row r="32">
      <c r="A32" s="12" t="inlineStr">
        <is>
          <t>MR</t>
        </is>
      </c>
      <c r="B32" s="12" t="inlineStr">
        <is>
          <t>Rezonans magnet. jamy brzusznej lub miednicy małej bez kontr. i z kontr.</t>
        </is>
      </c>
      <c r="C32" s="12" t="inlineStr">
        <is>
          <t>MR Onkologia</t>
        </is>
      </c>
      <c r="D32" s="12" t="inlineStr">
        <is>
          <t>1 okolica anatomiczna</t>
        </is>
      </c>
      <c r="E32" s="9" t="n">
        <v>0</v>
      </c>
      <c r="F32" s="12" t="n">
        <v>0</v>
      </c>
      <c r="G32" s="12" t="n">
        <v>0</v>
      </c>
      <c r="H32" s="12">
        <f>IF(F32&gt;0,IFERROR(VALUE(LEFT($D32,1)),1),0)</f>
        <v/>
      </c>
      <c r="I32" s="12">
        <f>F32*H32</f>
        <v/>
      </c>
      <c r="J32" s="9">
        <f>E32*I32</f>
        <v/>
      </c>
      <c r="K32" s="9" t="n">
        <v>0</v>
      </c>
      <c r="L32" s="12" t="n">
        <v>0</v>
      </c>
      <c r="M32" s="12" t="n">
        <v>0</v>
      </c>
      <c r="N32" s="12">
        <f>IF(L32&gt;0,IFERROR(VALUE(LEFT($D32,1)),1),0)</f>
        <v/>
      </c>
      <c r="O32" s="12">
        <f>L32*N32</f>
        <v/>
      </c>
      <c r="P32" s="9">
        <f>K32*O32</f>
        <v/>
      </c>
      <c r="Q32" s="9" t="n">
        <v>0</v>
      </c>
      <c r="R32" s="12" t="n">
        <v>0</v>
      </c>
      <c r="S32" s="12" t="n">
        <v>0</v>
      </c>
      <c r="T32" s="12">
        <f>IF(R32&gt;0,IFERROR(VALUE(LEFT($D32,1)),1),0)</f>
        <v/>
      </c>
      <c r="U32" s="12">
        <f>R32*T32</f>
        <v/>
      </c>
      <c r="V32" s="9">
        <f>Q32*U32</f>
        <v/>
      </c>
      <c r="W32" s="9" t="n">
        <v>0</v>
      </c>
      <c r="X32" s="12" t="n">
        <v>0</v>
      </c>
      <c r="Y32" s="12" t="n">
        <v>0</v>
      </c>
      <c r="Z32" s="12">
        <f>IF(X32&gt;0,IFERROR(VALUE(LEFT($D32,1)),1),0)</f>
        <v/>
      </c>
      <c r="AA32" s="12">
        <f>X32*Z32</f>
        <v/>
      </c>
      <c r="AB32" s="9">
        <f>W32*AA32</f>
        <v/>
      </c>
      <c r="AC32" s="9" t="n">
        <v>170</v>
      </c>
      <c r="AD32" s="12" t="n">
        <v>2</v>
      </c>
      <c r="AE32" s="12" t="n">
        <v>2</v>
      </c>
      <c r="AF32" s="12">
        <f>IF(AD32&gt;0,IFERROR(VALUE(LEFT($D32,1)),1),0)</f>
        <v/>
      </c>
      <c r="AG32" s="12">
        <f>AD32*AF32</f>
        <v/>
      </c>
      <c r="AH32" s="9">
        <f>AC32*AG32</f>
        <v/>
      </c>
      <c r="AI32" s="9" t="n">
        <v>0</v>
      </c>
      <c r="AJ32" s="12" t="n">
        <v>0</v>
      </c>
      <c r="AK32" s="12" t="n">
        <v>0</v>
      </c>
      <c r="AL32" s="12">
        <f>IF(AJ32&gt;0,IFERROR(VALUE(LEFT($D32,1)),1),0)</f>
        <v/>
      </c>
      <c r="AM32" s="12">
        <f>AJ32*AL32</f>
        <v/>
      </c>
      <c r="AN32" s="9">
        <f>AI32*AM32</f>
        <v/>
      </c>
    </row>
    <row r="33">
      <c r="A33" s="12" t="inlineStr">
        <is>
          <t>MR</t>
        </is>
      </c>
      <c r="B33" s="12" t="inlineStr">
        <is>
          <t>K.MR MIEDNICY MNIEJSZEJ</t>
        </is>
      </c>
      <c r="C33" s="12" t="inlineStr">
        <is>
          <t>MR Onkologia</t>
        </is>
      </c>
      <c r="D33" s="12" t="inlineStr">
        <is>
          <t>1 okolica anatomiczna</t>
        </is>
      </c>
      <c r="E33" s="9" t="n">
        <v>0</v>
      </c>
      <c r="F33" s="12" t="n">
        <v>0</v>
      </c>
      <c r="G33" s="12" t="n">
        <v>0</v>
      </c>
      <c r="H33" s="12">
        <f>IF(F33&gt;0,IFERROR(VALUE(LEFT($D33,1)),1),0)</f>
        <v/>
      </c>
      <c r="I33" s="12">
        <f>F33*H33</f>
        <v/>
      </c>
      <c r="J33" s="9">
        <f>E33*I33</f>
        <v/>
      </c>
      <c r="K33" s="9" t="n">
        <v>0</v>
      </c>
      <c r="L33" s="12" t="n">
        <v>0</v>
      </c>
      <c r="M33" s="12" t="n">
        <v>0</v>
      </c>
      <c r="N33" s="12">
        <f>IF(L33&gt;0,IFERROR(VALUE(LEFT($D33,1)),1),0)</f>
        <v/>
      </c>
      <c r="O33" s="12">
        <f>L33*N33</f>
        <v/>
      </c>
      <c r="P33" s="9">
        <f>K33*O33</f>
        <v/>
      </c>
      <c r="Q33" s="9" t="n">
        <v>0</v>
      </c>
      <c r="R33" s="12" t="n">
        <v>0</v>
      </c>
      <c r="S33" s="12" t="n">
        <v>0</v>
      </c>
      <c r="T33" s="12">
        <f>IF(R33&gt;0,IFERROR(VALUE(LEFT($D33,1)),1),0)</f>
        <v/>
      </c>
      <c r="U33" s="12">
        <f>R33*T33</f>
        <v/>
      </c>
      <c r="V33" s="9">
        <f>Q33*U33</f>
        <v/>
      </c>
      <c r="W33" s="9" t="n">
        <v>0</v>
      </c>
      <c r="X33" s="12" t="n">
        <v>0</v>
      </c>
      <c r="Y33" s="12" t="n">
        <v>0</v>
      </c>
      <c r="Z33" s="12">
        <f>IF(X33&gt;0,IFERROR(VALUE(LEFT($D33,1)),1),0)</f>
        <v/>
      </c>
      <c r="AA33" s="12">
        <f>X33*Z33</f>
        <v/>
      </c>
      <c r="AB33" s="9">
        <f>W33*AA33</f>
        <v/>
      </c>
      <c r="AC33" s="9" t="n">
        <v>0</v>
      </c>
      <c r="AD33" s="12" t="n">
        <v>0</v>
      </c>
      <c r="AE33" s="12" t="n">
        <v>0</v>
      </c>
      <c r="AF33" s="12">
        <f>IF(AD33&gt;0,IFERROR(VALUE(LEFT($D33,1)),1),0)</f>
        <v/>
      </c>
      <c r="AG33" s="12">
        <f>AD33*AF33</f>
        <v/>
      </c>
      <c r="AH33" s="9">
        <f>AC33*AG33</f>
        <v/>
      </c>
      <c r="AI33" s="9" t="n">
        <v>170</v>
      </c>
      <c r="AJ33" s="12" t="n">
        <v>2</v>
      </c>
      <c r="AK33" s="12" t="n">
        <v>1</v>
      </c>
      <c r="AL33" s="12">
        <f>IF(AJ33&gt;0,IFERROR(VALUE(LEFT($D33,1)),1),0)</f>
        <v/>
      </c>
      <c r="AM33" s="12">
        <f>AJ33*AL33</f>
        <v/>
      </c>
      <c r="AN33" s="9">
        <f>AI33*AM33</f>
        <v/>
      </c>
    </row>
    <row r="34">
      <c r="A34" s="12" t="inlineStr">
        <is>
          <t>MR</t>
        </is>
      </c>
      <c r="B34" s="12" t="inlineStr">
        <is>
          <t>MR dynam - jamy brzusznej z kontrastem</t>
        </is>
      </c>
      <c r="C34" s="12" t="inlineStr">
        <is>
          <t>MR Onkologia</t>
        </is>
      </c>
      <c r="D34" s="12" t="inlineStr">
        <is>
          <t>1 okolica anatomiczna</t>
        </is>
      </c>
      <c r="E34" s="9" t="n">
        <v>0</v>
      </c>
      <c r="F34" s="12" t="n">
        <v>0</v>
      </c>
      <c r="G34" s="12" t="n">
        <v>0</v>
      </c>
      <c r="H34" s="12">
        <f>IF(F34&gt;0,IFERROR(VALUE(LEFT($D34,1)),1),0)</f>
        <v/>
      </c>
      <c r="I34" s="12">
        <f>F34*H34</f>
        <v/>
      </c>
      <c r="J34" s="9">
        <f>E34*I34</f>
        <v/>
      </c>
      <c r="K34" s="9" t="n">
        <v>0</v>
      </c>
      <c r="L34" s="12" t="n">
        <v>0</v>
      </c>
      <c r="M34" s="12" t="n">
        <v>0</v>
      </c>
      <c r="N34" s="12">
        <f>IF(L34&gt;0,IFERROR(VALUE(LEFT($D34,1)),1),0)</f>
        <v/>
      </c>
      <c r="O34" s="12">
        <f>L34*N34</f>
        <v/>
      </c>
      <c r="P34" s="9">
        <f>K34*O34</f>
        <v/>
      </c>
      <c r="Q34" s="9" t="n">
        <v>0</v>
      </c>
      <c r="R34" s="12" t="n">
        <v>0</v>
      </c>
      <c r="S34" s="12" t="n">
        <v>0</v>
      </c>
      <c r="T34" s="12">
        <f>IF(R34&gt;0,IFERROR(VALUE(LEFT($D34,1)),1),0)</f>
        <v/>
      </c>
      <c r="U34" s="12">
        <f>R34*T34</f>
        <v/>
      </c>
      <c r="V34" s="9">
        <f>Q34*U34</f>
        <v/>
      </c>
      <c r="W34" s="9" t="n">
        <v>0</v>
      </c>
      <c r="X34" s="12" t="n">
        <v>0</v>
      </c>
      <c r="Y34" s="12" t="n">
        <v>0</v>
      </c>
      <c r="Z34" s="12">
        <f>IF(X34&gt;0,IFERROR(VALUE(LEFT($D34,1)),1),0)</f>
        <v/>
      </c>
      <c r="AA34" s="12">
        <f>X34*Z34</f>
        <v/>
      </c>
      <c r="AB34" s="9">
        <f>W34*AA34</f>
        <v/>
      </c>
      <c r="AC34" s="9" t="n">
        <v>0</v>
      </c>
      <c r="AD34" s="12" t="n">
        <v>0</v>
      </c>
      <c r="AE34" s="12" t="n">
        <v>0</v>
      </c>
      <c r="AF34" s="12">
        <f>IF(AD34&gt;0,IFERROR(VALUE(LEFT($D34,1)),1),0)</f>
        <v/>
      </c>
      <c r="AG34" s="12">
        <f>AD34*AF34</f>
        <v/>
      </c>
      <c r="AH34" s="9">
        <f>AC34*AG34</f>
        <v/>
      </c>
      <c r="AI34" s="9" t="n">
        <v>170</v>
      </c>
      <c r="AJ34" s="12" t="n">
        <v>2</v>
      </c>
      <c r="AK34" s="12" t="n">
        <v>1</v>
      </c>
      <c r="AL34" s="12">
        <f>IF(AJ34&gt;0,IFERROR(VALUE(LEFT($D34,1)),1),0)</f>
        <v/>
      </c>
      <c r="AM34" s="12">
        <f>AJ34*AL34</f>
        <v/>
      </c>
      <c r="AN34" s="9">
        <f>AI34*AM34</f>
        <v/>
      </c>
    </row>
    <row r="35">
      <c r="A35" s="12" t="inlineStr">
        <is>
          <t>MR</t>
        </is>
      </c>
      <c r="B35" s="12" t="inlineStr">
        <is>
          <t>MR dynam - miednicy z kontrastem</t>
        </is>
      </c>
      <c r="C35" s="12" t="inlineStr">
        <is>
          <t>MR Onkologia</t>
        </is>
      </c>
      <c r="D35" s="12" t="inlineStr">
        <is>
          <t>1 okolica anatomiczna</t>
        </is>
      </c>
      <c r="E35" s="9" t="n">
        <v>0</v>
      </c>
      <c r="F35" s="12" t="n">
        <v>0</v>
      </c>
      <c r="G35" s="12" t="n">
        <v>0</v>
      </c>
      <c r="H35" s="12">
        <f>IF(F35&gt;0,IFERROR(VALUE(LEFT($D35,1)),1),0)</f>
        <v/>
      </c>
      <c r="I35" s="12">
        <f>F35*H35</f>
        <v/>
      </c>
      <c r="J35" s="9">
        <f>E35*I35</f>
        <v/>
      </c>
      <c r="K35" s="9" t="n">
        <v>0</v>
      </c>
      <c r="L35" s="12" t="n">
        <v>0</v>
      </c>
      <c r="M35" s="12" t="n">
        <v>0</v>
      </c>
      <c r="N35" s="12">
        <f>IF(L35&gt;0,IFERROR(VALUE(LEFT($D35,1)),1),0)</f>
        <v/>
      </c>
      <c r="O35" s="12">
        <f>L35*N35</f>
        <v/>
      </c>
      <c r="P35" s="9">
        <f>K35*O35</f>
        <v/>
      </c>
      <c r="Q35" s="9" t="n">
        <v>0</v>
      </c>
      <c r="R35" s="12" t="n">
        <v>0</v>
      </c>
      <c r="S35" s="12" t="n">
        <v>0</v>
      </c>
      <c r="T35" s="12">
        <f>IF(R35&gt;0,IFERROR(VALUE(LEFT($D35,1)),1),0)</f>
        <v/>
      </c>
      <c r="U35" s="12">
        <f>R35*T35</f>
        <v/>
      </c>
      <c r="V35" s="9">
        <f>Q35*U35</f>
        <v/>
      </c>
      <c r="W35" s="9" t="n">
        <v>0</v>
      </c>
      <c r="X35" s="12" t="n">
        <v>0</v>
      </c>
      <c r="Y35" s="12" t="n">
        <v>0</v>
      </c>
      <c r="Z35" s="12">
        <f>IF(X35&gt;0,IFERROR(VALUE(LEFT($D35,1)),1),0)</f>
        <v/>
      </c>
      <c r="AA35" s="12">
        <f>X35*Z35</f>
        <v/>
      </c>
      <c r="AB35" s="9">
        <f>W35*AA35</f>
        <v/>
      </c>
      <c r="AC35" s="9" t="n">
        <v>0</v>
      </c>
      <c r="AD35" s="12" t="n">
        <v>0</v>
      </c>
      <c r="AE35" s="12" t="n">
        <v>0</v>
      </c>
      <c r="AF35" s="12">
        <f>IF(AD35&gt;0,IFERROR(VALUE(LEFT($D35,1)),1),0)</f>
        <v/>
      </c>
      <c r="AG35" s="12">
        <f>AD35*AF35</f>
        <v/>
      </c>
      <c r="AH35" s="9">
        <f>AC35*AG35</f>
        <v/>
      </c>
      <c r="AI35" s="9" t="n">
        <v>170</v>
      </c>
      <c r="AJ35" s="12" t="n">
        <v>2</v>
      </c>
      <c r="AK35" s="12" t="n">
        <v>1</v>
      </c>
      <c r="AL35" s="12">
        <f>IF(AJ35&gt;0,IFERROR(VALUE(LEFT($D35,1)),1),0)</f>
        <v/>
      </c>
      <c r="AM35" s="12">
        <f>AJ35*AL35</f>
        <v/>
      </c>
      <c r="AN35" s="9">
        <f>AI35*AM35</f>
        <v/>
      </c>
    </row>
    <row r="36">
      <c r="A36" s="12" t="inlineStr">
        <is>
          <t>MR</t>
        </is>
      </c>
      <c r="B36" s="12" t="inlineStr">
        <is>
          <t>MR jamy brzusznej</t>
        </is>
      </c>
      <c r="C36" s="12" t="inlineStr">
        <is>
          <t>MR Onkologia</t>
        </is>
      </c>
      <c r="D36" s="12" t="inlineStr">
        <is>
          <t>1 okolica anatomiczna</t>
        </is>
      </c>
      <c r="E36" s="9" t="n">
        <v>0</v>
      </c>
      <c r="F36" s="12" t="n">
        <v>0</v>
      </c>
      <c r="G36" s="12" t="n">
        <v>0</v>
      </c>
      <c r="H36" s="12">
        <f>IF(F36&gt;0,IFERROR(VALUE(LEFT($D36,1)),1),0)</f>
        <v/>
      </c>
      <c r="I36" s="12">
        <f>F36*H36</f>
        <v/>
      </c>
      <c r="J36" s="9">
        <f>E36*I36</f>
        <v/>
      </c>
      <c r="K36" s="9" t="n">
        <v>0</v>
      </c>
      <c r="L36" s="12" t="n">
        <v>0</v>
      </c>
      <c r="M36" s="12" t="n">
        <v>0</v>
      </c>
      <c r="N36" s="12">
        <f>IF(L36&gt;0,IFERROR(VALUE(LEFT($D36,1)),1),0)</f>
        <v/>
      </c>
      <c r="O36" s="12">
        <f>L36*N36</f>
        <v/>
      </c>
      <c r="P36" s="9">
        <f>K36*O36</f>
        <v/>
      </c>
      <c r="Q36" s="9" t="n">
        <v>0</v>
      </c>
      <c r="R36" s="12" t="n">
        <v>0</v>
      </c>
      <c r="S36" s="12" t="n">
        <v>0</v>
      </c>
      <c r="T36" s="12">
        <f>IF(R36&gt;0,IFERROR(VALUE(LEFT($D36,1)),1),0)</f>
        <v/>
      </c>
      <c r="U36" s="12">
        <f>R36*T36</f>
        <v/>
      </c>
      <c r="V36" s="9">
        <f>Q36*U36</f>
        <v/>
      </c>
      <c r="W36" s="9" t="n">
        <v>0</v>
      </c>
      <c r="X36" s="12" t="n">
        <v>0</v>
      </c>
      <c r="Y36" s="12" t="n">
        <v>0</v>
      </c>
      <c r="Z36" s="12">
        <f>IF(X36&gt;0,IFERROR(VALUE(LEFT($D36,1)),1),0)</f>
        <v/>
      </c>
      <c r="AA36" s="12">
        <f>X36*Z36</f>
        <v/>
      </c>
      <c r="AB36" s="9">
        <f>W36*AA36</f>
        <v/>
      </c>
      <c r="AC36" s="9" t="n">
        <v>0</v>
      </c>
      <c r="AD36" s="12" t="n">
        <v>0</v>
      </c>
      <c r="AE36" s="12" t="n">
        <v>0</v>
      </c>
      <c r="AF36" s="12">
        <f>IF(AD36&gt;0,IFERROR(VALUE(LEFT($D36,1)),1),0)</f>
        <v/>
      </c>
      <c r="AG36" s="12">
        <f>AD36*AF36</f>
        <v/>
      </c>
      <c r="AH36" s="9">
        <f>AC36*AG36</f>
        <v/>
      </c>
      <c r="AI36" s="9" t="n">
        <v>170</v>
      </c>
      <c r="AJ36" s="12" t="n">
        <v>1</v>
      </c>
      <c r="AK36" s="12" t="n">
        <v>0</v>
      </c>
      <c r="AL36" s="12">
        <f>IF(AJ36&gt;0,IFERROR(VALUE(LEFT($D36,1)),1),0)</f>
        <v/>
      </c>
      <c r="AM36" s="12">
        <f>AJ36*AL36</f>
        <v/>
      </c>
      <c r="AN36" s="9">
        <f>AI36*AM36</f>
        <v/>
      </c>
    </row>
    <row r="37">
      <c r="A37" s="12" t="inlineStr">
        <is>
          <t>MR</t>
        </is>
      </c>
      <c r="B37" s="12" t="inlineStr">
        <is>
          <t>MR jamy brzusznej z kontrastem</t>
        </is>
      </c>
      <c r="C37" s="12" t="inlineStr">
        <is>
          <t>MR Onkologia</t>
        </is>
      </c>
      <c r="D37" s="12" t="inlineStr">
        <is>
          <t>1 okolica anatomiczna</t>
        </is>
      </c>
      <c r="E37" s="9" t="n">
        <v>0</v>
      </c>
      <c r="F37" s="12" t="n">
        <v>0</v>
      </c>
      <c r="G37" s="12" t="n">
        <v>0</v>
      </c>
      <c r="H37" s="12">
        <f>IF(F37&gt;0,IFERROR(VALUE(LEFT($D37,1)),1),0)</f>
        <v/>
      </c>
      <c r="I37" s="12">
        <f>F37*H37</f>
        <v/>
      </c>
      <c r="J37" s="9">
        <f>E37*I37</f>
        <v/>
      </c>
      <c r="K37" s="9" t="n">
        <v>0</v>
      </c>
      <c r="L37" s="12" t="n">
        <v>0</v>
      </c>
      <c r="M37" s="12" t="n">
        <v>0</v>
      </c>
      <c r="N37" s="12">
        <f>IF(L37&gt;0,IFERROR(VALUE(LEFT($D37,1)),1),0)</f>
        <v/>
      </c>
      <c r="O37" s="12">
        <f>L37*N37</f>
        <v/>
      </c>
      <c r="P37" s="9">
        <f>K37*O37</f>
        <v/>
      </c>
      <c r="Q37" s="9" t="n">
        <v>0</v>
      </c>
      <c r="R37" s="12" t="n">
        <v>0</v>
      </c>
      <c r="S37" s="12" t="n">
        <v>0</v>
      </c>
      <c r="T37" s="12">
        <f>IF(R37&gt;0,IFERROR(VALUE(LEFT($D37,1)),1),0)</f>
        <v/>
      </c>
      <c r="U37" s="12">
        <f>R37*T37</f>
        <v/>
      </c>
      <c r="V37" s="9">
        <f>Q37*U37</f>
        <v/>
      </c>
      <c r="W37" s="9" t="n">
        <v>0</v>
      </c>
      <c r="X37" s="12" t="n">
        <v>0</v>
      </c>
      <c r="Y37" s="12" t="n">
        <v>0</v>
      </c>
      <c r="Z37" s="12">
        <f>IF(X37&gt;0,IFERROR(VALUE(LEFT($D37,1)),1),0)</f>
        <v/>
      </c>
      <c r="AA37" s="12">
        <f>X37*Z37</f>
        <v/>
      </c>
      <c r="AB37" s="9">
        <f>W37*AA37</f>
        <v/>
      </c>
      <c r="AC37" s="9" t="n">
        <v>0</v>
      </c>
      <c r="AD37" s="12" t="n">
        <v>0</v>
      </c>
      <c r="AE37" s="12" t="n">
        <v>0</v>
      </c>
      <c r="AF37" s="12">
        <f>IF(AD37&gt;0,IFERROR(VALUE(LEFT($D37,1)),1),0)</f>
        <v/>
      </c>
      <c r="AG37" s="12">
        <f>AD37*AF37</f>
        <v/>
      </c>
      <c r="AH37" s="9">
        <f>AC37*AG37</f>
        <v/>
      </c>
      <c r="AI37" s="9" t="n">
        <v>170</v>
      </c>
      <c r="AJ37" s="12" t="n">
        <v>2</v>
      </c>
      <c r="AK37" s="12" t="n">
        <v>2</v>
      </c>
      <c r="AL37" s="12">
        <f>IF(AJ37&gt;0,IFERROR(VALUE(LEFT($D37,1)),1),0)</f>
        <v/>
      </c>
      <c r="AM37" s="12">
        <f>AJ37*AL37</f>
        <v/>
      </c>
      <c r="AN37" s="9">
        <f>AI37*AM37</f>
        <v/>
      </c>
    </row>
    <row r="38">
      <c r="A38" s="12" t="inlineStr">
        <is>
          <t>MR</t>
        </is>
      </c>
      <c r="B38" s="12" t="inlineStr">
        <is>
          <t>MR miednicy z kontrastem</t>
        </is>
      </c>
      <c r="C38" s="12" t="inlineStr">
        <is>
          <t>MR Onkologia</t>
        </is>
      </c>
      <c r="D38" s="12" t="inlineStr">
        <is>
          <t>1 okolica anatomiczna</t>
        </is>
      </c>
      <c r="E38" s="9" t="n">
        <v>0</v>
      </c>
      <c r="F38" s="12" t="n">
        <v>0</v>
      </c>
      <c r="G38" s="12" t="n">
        <v>0</v>
      </c>
      <c r="H38" s="12">
        <f>IF(F38&gt;0,IFERROR(VALUE(LEFT($D38,1)),1),0)</f>
        <v/>
      </c>
      <c r="I38" s="12">
        <f>F38*H38</f>
        <v/>
      </c>
      <c r="J38" s="9">
        <f>E38*I38</f>
        <v/>
      </c>
      <c r="K38" s="9" t="n">
        <v>0</v>
      </c>
      <c r="L38" s="12" t="n">
        <v>0</v>
      </c>
      <c r="M38" s="12" t="n">
        <v>0</v>
      </c>
      <c r="N38" s="12">
        <f>IF(L38&gt;0,IFERROR(VALUE(LEFT($D38,1)),1),0)</f>
        <v/>
      </c>
      <c r="O38" s="12">
        <f>L38*N38</f>
        <v/>
      </c>
      <c r="P38" s="9">
        <f>K38*O38</f>
        <v/>
      </c>
      <c r="Q38" s="9" t="n">
        <v>0</v>
      </c>
      <c r="R38" s="12" t="n">
        <v>0</v>
      </c>
      <c r="S38" s="12" t="n">
        <v>0</v>
      </c>
      <c r="T38" s="12">
        <f>IF(R38&gt;0,IFERROR(VALUE(LEFT($D38,1)),1),0)</f>
        <v/>
      </c>
      <c r="U38" s="12">
        <f>R38*T38</f>
        <v/>
      </c>
      <c r="V38" s="9">
        <f>Q38*U38</f>
        <v/>
      </c>
      <c r="W38" s="9" t="n">
        <v>0</v>
      </c>
      <c r="X38" s="12" t="n">
        <v>0</v>
      </c>
      <c r="Y38" s="12" t="n">
        <v>0</v>
      </c>
      <c r="Z38" s="12">
        <f>IF(X38&gt;0,IFERROR(VALUE(LEFT($D38,1)),1),0)</f>
        <v/>
      </c>
      <c r="AA38" s="12">
        <f>X38*Z38</f>
        <v/>
      </c>
      <c r="AB38" s="9">
        <f>W38*AA38</f>
        <v/>
      </c>
      <c r="AC38" s="9" t="n">
        <v>0</v>
      </c>
      <c r="AD38" s="12" t="n">
        <v>0</v>
      </c>
      <c r="AE38" s="12" t="n">
        <v>0</v>
      </c>
      <c r="AF38" s="12">
        <f>IF(AD38&gt;0,IFERROR(VALUE(LEFT($D38,1)),1),0)</f>
        <v/>
      </c>
      <c r="AG38" s="12">
        <f>AD38*AF38</f>
        <v/>
      </c>
      <c r="AH38" s="9">
        <f>AC38*AG38</f>
        <v/>
      </c>
      <c r="AI38" s="9" t="n">
        <v>170</v>
      </c>
      <c r="AJ38" s="12" t="n">
        <v>10</v>
      </c>
      <c r="AK38" s="12" t="n">
        <v>1</v>
      </c>
      <c r="AL38" s="12">
        <f>IF(AJ38&gt;0,IFERROR(VALUE(LEFT($D38,1)),1),0)</f>
        <v/>
      </c>
      <c r="AM38" s="12">
        <f>AJ38*AL38</f>
        <v/>
      </c>
      <c r="AN38" s="9">
        <f>AI38*AM38</f>
        <v/>
      </c>
    </row>
    <row r="39">
      <c r="A39" s="12" t="inlineStr">
        <is>
          <t>MR</t>
        </is>
      </c>
      <c r="B39" s="12" t="inlineStr">
        <is>
          <t>MR miednicy z kontrastem (onko.)</t>
        </is>
      </c>
      <c r="C39" s="12" t="inlineStr">
        <is>
          <t>MR Onkologia</t>
        </is>
      </c>
      <c r="D39" s="12" t="inlineStr">
        <is>
          <t>1 okolica anatomiczna</t>
        </is>
      </c>
      <c r="E39" s="9" t="n">
        <v>0</v>
      </c>
      <c r="F39" s="12" t="n">
        <v>0</v>
      </c>
      <c r="G39" s="12" t="n">
        <v>0</v>
      </c>
      <c r="H39" s="12">
        <f>IF(F39&gt;0,IFERROR(VALUE(LEFT($D39,1)),1),0)</f>
        <v/>
      </c>
      <c r="I39" s="12">
        <f>F39*H39</f>
        <v/>
      </c>
      <c r="J39" s="9">
        <f>E39*I39</f>
        <v/>
      </c>
      <c r="K39" s="9" t="n">
        <v>0</v>
      </c>
      <c r="L39" s="12" t="n">
        <v>0</v>
      </c>
      <c r="M39" s="12" t="n">
        <v>0</v>
      </c>
      <c r="N39" s="12">
        <f>IF(L39&gt;0,IFERROR(VALUE(LEFT($D39,1)),1),0)</f>
        <v/>
      </c>
      <c r="O39" s="12">
        <f>L39*N39</f>
        <v/>
      </c>
      <c r="P39" s="9">
        <f>K39*O39</f>
        <v/>
      </c>
      <c r="Q39" s="9" t="n">
        <v>0</v>
      </c>
      <c r="R39" s="12" t="n">
        <v>0</v>
      </c>
      <c r="S39" s="12" t="n">
        <v>0</v>
      </c>
      <c r="T39" s="12">
        <f>IF(R39&gt;0,IFERROR(VALUE(LEFT($D39,1)),1),0)</f>
        <v/>
      </c>
      <c r="U39" s="12">
        <f>R39*T39</f>
        <v/>
      </c>
      <c r="V39" s="9">
        <f>Q39*U39</f>
        <v/>
      </c>
      <c r="W39" s="9" t="n">
        <v>0</v>
      </c>
      <c r="X39" s="12" t="n">
        <v>0</v>
      </c>
      <c r="Y39" s="12" t="n">
        <v>0</v>
      </c>
      <c r="Z39" s="12">
        <f>IF(X39&gt;0,IFERROR(VALUE(LEFT($D39,1)),1),0)</f>
        <v/>
      </c>
      <c r="AA39" s="12">
        <f>X39*Z39</f>
        <v/>
      </c>
      <c r="AB39" s="9">
        <f>W39*AA39</f>
        <v/>
      </c>
      <c r="AC39" s="9" t="n">
        <v>0</v>
      </c>
      <c r="AD39" s="12" t="n">
        <v>0</v>
      </c>
      <c r="AE39" s="12" t="n">
        <v>0</v>
      </c>
      <c r="AF39" s="12">
        <f>IF(AD39&gt;0,IFERROR(VALUE(LEFT($D39,1)),1),0)</f>
        <v/>
      </c>
      <c r="AG39" s="12">
        <f>AD39*AF39</f>
        <v/>
      </c>
      <c r="AH39" s="9">
        <f>AC39*AG39</f>
        <v/>
      </c>
      <c r="AI39" s="9" t="n">
        <v>170</v>
      </c>
      <c r="AJ39" s="12" t="n">
        <v>1</v>
      </c>
      <c r="AK39" s="12" t="n">
        <v>1</v>
      </c>
      <c r="AL39" s="12">
        <f>IF(AJ39&gt;0,IFERROR(VALUE(LEFT($D39,1)),1),0)</f>
        <v/>
      </c>
      <c r="AM39" s="12">
        <f>AJ39*AL39</f>
        <v/>
      </c>
      <c r="AN39" s="9">
        <f>AI39*AM39</f>
        <v/>
      </c>
    </row>
    <row r="40">
      <c r="A40" s="12" t="inlineStr">
        <is>
          <t>MR</t>
        </is>
      </c>
      <c r="B40" s="12" t="inlineStr">
        <is>
          <t>NFZ.MR JAMY BRZUSZNEJ - WIELOFAZOWE</t>
        </is>
      </c>
      <c r="C40" s="12" t="inlineStr">
        <is>
          <t>MR Onkologia</t>
        </is>
      </c>
      <c r="D40" s="12" t="inlineStr">
        <is>
          <t>1 okolica anatomiczna</t>
        </is>
      </c>
      <c r="E40" s="9" t="n">
        <v>0</v>
      </c>
      <c r="F40" s="12" t="n">
        <v>0</v>
      </c>
      <c r="G40" s="12" t="n">
        <v>0</v>
      </c>
      <c r="H40" s="12">
        <f>IF(F40&gt;0,IFERROR(VALUE(LEFT($D40,1)),1),0)</f>
        <v/>
      </c>
      <c r="I40" s="12">
        <f>F40*H40</f>
        <v/>
      </c>
      <c r="J40" s="9">
        <f>E40*I40</f>
        <v/>
      </c>
      <c r="K40" s="9" t="n">
        <v>0</v>
      </c>
      <c r="L40" s="12" t="n">
        <v>0</v>
      </c>
      <c r="M40" s="12" t="n">
        <v>0</v>
      </c>
      <c r="N40" s="12">
        <f>IF(L40&gt;0,IFERROR(VALUE(LEFT($D40,1)),1),0)</f>
        <v/>
      </c>
      <c r="O40" s="12">
        <f>L40*N40</f>
        <v/>
      </c>
      <c r="P40" s="9">
        <f>K40*O40</f>
        <v/>
      </c>
      <c r="Q40" s="9" t="n">
        <v>0</v>
      </c>
      <c r="R40" s="12" t="n">
        <v>0</v>
      </c>
      <c r="S40" s="12" t="n">
        <v>0</v>
      </c>
      <c r="T40" s="12">
        <f>IF(R40&gt;0,IFERROR(VALUE(LEFT($D40,1)),1),0)</f>
        <v/>
      </c>
      <c r="U40" s="12">
        <f>R40*T40</f>
        <v/>
      </c>
      <c r="V40" s="9">
        <f>Q40*U40</f>
        <v/>
      </c>
      <c r="W40" s="9" t="n">
        <v>0</v>
      </c>
      <c r="X40" s="12" t="n">
        <v>0</v>
      </c>
      <c r="Y40" s="12" t="n">
        <v>0</v>
      </c>
      <c r="Z40" s="12">
        <f>IF(X40&gt;0,IFERROR(VALUE(LEFT($D40,1)),1),0)</f>
        <v/>
      </c>
      <c r="AA40" s="12">
        <f>X40*Z40</f>
        <v/>
      </c>
      <c r="AB40" s="9">
        <f>W40*AA40</f>
        <v/>
      </c>
      <c r="AC40" s="9" t="n">
        <v>0</v>
      </c>
      <c r="AD40" s="12" t="n">
        <v>0</v>
      </c>
      <c r="AE40" s="12" t="n">
        <v>0</v>
      </c>
      <c r="AF40" s="12">
        <f>IF(AD40&gt;0,IFERROR(VALUE(LEFT($D40,1)),1),0)</f>
        <v/>
      </c>
      <c r="AG40" s="12">
        <f>AD40*AF40</f>
        <v/>
      </c>
      <c r="AH40" s="9">
        <f>AC40*AG40</f>
        <v/>
      </c>
      <c r="AI40" s="9" t="n">
        <v>170</v>
      </c>
      <c r="AJ40" s="12" t="n">
        <v>3</v>
      </c>
      <c r="AK40" s="12" t="n">
        <v>2</v>
      </c>
      <c r="AL40" s="12">
        <f>IF(AJ40&gt;0,IFERROR(VALUE(LEFT($D40,1)),1),0)</f>
        <v/>
      </c>
      <c r="AM40" s="12">
        <f>AJ40*AL40</f>
        <v/>
      </c>
      <c r="AN40" s="9">
        <f>AI40*AM40</f>
        <v/>
      </c>
    </row>
    <row r="41">
      <c r="A41" s="12" t="inlineStr">
        <is>
          <t>MR</t>
        </is>
      </c>
      <c r="B41" s="12" t="inlineStr">
        <is>
          <t>NFZ.MR MIEDNICY MNIEJSZEJ - WIELOFAZOWE</t>
        </is>
      </c>
      <c r="C41" s="12" t="inlineStr">
        <is>
          <t>MR Onkologia</t>
        </is>
      </c>
      <c r="D41" s="12" t="inlineStr">
        <is>
          <t>1 okolica anatomiczna</t>
        </is>
      </c>
      <c r="E41" s="9" t="n">
        <v>0</v>
      </c>
      <c r="F41" s="12" t="n">
        <v>0</v>
      </c>
      <c r="G41" s="12" t="n">
        <v>0</v>
      </c>
      <c r="H41" s="12">
        <f>IF(F41&gt;0,IFERROR(VALUE(LEFT($D41,1)),1),0)</f>
        <v/>
      </c>
      <c r="I41" s="12">
        <f>F41*H41</f>
        <v/>
      </c>
      <c r="J41" s="9">
        <f>E41*I41</f>
        <v/>
      </c>
      <c r="K41" s="9" t="n">
        <v>0</v>
      </c>
      <c r="L41" s="12" t="n">
        <v>0</v>
      </c>
      <c r="M41" s="12" t="n">
        <v>0</v>
      </c>
      <c r="N41" s="12">
        <f>IF(L41&gt;0,IFERROR(VALUE(LEFT($D41,1)),1),0)</f>
        <v/>
      </c>
      <c r="O41" s="12">
        <f>L41*N41</f>
        <v/>
      </c>
      <c r="P41" s="9">
        <f>K41*O41</f>
        <v/>
      </c>
      <c r="Q41" s="9" t="n">
        <v>0</v>
      </c>
      <c r="R41" s="12" t="n">
        <v>0</v>
      </c>
      <c r="S41" s="12" t="n">
        <v>0</v>
      </c>
      <c r="T41" s="12">
        <f>IF(R41&gt;0,IFERROR(VALUE(LEFT($D41,1)),1),0)</f>
        <v/>
      </c>
      <c r="U41" s="12">
        <f>R41*T41</f>
        <v/>
      </c>
      <c r="V41" s="9">
        <f>Q41*U41</f>
        <v/>
      </c>
      <c r="W41" s="9" t="n">
        <v>0</v>
      </c>
      <c r="X41" s="12" t="n">
        <v>0</v>
      </c>
      <c r="Y41" s="12" t="n">
        <v>0</v>
      </c>
      <c r="Z41" s="12">
        <f>IF(X41&gt;0,IFERROR(VALUE(LEFT($D41,1)),1),0)</f>
        <v/>
      </c>
      <c r="AA41" s="12">
        <f>X41*Z41</f>
        <v/>
      </c>
      <c r="AB41" s="9">
        <f>W41*AA41</f>
        <v/>
      </c>
      <c r="AC41" s="9" t="n">
        <v>0</v>
      </c>
      <c r="AD41" s="12" t="n">
        <v>0</v>
      </c>
      <c r="AE41" s="12" t="n">
        <v>0</v>
      </c>
      <c r="AF41" s="12">
        <f>IF(AD41&gt;0,IFERROR(VALUE(LEFT($D41,1)),1),0)</f>
        <v/>
      </c>
      <c r="AG41" s="12">
        <f>AD41*AF41</f>
        <v/>
      </c>
      <c r="AH41" s="9">
        <f>AC41*AG41</f>
        <v/>
      </c>
      <c r="AI41" s="9" t="n">
        <v>170</v>
      </c>
      <c r="AJ41" s="12" t="n">
        <v>1</v>
      </c>
      <c r="AK41" s="12" t="n">
        <v>1</v>
      </c>
      <c r="AL41" s="12">
        <f>IF(AJ41&gt;0,IFERROR(VALUE(LEFT($D41,1)),1),0)</f>
        <v/>
      </c>
      <c r="AM41" s="12">
        <f>AJ41*AL41</f>
        <v/>
      </c>
      <c r="AN41" s="9">
        <f>AI41*AM41</f>
        <v/>
      </c>
    </row>
    <row r="42">
      <c r="A42" s="12" t="inlineStr">
        <is>
          <t>MR</t>
        </is>
      </c>
      <c r="B42" s="12" t="inlineStr">
        <is>
          <t>NFZ.MR MIEDNICY MNIEJSZEJ - WIELOFAZOWE</t>
        </is>
      </c>
      <c r="C42" s="12" t="inlineStr">
        <is>
          <t>MR Onkologia</t>
        </is>
      </c>
      <c r="D42" s="12" t="inlineStr">
        <is>
          <t>2 okolice anatomiczne</t>
        </is>
      </c>
      <c r="E42" s="9" t="n">
        <v>0</v>
      </c>
      <c r="F42" s="12" t="n">
        <v>0</v>
      </c>
      <c r="G42" s="12" t="n">
        <v>0</v>
      </c>
      <c r="H42" s="12">
        <f>IF(F42&gt;0,IFERROR(VALUE(LEFT($D42,1)),1),0)</f>
        <v/>
      </c>
      <c r="I42" s="12">
        <f>F42*H42</f>
        <v/>
      </c>
      <c r="J42" s="9">
        <f>E42*I42</f>
        <v/>
      </c>
      <c r="K42" s="9" t="n">
        <v>0</v>
      </c>
      <c r="L42" s="12" t="n">
        <v>0</v>
      </c>
      <c r="M42" s="12" t="n">
        <v>0</v>
      </c>
      <c r="N42" s="12">
        <f>IF(L42&gt;0,IFERROR(VALUE(LEFT($D42,1)),1),0)</f>
        <v/>
      </c>
      <c r="O42" s="12">
        <f>L42*N42</f>
        <v/>
      </c>
      <c r="P42" s="9">
        <f>K42*O42</f>
        <v/>
      </c>
      <c r="Q42" s="9" t="n">
        <v>0</v>
      </c>
      <c r="R42" s="12" t="n">
        <v>0</v>
      </c>
      <c r="S42" s="12" t="n">
        <v>0</v>
      </c>
      <c r="T42" s="12">
        <f>IF(R42&gt;0,IFERROR(VALUE(LEFT($D42,1)),1),0)</f>
        <v/>
      </c>
      <c r="U42" s="12">
        <f>R42*T42</f>
        <v/>
      </c>
      <c r="V42" s="9">
        <f>Q42*U42</f>
        <v/>
      </c>
      <c r="W42" s="9" t="n">
        <v>0</v>
      </c>
      <c r="X42" s="12" t="n">
        <v>0</v>
      </c>
      <c r="Y42" s="12" t="n">
        <v>0</v>
      </c>
      <c r="Z42" s="12">
        <f>IF(X42&gt;0,IFERROR(VALUE(LEFT($D42,1)),1),0)</f>
        <v/>
      </c>
      <c r="AA42" s="12">
        <f>X42*Z42</f>
        <v/>
      </c>
      <c r="AB42" s="9">
        <f>W42*AA42</f>
        <v/>
      </c>
      <c r="AC42" s="9" t="n">
        <v>0</v>
      </c>
      <c r="AD42" s="12" t="n">
        <v>0</v>
      </c>
      <c r="AE42" s="12" t="n">
        <v>0</v>
      </c>
      <c r="AF42" s="12">
        <f>IF(AD42&gt;0,IFERROR(VALUE(LEFT($D42,1)),1),0)</f>
        <v/>
      </c>
      <c r="AG42" s="12">
        <f>AD42*AF42</f>
        <v/>
      </c>
      <c r="AH42" s="9">
        <f>AC42*AG42</f>
        <v/>
      </c>
      <c r="AI42" s="9" t="n">
        <v>170</v>
      </c>
      <c r="AJ42" s="12" t="n">
        <v>1</v>
      </c>
      <c r="AK42" s="12" t="n">
        <v>2</v>
      </c>
      <c r="AL42" s="12">
        <f>IF(AJ42&gt;0,IFERROR(VALUE(LEFT($D42,1)),1),0)</f>
        <v/>
      </c>
      <c r="AM42" s="12">
        <f>AJ42*AL42</f>
        <v/>
      </c>
      <c r="AN42" s="9">
        <f>AI42*AM42</f>
        <v/>
      </c>
    </row>
    <row r="43">
      <c r="A43" s="12" t="inlineStr">
        <is>
          <t>MR</t>
        </is>
      </c>
      <c r="B43" s="12" t="inlineStr">
        <is>
          <t>RM miednicy, pęcherza, prostaty</t>
        </is>
      </c>
      <c r="C43" s="12" t="inlineStr">
        <is>
          <t>MR Onkologia</t>
        </is>
      </c>
      <c r="D43" s="12" t="inlineStr">
        <is>
          <t>3 okolice anatomiczne</t>
        </is>
      </c>
      <c r="E43" s="9" t="n">
        <v>0</v>
      </c>
      <c r="F43" s="12" t="n">
        <v>0</v>
      </c>
      <c r="G43" s="12" t="n">
        <v>0</v>
      </c>
      <c r="H43" s="12">
        <f>IF(F43&gt;0,IFERROR(VALUE(LEFT($D43,1)),1),0)</f>
        <v/>
      </c>
      <c r="I43" s="12">
        <f>F43*H43</f>
        <v/>
      </c>
      <c r="J43" s="9">
        <f>E43*I43</f>
        <v/>
      </c>
      <c r="K43" s="9" t="n">
        <v>0</v>
      </c>
      <c r="L43" s="12" t="n">
        <v>0</v>
      </c>
      <c r="M43" s="12" t="n">
        <v>0</v>
      </c>
      <c r="N43" s="12">
        <f>IF(L43&gt;0,IFERROR(VALUE(LEFT($D43,1)),1),0)</f>
        <v/>
      </c>
      <c r="O43" s="12">
        <f>L43*N43</f>
        <v/>
      </c>
      <c r="P43" s="9">
        <f>K43*O43</f>
        <v/>
      </c>
      <c r="Q43" s="9" t="n">
        <v>0</v>
      </c>
      <c r="R43" s="12" t="n">
        <v>0</v>
      </c>
      <c r="S43" s="12" t="n">
        <v>0</v>
      </c>
      <c r="T43" s="12">
        <f>IF(R43&gt;0,IFERROR(VALUE(LEFT($D43,1)),1),0)</f>
        <v/>
      </c>
      <c r="U43" s="12">
        <f>R43*T43</f>
        <v/>
      </c>
      <c r="V43" s="9">
        <f>Q43*U43</f>
        <v/>
      </c>
      <c r="W43" s="9" t="n">
        <v>0</v>
      </c>
      <c r="X43" s="12" t="n">
        <v>0</v>
      </c>
      <c r="Y43" s="12" t="n">
        <v>0</v>
      </c>
      <c r="Z43" s="12">
        <f>IF(X43&gt;0,IFERROR(VALUE(LEFT($D43,1)),1),0)</f>
        <v/>
      </c>
      <c r="AA43" s="12">
        <f>X43*Z43</f>
        <v/>
      </c>
      <c r="AB43" s="9">
        <f>W43*AA43</f>
        <v/>
      </c>
      <c r="AC43" s="9" t="n">
        <v>0</v>
      </c>
      <c r="AD43" s="12" t="n">
        <v>0</v>
      </c>
      <c r="AE43" s="12" t="n">
        <v>0</v>
      </c>
      <c r="AF43" s="12">
        <f>IF(AD43&gt;0,IFERROR(VALUE(LEFT($D43,1)),1),0)</f>
        <v/>
      </c>
      <c r="AG43" s="12">
        <f>AD43*AF43</f>
        <v/>
      </c>
      <c r="AH43" s="9">
        <f>AC43*AG43</f>
        <v/>
      </c>
      <c r="AI43" s="9" t="n">
        <v>170</v>
      </c>
      <c r="AJ43" s="12" t="n">
        <v>2</v>
      </c>
      <c r="AK43" s="12" t="n">
        <v>3</v>
      </c>
      <c r="AL43" s="12">
        <f>IF(AJ43&gt;0,IFERROR(VALUE(LEFT($D43,1)),1),0)</f>
        <v/>
      </c>
      <c r="AM43" s="12">
        <f>AJ43*AL43</f>
        <v/>
      </c>
      <c r="AN43" s="9">
        <f>AI43*AM43</f>
        <v/>
      </c>
    </row>
    <row r="44">
      <c r="A44" s="13" t="inlineStr">
        <is>
          <t>MR</t>
        </is>
      </c>
      <c r="B44" s="13" t="inlineStr">
        <is>
          <t>Rezonans Magnetyczny głowy protokół udar</t>
        </is>
      </c>
      <c r="C44" s="13" t="inlineStr">
        <is>
          <t>MR Ortopedia</t>
        </is>
      </c>
      <c r="D44" s="13" t="inlineStr">
        <is>
          <t>1 okolica anatomiczna</t>
        </is>
      </c>
      <c r="E44" s="9" t="n">
        <v>0</v>
      </c>
      <c r="F44" s="13" t="n">
        <v>0</v>
      </c>
      <c r="G44" s="13" t="n">
        <v>0</v>
      </c>
      <c r="H44" s="13">
        <f>IF(F44&gt;0,IFERROR(VALUE(LEFT($D44,1)),1),0)</f>
        <v/>
      </c>
      <c r="I44" s="13">
        <f>F44*H44</f>
        <v/>
      </c>
      <c r="J44" s="9">
        <f>E44*I44</f>
        <v/>
      </c>
      <c r="K44" s="9" t="n">
        <v>0</v>
      </c>
      <c r="L44" s="13" t="n">
        <v>0</v>
      </c>
      <c r="M44" s="13" t="n">
        <v>0</v>
      </c>
      <c r="N44" s="13">
        <f>IF(L44&gt;0,IFERROR(VALUE(LEFT($D44,1)),1),0)</f>
        <v/>
      </c>
      <c r="O44" s="13">
        <f>L44*N44</f>
        <v/>
      </c>
      <c r="P44" s="9">
        <f>K44*O44</f>
        <v/>
      </c>
      <c r="Q44" s="9" t="n">
        <v>0</v>
      </c>
      <c r="R44" s="13" t="n">
        <v>0</v>
      </c>
      <c r="S44" s="13" t="n">
        <v>0</v>
      </c>
      <c r="T44" s="13">
        <f>IF(R44&gt;0,IFERROR(VALUE(LEFT($D44,1)),1),0)</f>
        <v/>
      </c>
      <c r="U44" s="13">
        <f>R44*T44</f>
        <v/>
      </c>
      <c r="V44" s="9">
        <f>Q44*U44</f>
        <v/>
      </c>
      <c r="W44" s="9" t="n">
        <v>115</v>
      </c>
      <c r="X44" s="13" t="n">
        <v>1</v>
      </c>
      <c r="Y44" s="13" t="n">
        <v>0</v>
      </c>
      <c r="Z44" s="13">
        <f>IF(X44&gt;0,IFERROR(VALUE(LEFT($D44,1)),1),0)</f>
        <v/>
      </c>
      <c r="AA44" s="13">
        <f>X44*Z44</f>
        <v/>
      </c>
      <c r="AB44" s="9">
        <f>W44*AA44</f>
        <v/>
      </c>
      <c r="AC44" s="9" t="n">
        <v>0</v>
      </c>
      <c r="AD44" s="13" t="n">
        <v>0</v>
      </c>
      <c r="AE44" s="13" t="n">
        <v>0</v>
      </c>
      <c r="AF44" s="13">
        <f>IF(AD44&gt;0,IFERROR(VALUE(LEFT($D44,1)),1),0)</f>
        <v/>
      </c>
      <c r="AG44" s="13">
        <f>AD44*AF44</f>
        <v/>
      </c>
      <c r="AH44" s="9">
        <f>AC44*AG44</f>
        <v/>
      </c>
      <c r="AI44" s="9" t="n">
        <v>0</v>
      </c>
      <c r="AJ44" s="13" t="n">
        <v>0</v>
      </c>
      <c r="AK44" s="13" t="n">
        <v>0</v>
      </c>
      <c r="AL44" s="13">
        <f>IF(AJ44&gt;0,IFERROR(VALUE(LEFT($D44,1)),1),0)</f>
        <v/>
      </c>
      <c r="AM44" s="13">
        <f>AJ44*AL44</f>
        <v/>
      </c>
      <c r="AN44" s="9">
        <f>AI44*AM44</f>
        <v/>
      </c>
    </row>
    <row r="45">
      <c r="A45" s="14" t="inlineStr">
        <is>
          <t>SUMA MR</t>
        </is>
      </c>
      <c r="B45" s="14" t="n"/>
      <c r="C45" s="14" t="n"/>
      <c r="D45" s="14" t="n"/>
      <c r="E45" s="14" t="n"/>
      <c r="F45" s="14">
        <f>AGGREGATE(9,6,F2:F44)</f>
        <v/>
      </c>
      <c r="G45" s="14">
        <f>AGGREGATE(9,6,G2:G44)</f>
        <v/>
      </c>
      <c r="H45" s="14" t="n"/>
      <c r="I45" s="14">
        <f>AGGREGATE(9,6,I2:I44)</f>
        <v/>
      </c>
      <c r="J45" s="15">
        <f>AGGREGATE(9,6,J2:J44)</f>
        <v/>
      </c>
      <c r="K45" s="14" t="n"/>
      <c r="L45" s="14">
        <f>AGGREGATE(9,6,L2:L44)</f>
        <v/>
      </c>
      <c r="M45" s="14">
        <f>AGGREGATE(9,6,M2:M44)</f>
        <v/>
      </c>
      <c r="N45" s="14" t="n"/>
      <c r="O45" s="14">
        <f>AGGREGATE(9,6,O2:O44)</f>
        <v/>
      </c>
      <c r="P45" s="15">
        <f>AGGREGATE(9,6,P2:P44)</f>
        <v/>
      </c>
      <c r="Q45" s="14" t="n"/>
      <c r="R45" s="14">
        <f>AGGREGATE(9,6,R2:R44)</f>
        <v/>
      </c>
      <c r="S45" s="14">
        <f>AGGREGATE(9,6,S2:S44)</f>
        <v/>
      </c>
      <c r="T45" s="14" t="n"/>
      <c r="U45" s="14">
        <f>AGGREGATE(9,6,U2:U44)</f>
        <v/>
      </c>
      <c r="V45" s="15">
        <f>AGGREGATE(9,6,V2:V44)</f>
        <v/>
      </c>
      <c r="W45" s="14" t="n"/>
      <c r="X45" s="14">
        <f>AGGREGATE(9,6,X2:X44)</f>
        <v/>
      </c>
      <c r="Y45" s="14">
        <f>AGGREGATE(9,6,Y2:Y44)</f>
        <v/>
      </c>
      <c r="Z45" s="14" t="n"/>
      <c r="AA45" s="14">
        <f>AGGREGATE(9,6,AA2:AA44)</f>
        <v/>
      </c>
      <c r="AB45" s="15">
        <f>AGGREGATE(9,6,AB2:AB44)</f>
        <v/>
      </c>
      <c r="AC45" s="14" t="n"/>
      <c r="AD45" s="14">
        <f>AGGREGATE(9,6,AD2:AD44)</f>
        <v/>
      </c>
      <c r="AE45" s="14">
        <f>AGGREGATE(9,6,AE2:AE44)</f>
        <v/>
      </c>
      <c r="AF45" s="14" t="n"/>
      <c r="AG45" s="14">
        <f>AGGREGATE(9,6,AG2:AG44)</f>
        <v/>
      </c>
      <c r="AH45" s="15">
        <f>AGGREGATE(9,6,AH2:AH44)</f>
        <v/>
      </c>
      <c r="AI45" s="14" t="n"/>
      <c r="AJ45" s="14">
        <f>AGGREGATE(9,6,AJ2:AJ44)</f>
        <v/>
      </c>
      <c r="AK45" s="14">
        <f>AGGREGATE(9,6,AK2:AK44)</f>
        <v/>
      </c>
      <c r="AL45" s="14" t="n"/>
      <c r="AM45" s="14">
        <f>AGGREGATE(9,6,AM2:AM44)</f>
        <v/>
      </c>
      <c r="AN45" s="15">
        <f>AGGREGATE(9,6,AN2:AN44)</f>
        <v/>
      </c>
    </row>
    <row r="46"/>
    <row r="47">
      <c r="A47" t="inlineStr">
        <is>
          <t>Modalność</t>
        </is>
      </c>
      <c r="B47" t="inlineStr">
        <is>
          <t>Procedura</t>
        </is>
      </c>
      <c r="C47" t="inlineStr">
        <is>
          <t>Rodzaj procedury rozlicz.</t>
        </is>
      </c>
      <c r="D47" t="inlineStr">
        <is>
          <t>Procedura rozlicz.</t>
        </is>
      </c>
      <c r="E47" s="2" t="inlineStr">
        <is>
          <t>CITO NA RATUNEK Stawka</t>
        </is>
      </c>
      <c r="F47" s="2" t="inlineStr">
        <is>
          <t>CITO NA RATUNEK #</t>
        </is>
      </c>
      <c r="G47" s="2" t="inlineStr">
        <is>
          <t>CITO NA RATUNEK w tym porównawcze</t>
        </is>
      </c>
      <c r="H47" s="2" t="inlineStr">
        <is>
          <t>CITO NA RATUNEK Mnożnik</t>
        </is>
      </c>
      <c r="I47" s="2" t="inlineStr">
        <is>
          <t>CITO NA RATUNEK Ilość</t>
        </is>
      </c>
      <c r="J47" s="2" t="inlineStr">
        <is>
          <t>CITO NA RATUNEK Wartość</t>
        </is>
      </c>
      <c r="K47" s="3" t="inlineStr">
        <is>
          <t>CITO-UDAR Stawka</t>
        </is>
      </c>
      <c r="L47" s="3" t="inlineStr">
        <is>
          <t>CITO-UDAR #</t>
        </is>
      </c>
      <c r="M47" s="3" t="inlineStr">
        <is>
          <t>CITO-UDAR w tym porównawcze</t>
        </is>
      </c>
      <c r="N47" s="3" t="inlineStr">
        <is>
          <t>CITO-UDAR Mnożnik</t>
        </is>
      </c>
      <c r="O47" s="3" t="inlineStr">
        <is>
          <t>CITO-UDAR Ilość</t>
        </is>
      </c>
      <c r="P47" s="3" t="inlineStr">
        <is>
          <t>CITO-UDAR Wartość</t>
        </is>
      </c>
      <c r="Q47" s="4" t="inlineStr">
        <is>
          <t>Bardzo pilny Stawka</t>
        </is>
      </c>
      <c r="R47" s="4" t="inlineStr">
        <is>
          <t>Bardzo pilny #</t>
        </is>
      </c>
      <c r="S47" s="4" t="inlineStr">
        <is>
          <t>Bardzo pilny w tym porównawcze</t>
        </is>
      </c>
      <c r="T47" s="4" t="inlineStr">
        <is>
          <t>Bardzo pilny Mnożnik</t>
        </is>
      </c>
      <c r="U47" s="4" t="inlineStr">
        <is>
          <t>Bardzo pilny Ilość</t>
        </is>
      </c>
      <c r="V47" s="4" t="inlineStr">
        <is>
          <t>Bardzo pilny Wartość</t>
        </is>
      </c>
      <c r="W47" s="5" t="inlineStr">
        <is>
          <t>CITO-CITO Stawka</t>
        </is>
      </c>
      <c r="X47" s="5" t="inlineStr">
        <is>
          <t>CITO-CITO #</t>
        </is>
      </c>
      <c r="Y47" s="5" t="inlineStr">
        <is>
          <t>CITO-CITO w tym porównawcze</t>
        </is>
      </c>
      <c r="Z47" s="5" t="inlineStr">
        <is>
          <t>CITO-CITO Mnożnik</t>
        </is>
      </c>
      <c r="AA47" s="5" t="inlineStr">
        <is>
          <t>CITO-CITO Ilość</t>
        </is>
      </c>
      <c r="AB47" s="5" t="inlineStr">
        <is>
          <t>CITO-CITO Wartość</t>
        </is>
      </c>
      <c r="AC47" s="6" t="inlineStr">
        <is>
          <t>Pilny Stawka</t>
        </is>
      </c>
      <c r="AD47" s="6" t="inlineStr">
        <is>
          <t>Pilny #</t>
        </is>
      </c>
      <c r="AE47" s="6" t="inlineStr">
        <is>
          <t>Pilny w tym porównawcze</t>
        </is>
      </c>
      <c r="AF47" s="6" t="inlineStr">
        <is>
          <t>Pilny Mnożnik</t>
        </is>
      </c>
      <c r="AG47" s="6" t="inlineStr">
        <is>
          <t>Pilny Ilość</t>
        </is>
      </c>
      <c r="AH47" s="6" t="inlineStr">
        <is>
          <t>Pilny Wartość</t>
        </is>
      </c>
      <c r="AI47" s="7" t="inlineStr">
        <is>
          <t>Planowy Stawka</t>
        </is>
      </c>
      <c r="AJ47" s="7" t="inlineStr">
        <is>
          <t>Planowy #</t>
        </is>
      </c>
      <c r="AK47" s="7" t="inlineStr">
        <is>
          <t>Planowy w tym porównawcze</t>
        </is>
      </c>
      <c r="AL47" s="7" t="inlineStr">
        <is>
          <t>Planowy Mnożnik</t>
        </is>
      </c>
      <c r="AM47" s="7" t="inlineStr">
        <is>
          <t>Planowy Ilość</t>
        </is>
      </c>
      <c r="AN47" s="7" t="inlineStr">
        <is>
          <t>Planowy Wartość</t>
        </is>
      </c>
    </row>
    <row r="48">
      <c r="A48" s="8" t="inlineStr">
        <is>
          <t>TK</t>
        </is>
      </c>
      <c r="B48" s="8" t="inlineStr">
        <is>
          <t>Angio-TK tętnic mózgowych i szyjnych</t>
        </is>
      </c>
      <c r="C48" s="8" t="inlineStr">
        <is>
          <t>TK Angiografia</t>
        </is>
      </c>
      <c r="D48" s="8" t="inlineStr">
        <is>
          <t>2 okolice anatomiczne</t>
        </is>
      </c>
      <c r="E48" s="9" t="n">
        <v>140</v>
      </c>
      <c r="F48" s="8" t="n">
        <v>1</v>
      </c>
      <c r="G48" s="8" t="n">
        <v>0</v>
      </c>
      <c r="H48" s="8">
        <f>IF(F48&gt;0,IFERROR(VALUE(LEFT($D48,1)),1),0)</f>
        <v/>
      </c>
      <c r="I48" s="8">
        <f>F48*H48</f>
        <v/>
      </c>
      <c r="J48" s="9">
        <f>E48*I48</f>
        <v/>
      </c>
      <c r="K48" s="9" t="n">
        <v>0</v>
      </c>
      <c r="L48" s="8" t="n">
        <v>0</v>
      </c>
      <c r="M48" s="8" t="n">
        <v>0</v>
      </c>
      <c r="N48" s="8">
        <f>IF(L48&gt;0,IFERROR(VALUE(LEFT($D48,1)),1),0)</f>
        <v/>
      </c>
      <c r="O48" s="8">
        <f>L48*N48</f>
        <v/>
      </c>
      <c r="P48" s="9">
        <f>K48*O48</f>
        <v/>
      </c>
      <c r="Q48" s="9" t="n">
        <v>0</v>
      </c>
      <c r="R48" s="8" t="n">
        <v>0</v>
      </c>
      <c r="S48" s="8" t="n">
        <v>0</v>
      </c>
      <c r="T48" s="8">
        <f>IF(R48&gt;0,IFERROR(VALUE(LEFT($D48,1)),1),0)</f>
        <v/>
      </c>
      <c r="U48" s="8">
        <f>R48*T48</f>
        <v/>
      </c>
      <c r="V48" s="9">
        <f>Q48*U48</f>
        <v/>
      </c>
      <c r="W48" s="9" t="n">
        <v>0</v>
      </c>
      <c r="X48" s="8" t="n">
        <v>0</v>
      </c>
      <c r="Y48" s="8" t="n">
        <v>0</v>
      </c>
      <c r="Z48" s="8">
        <f>IF(X48&gt;0,IFERROR(VALUE(LEFT($D48,1)),1),0)</f>
        <v/>
      </c>
      <c r="AA48" s="8">
        <f>X48*Z48</f>
        <v/>
      </c>
      <c r="AB48" s="9">
        <f>W48*AA48</f>
        <v/>
      </c>
      <c r="AC48" s="9" t="n">
        <v>0</v>
      </c>
      <c r="AD48" s="8" t="n">
        <v>0</v>
      </c>
      <c r="AE48" s="8" t="n">
        <v>0</v>
      </c>
      <c r="AF48" s="8">
        <f>IF(AD48&gt;0,IFERROR(VALUE(LEFT($D48,1)),1),0)</f>
        <v/>
      </c>
      <c r="AG48" s="8">
        <f>AD48*AF48</f>
        <v/>
      </c>
      <c r="AH48" s="9">
        <f>AC48*AG48</f>
        <v/>
      </c>
      <c r="AI48" s="9" t="n">
        <v>0</v>
      </c>
      <c r="AJ48" s="8" t="n">
        <v>0</v>
      </c>
      <c r="AK48" s="8" t="n">
        <v>0</v>
      </c>
      <c r="AL48" s="8">
        <f>IF(AJ48&gt;0,IFERROR(VALUE(LEFT($D48,1)),1),0)</f>
        <v/>
      </c>
      <c r="AM48" s="8">
        <f>AJ48*AL48</f>
        <v/>
      </c>
      <c r="AN48" s="9">
        <f>AI48*AM48</f>
        <v/>
      </c>
    </row>
    <row r="49">
      <c r="A49" s="8" t="inlineStr">
        <is>
          <t>TK</t>
        </is>
      </c>
      <c r="B49" s="8" t="inlineStr">
        <is>
          <t>TK angiografia klatki piersiowej</t>
        </is>
      </c>
      <c r="C49" s="8" t="inlineStr">
        <is>
          <t>TK Angiografia</t>
        </is>
      </c>
      <c r="D49" s="8" t="inlineStr">
        <is>
          <t>1 okolica anatomiczna</t>
        </is>
      </c>
      <c r="E49" s="9" t="n">
        <v>140</v>
      </c>
      <c r="F49" s="8" t="n">
        <v>1</v>
      </c>
      <c r="G49" s="8" t="n">
        <v>0</v>
      </c>
      <c r="H49" s="8">
        <f>IF(F49&gt;0,IFERROR(VALUE(LEFT($D49,1)),1),0)</f>
        <v/>
      </c>
      <c r="I49" s="8">
        <f>F49*H49</f>
        <v/>
      </c>
      <c r="J49" s="9">
        <f>E49*I49</f>
        <v/>
      </c>
      <c r="K49" s="9" t="n">
        <v>0</v>
      </c>
      <c r="L49" s="8" t="n">
        <v>0</v>
      </c>
      <c r="M49" s="8" t="n">
        <v>0</v>
      </c>
      <c r="N49" s="8">
        <f>IF(L49&gt;0,IFERROR(VALUE(LEFT($D49,1)),1),0)</f>
        <v/>
      </c>
      <c r="O49" s="8">
        <f>L49*N49</f>
        <v/>
      </c>
      <c r="P49" s="9">
        <f>K49*O49</f>
        <v/>
      </c>
      <c r="Q49" s="9" t="n">
        <v>0</v>
      </c>
      <c r="R49" s="8" t="n">
        <v>0</v>
      </c>
      <c r="S49" s="8" t="n">
        <v>0</v>
      </c>
      <c r="T49" s="8">
        <f>IF(R49&gt;0,IFERROR(VALUE(LEFT($D49,1)),1),0)</f>
        <v/>
      </c>
      <c r="U49" s="8">
        <f>R49*T49</f>
        <v/>
      </c>
      <c r="V49" s="9">
        <f>Q49*U49</f>
        <v/>
      </c>
      <c r="W49" s="9" t="n">
        <v>0</v>
      </c>
      <c r="X49" s="8" t="n">
        <v>0</v>
      </c>
      <c r="Y49" s="8" t="n">
        <v>0</v>
      </c>
      <c r="Z49" s="8">
        <f>IF(X49&gt;0,IFERROR(VALUE(LEFT($D49,1)),1),0)</f>
        <v/>
      </c>
      <c r="AA49" s="8">
        <f>X49*Z49</f>
        <v/>
      </c>
      <c r="AB49" s="9">
        <f>W49*AA49</f>
        <v/>
      </c>
      <c r="AC49" s="9" t="n">
        <v>0</v>
      </c>
      <c r="AD49" s="8" t="n">
        <v>0</v>
      </c>
      <c r="AE49" s="8" t="n">
        <v>0</v>
      </c>
      <c r="AF49" s="8">
        <f>IF(AD49&gt;0,IFERROR(VALUE(LEFT($D49,1)),1),0)</f>
        <v/>
      </c>
      <c r="AG49" s="8">
        <f>AD49*AF49</f>
        <v/>
      </c>
      <c r="AH49" s="9">
        <f>AC49*AG49</f>
        <v/>
      </c>
      <c r="AI49" s="9" t="n">
        <v>0</v>
      </c>
      <c r="AJ49" s="8" t="n">
        <v>0</v>
      </c>
      <c r="AK49" s="8" t="n">
        <v>0</v>
      </c>
      <c r="AL49" s="8">
        <f>IF(AJ49&gt;0,IFERROR(VALUE(LEFT($D49,1)),1),0)</f>
        <v/>
      </c>
      <c r="AM49" s="8">
        <f>AJ49*AL49</f>
        <v/>
      </c>
      <c r="AN49" s="9">
        <f>AI49*AM49</f>
        <v/>
      </c>
    </row>
    <row r="50">
      <c r="A50" s="8" t="inlineStr">
        <is>
          <t>TK</t>
        </is>
      </c>
      <c r="B50" s="8" t="inlineStr">
        <is>
          <t>Veno-TK żył mózgowych</t>
        </is>
      </c>
      <c r="C50" s="8" t="inlineStr">
        <is>
          <t>TK Angiografia</t>
        </is>
      </c>
      <c r="D50" s="8" t="inlineStr">
        <is>
          <t>1 okolica anatomiczna</t>
        </is>
      </c>
      <c r="E50" s="9" t="n">
        <v>140</v>
      </c>
      <c r="F50" s="8" t="n">
        <v>1</v>
      </c>
      <c r="G50" s="8" t="n">
        <v>0</v>
      </c>
      <c r="H50" s="8">
        <f>IF(F50&gt;0,IFERROR(VALUE(LEFT($D50,1)),1),0)</f>
        <v/>
      </c>
      <c r="I50" s="8">
        <f>F50*H50</f>
        <v/>
      </c>
      <c r="J50" s="9">
        <f>E50*I50</f>
        <v/>
      </c>
      <c r="K50" s="9" t="n">
        <v>0</v>
      </c>
      <c r="L50" s="8" t="n">
        <v>0</v>
      </c>
      <c r="M50" s="8" t="n">
        <v>0</v>
      </c>
      <c r="N50" s="8">
        <f>IF(L50&gt;0,IFERROR(VALUE(LEFT($D50,1)),1),0)</f>
        <v/>
      </c>
      <c r="O50" s="8">
        <f>L50*N50</f>
        <v/>
      </c>
      <c r="P50" s="9">
        <f>K50*O50</f>
        <v/>
      </c>
      <c r="Q50" s="9" t="n">
        <v>0</v>
      </c>
      <c r="R50" s="8" t="n">
        <v>0</v>
      </c>
      <c r="S50" s="8" t="n">
        <v>0</v>
      </c>
      <c r="T50" s="8">
        <f>IF(R50&gt;0,IFERROR(VALUE(LEFT($D50,1)),1),0)</f>
        <v/>
      </c>
      <c r="U50" s="8">
        <f>R50*T50</f>
        <v/>
      </c>
      <c r="V50" s="9">
        <f>Q50*U50</f>
        <v/>
      </c>
      <c r="W50" s="9" t="n">
        <v>0</v>
      </c>
      <c r="X50" s="8" t="n">
        <v>0</v>
      </c>
      <c r="Y50" s="8" t="n">
        <v>0</v>
      </c>
      <c r="Z50" s="8">
        <f>IF(X50&gt;0,IFERROR(VALUE(LEFT($D50,1)),1),0)</f>
        <v/>
      </c>
      <c r="AA50" s="8">
        <f>X50*Z50</f>
        <v/>
      </c>
      <c r="AB50" s="9">
        <f>W50*AA50</f>
        <v/>
      </c>
      <c r="AC50" s="9" t="n">
        <v>0</v>
      </c>
      <c r="AD50" s="8" t="n">
        <v>0</v>
      </c>
      <c r="AE50" s="8" t="n">
        <v>0</v>
      </c>
      <c r="AF50" s="8">
        <f>IF(AD50&gt;0,IFERROR(VALUE(LEFT($D50,1)),1),0)</f>
        <v/>
      </c>
      <c r="AG50" s="8">
        <f>AD50*AF50</f>
        <v/>
      </c>
      <c r="AH50" s="9">
        <f>AC50*AG50</f>
        <v/>
      </c>
      <c r="AI50" s="9" t="n">
        <v>0</v>
      </c>
      <c r="AJ50" s="8" t="n">
        <v>0</v>
      </c>
      <c r="AK50" s="8" t="n">
        <v>0</v>
      </c>
      <c r="AL50" s="8">
        <f>IF(AJ50&gt;0,IFERROR(VALUE(LEFT($D50,1)),1),0)</f>
        <v/>
      </c>
      <c r="AM50" s="8">
        <f>AJ50*AL50</f>
        <v/>
      </c>
      <c r="AN50" s="9">
        <f>AI50*AM50</f>
        <v/>
      </c>
    </row>
    <row r="51">
      <c r="A51" s="8" t="inlineStr">
        <is>
          <t>TK</t>
        </is>
      </c>
      <c r="B51" s="8" t="inlineStr">
        <is>
          <t>Angio TK - klatki piersiowej</t>
        </is>
      </c>
      <c r="C51" s="8" t="inlineStr">
        <is>
          <t>TK Angiografia</t>
        </is>
      </c>
      <c r="D51" s="8" t="inlineStr">
        <is>
          <t>3 okolice anatomiczne</t>
        </is>
      </c>
      <c r="E51" s="9" t="n">
        <v>0</v>
      </c>
      <c r="F51" s="8" t="n">
        <v>0</v>
      </c>
      <c r="G51" s="8" t="n">
        <v>0</v>
      </c>
      <c r="H51" s="8">
        <f>IF(F51&gt;0,IFERROR(VALUE(LEFT($D51,1)),1),0)</f>
        <v/>
      </c>
      <c r="I51" s="8">
        <f>F51*H51</f>
        <v/>
      </c>
      <c r="J51" s="9">
        <f>E51*I51</f>
        <v/>
      </c>
      <c r="K51" s="9" t="n">
        <v>0</v>
      </c>
      <c r="L51" s="8" t="n">
        <v>0</v>
      </c>
      <c r="M51" s="8" t="n">
        <v>0</v>
      </c>
      <c r="N51" s="8">
        <f>IF(L51&gt;0,IFERROR(VALUE(LEFT($D51,1)),1),0)</f>
        <v/>
      </c>
      <c r="O51" s="8">
        <f>L51*N51</f>
        <v/>
      </c>
      <c r="P51" s="9">
        <f>K51*O51</f>
        <v/>
      </c>
      <c r="Q51" s="9" t="n">
        <v>0</v>
      </c>
      <c r="R51" s="8" t="n">
        <v>0</v>
      </c>
      <c r="S51" s="8" t="n">
        <v>0</v>
      </c>
      <c r="T51" s="8">
        <f>IF(R51&gt;0,IFERROR(VALUE(LEFT($D51,1)),1),0)</f>
        <v/>
      </c>
      <c r="U51" s="8">
        <f>R51*T51</f>
        <v/>
      </c>
      <c r="V51" s="9">
        <f>Q51*U51</f>
        <v/>
      </c>
      <c r="W51" s="9" t="n">
        <v>140</v>
      </c>
      <c r="X51" s="8" t="n">
        <v>1</v>
      </c>
      <c r="Y51" s="8" t="n">
        <v>0</v>
      </c>
      <c r="Z51" s="8">
        <f>IF(X51&gt;0,IFERROR(VALUE(LEFT($D51,1)),1),0)</f>
        <v/>
      </c>
      <c r="AA51" s="8">
        <f>X51*Z51</f>
        <v/>
      </c>
      <c r="AB51" s="9">
        <f>W51*AA51</f>
        <v/>
      </c>
      <c r="AC51" s="9" t="n">
        <v>0</v>
      </c>
      <c r="AD51" s="8" t="n">
        <v>0</v>
      </c>
      <c r="AE51" s="8" t="n">
        <v>0</v>
      </c>
      <c r="AF51" s="8">
        <f>IF(AD51&gt;0,IFERROR(VALUE(LEFT($D51,1)),1),0)</f>
        <v/>
      </c>
      <c r="AG51" s="8">
        <f>AD51*AF51</f>
        <v/>
      </c>
      <c r="AH51" s="9">
        <f>AC51*AG51</f>
        <v/>
      </c>
      <c r="AI51" s="9" t="n">
        <v>0</v>
      </c>
      <c r="AJ51" s="8" t="n">
        <v>0</v>
      </c>
      <c r="AK51" s="8" t="n">
        <v>0</v>
      </c>
      <c r="AL51" s="8">
        <f>IF(AJ51&gt;0,IFERROR(VALUE(LEFT($D51,1)),1),0)</f>
        <v/>
      </c>
      <c r="AM51" s="8">
        <f>AJ51*AL51</f>
        <v/>
      </c>
      <c r="AN51" s="9">
        <f>AI51*AM51</f>
        <v/>
      </c>
    </row>
    <row r="52">
      <c r="A52" s="8" t="inlineStr">
        <is>
          <t>TK</t>
        </is>
      </c>
      <c r="B52" s="8" t="inlineStr">
        <is>
          <t>Angio TK - naczynia kończyn</t>
        </is>
      </c>
      <c r="C52" s="8" t="inlineStr">
        <is>
          <t>TK Angiografia</t>
        </is>
      </c>
      <c r="D52" s="8" t="inlineStr">
        <is>
          <t>2 okolice anatomiczne</t>
        </is>
      </c>
      <c r="E52" s="9" t="n">
        <v>0</v>
      </c>
      <c r="F52" s="8" t="n">
        <v>0</v>
      </c>
      <c r="G52" s="8" t="n">
        <v>0</v>
      </c>
      <c r="H52" s="8">
        <f>IF(F52&gt;0,IFERROR(VALUE(LEFT($D52,1)),1),0)</f>
        <v/>
      </c>
      <c r="I52" s="8">
        <f>F52*H52</f>
        <v/>
      </c>
      <c r="J52" s="9">
        <f>E52*I52</f>
        <v/>
      </c>
      <c r="K52" s="9" t="n">
        <v>0</v>
      </c>
      <c r="L52" s="8" t="n">
        <v>0</v>
      </c>
      <c r="M52" s="8" t="n">
        <v>0</v>
      </c>
      <c r="N52" s="8">
        <f>IF(L52&gt;0,IFERROR(VALUE(LEFT($D52,1)),1),0)</f>
        <v/>
      </c>
      <c r="O52" s="8">
        <f>L52*N52</f>
        <v/>
      </c>
      <c r="P52" s="9">
        <f>K52*O52</f>
        <v/>
      </c>
      <c r="Q52" s="9" t="n">
        <v>0</v>
      </c>
      <c r="R52" s="8" t="n">
        <v>0</v>
      </c>
      <c r="S52" s="8" t="n">
        <v>0</v>
      </c>
      <c r="T52" s="8">
        <f>IF(R52&gt;0,IFERROR(VALUE(LEFT($D52,1)),1),0)</f>
        <v/>
      </c>
      <c r="U52" s="8">
        <f>R52*T52</f>
        <v/>
      </c>
      <c r="V52" s="9">
        <f>Q52*U52</f>
        <v/>
      </c>
      <c r="W52" s="9" t="n">
        <v>140</v>
      </c>
      <c r="X52" s="8" t="n">
        <v>1</v>
      </c>
      <c r="Y52" s="8" t="n">
        <v>0</v>
      </c>
      <c r="Z52" s="8">
        <f>IF(X52&gt;0,IFERROR(VALUE(LEFT($D52,1)),1),0)</f>
        <v/>
      </c>
      <c r="AA52" s="8">
        <f>X52*Z52</f>
        <v/>
      </c>
      <c r="AB52" s="9">
        <f>W52*AA52</f>
        <v/>
      </c>
      <c r="AC52" s="9" t="n">
        <v>0</v>
      </c>
      <c r="AD52" s="8" t="n">
        <v>0</v>
      </c>
      <c r="AE52" s="8" t="n">
        <v>0</v>
      </c>
      <c r="AF52" s="8">
        <f>IF(AD52&gt;0,IFERROR(VALUE(LEFT($D52,1)),1),0)</f>
        <v/>
      </c>
      <c r="AG52" s="8">
        <f>AD52*AF52</f>
        <v/>
      </c>
      <c r="AH52" s="9">
        <f>AC52*AG52</f>
        <v/>
      </c>
      <c r="AI52" s="9" t="n">
        <v>0</v>
      </c>
      <c r="AJ52" s="8" t="n">
        <v>0</v>
      </c>
      <c r="AK52" s="8" t="n">
        <v>0</v>
      </c>
      <c r="AL52" s="8">
        <f>IF(AJ52&gt;0,IFERROR(VALUE(LEFT($D52,1)),1),0)</f>
        <v/>
      </c>
      <c r="AM52" s="8">
        <f>AJ52*AL52</f>
        <v/>
      </c>
      <c r="AN52" s="9">
        <f>AI52*AM52</f>
        <v/>
      </c>
    </row>
    <row r="53">
      <c r="A53" s="8" t="inlineStr">
        <is>
          <t>TK</t>
        </is>
      </c>
      <c r="B53" s="8" t="inlineStr">
        <is>
          <t>Angio TK klatki piersiowej – zatorowość</t>
        </is>
      </c>
      <c r="C53" s="8" t="inlineStr">
        <is>
          <t>TK Angiografia</t>
        </is>
      </c>
      <c r="D53" s="8" t="inlineStr">
        <is>
          <t>1 okolica anatomiczna</t>
        </is>
      </c>
      <c r="E53" s="9" t="n">
        <v>0</v>
      </c>
      <c r="F53" s="8" t="n">
        <v>0</v>
      </c>
      <c r="G53" s="8" t="n">
        <v>0</v>
      </c>
      <c r="H53" s="8">
        <f>IF(F53&gt;0,IFERROR(VALUE(LEFT($D53,1)),1),0)</f>
        <v/>
      </c>
      <c r="I53" s="8">
        <f>F53*H53</f>
        <v/>
      </c>
      <c r="J53" s="9">
        <f>E53*I53</f>
        <v/>
      </c>
      <c r="K53" s="9" t="n">
        <v>0</v>
      </c>
      <c r="L53" s="8" t="n">
        <v>0</v>
      </c>
      <c r="M53" s="8" t="n">
        <v>0</v>
      </c>
      <c r="N53" s="8">
        <f>IF(L53&gt;0,IFERROR(VALUE(LEFT($D53,1)),1),0)</f>
        <v/>
      </c>
      <c r="O53" s="8">
        <f>L53*N53</f>
        <v/>
      </c>
      <c r="P53" s="9">
        <f>K53*O53</f>
        <v/>
      </c>
      <c r="Q53" s="9" t="n">
        <v>0</v>
      </c>
      <c r="R53" s="8" t="n">
        <v>0</v>
      </c>
      <c r="S53" s="8" t="n">
        <v>0</v>
      </c>
      <c r="T53" s="8">
        <f>IF(R53&gt;0,IFERROR(VALUE(LEFT($D53,1)),1),0)</f>
        <v/>
      </c>
      <c r="U53" s="8">
        <f>R53*T53</f>
        <v/>
      </c>
      <c r="V53" s="9">
        <f>Q53*U53</f>
        <v/>
      </c>
      <c r="W53" s="9" t="n">
        <v>140</v>
      </c>
      <c r="X53" s="8" t="n">
        <v>2</v>
      </c>
      <c r="Y53" s="8" t="n">
        <v>0</v>
      </c>
      <c r="Z53" s="8">
        <f>IF(X53&gt;0,IFERROR(VALUE(LEFT($D53,1)),1),0)</f>
        <v/>
      </c>
      <c r="AA53" s="8">
        <f>X53*Z53</f>
        <v/>
      </c>
      <c r="AB53" s="9">
        <f>W53*AA53</f>
        <v/>
      </c>
      <c r="AC53" s="9" t="n">
        <v>0</v>
      </c>
      <c r="AD53" s="8" t="n">
        <v>0</v>
      </c>
      <c r="AE53" s="8" t="n">
        <v>0</v>
      </c>
      <c r="AF53" s="8">
        <f>IF(AD53&gt;0,IFERROR(VALUE(LEFT($D53,1)),1),0)</f>
        <v/>
      </c>
      <c r="AG53" s="8">
        <f>AD53*AF53</f>
        <v/>
      </c>
      <c r="AH53" s="9">
        <f>AC53*AG53</f>
        <v/>
      </c>
      <c r="AI53" s="9" t="n">
        <v>0</v>
      </c>
      <c r="AJ53" s="8" t="n">
        <v>0</v>
      </c>
      <c r="AK53" s="8" t="n">
        <v>0</v>
      </c>
      <c r="AL53" s="8">
        <f>IF(AJ53&gt;0,IFERROR(VALUE(LEFT($D53,1)),1),0)</f>
        <v/>
      </c>
      <c r="AM53" s="8">
        <f>AJ53*AL53</f>
        <v/>
      </c>
      <c r="AN53" s="9">
        <f>AI53*AM53</f>
        <v/>
      </c>
    </row>
    <row r="54">
      <c r="A54" s="8" t="inlineStr">
        <is>
          <t>TK</t>
        </is>
      </c>
      <c r="B54" s="8" t="inlineStr">
        <is>
          <t>Angio TK tętnic mózgowych</t>
        </is>
      </c>
      <c r="C54" s="8" t="inlineStr">
        <is>
          <t>TK Angiografia</t>
        </is>
      </c>
      <c r="D54" s="8" t="inlineStr">
        <is>
          <t>1 okolica anatomiczna</t>
        </is>
      </c>
      <c r="E54" s="9" t="n">
        <v>0</v>
      </c>
      <c r="F54" s="8" t="n">
        <v>0</v>
      </c>
      <c r="G54" s="8" t="n">
        <v>0</v>
      </c>
      <c r="H54" s="8">
        <f>IF(F54&gt;0,IFERROR(VALUE(LEFT($D54,1)),1),0)</f>
        <v/>
      </c>
      <c r="I54" s="8">
        <f>F54*H54</f>
        <v/>
      </c>
      <c r="J54" s="9">
        <f>E54*I54</f>
        <v/>
      </c>
      <c r="K54" s="9" t="n">
        <v>0</v>
      </c>
      <c r="L54" s="8" t="n">
        <v>0</v>
      </c>
      <c r="M54" s="8" t="n">
        <v>0</v>
      </c>
      <c r="N54" s="8">
        <f>IF(L54&gt;0,IFERROR(VALUE(LEFT($D54,1)),1),0)</f>
        <v/>
      </c>
      <c r="O54" s="8">
        <f>L54*N54</f>
        <v/>
      </c>
      <c r="P54" s="9">
        <f>K54*O54</f>
        <v/>
      </c>
      <c r="Q54" s="9" t="n">
        <v>0</v>
      </c>
      <c r="R54" s="8" t="n">
        <v>0</v>
      </c>
      <c r="S54" s="8" t="n">
        <v>0</v>
      </c>
      <c r="T54" s="8">
        <f>IF(R54&gt;0,IFERROR(VALUE(LEFT($D54,1)),1),0)</f>
        <v/>
      </c>
      <c r="U54" s="8">
        <f>R54*T54</f>
        <v/>
      </c>
      <c r="V54" s="9">
        <f>Q54*U54</f>
        <v/>
      </c>
      <c r="W54" s="9" t="n">
        <v>140</v>
      </c>
      <c r="X54" s="8" t="n">
        <v>1</v>
      </c>
      <c r="Y54" s="8" t="n">
        <v>0</v>
      </c>
      <c r="Z54" s="8">
        <f>IF(X54&gt;0,IFERROR(VALUE(LEFT($D54,1)),1),0)</f>
        <v/>
      </c>
      <c r="AA54" s="8">
        <f>X54*Z54</f>
        <v/>
      </c>
      <c r="AB54" s="9">
        <f>W54*AA54</f>
        <v/>
      </c>
      <c r="AC54" s="9" t="n">
        <v>0</v>
      </c>
      <c r="AD54" s="8" t="n">
        <v>0</v>
      </c>
      <c r="AE54" s="8" t="n">
        <v>0</v>
      </c>
      <c r="AF54" s="8">
        <f>IF(AD54&gt;0,IFERROR(VALUE(LEFT($D54,1)),1),0)</f>
        <v/>
      </c>
      <c r="AG54" s="8">
        <f>AD54*AF54</f>
        <v/>
      </c>
      <c r="AH54" s="9">
        <f>AC54*AG54</f>
        <v/>
      </c>
      <c r="AI54" s="9" t="n">
        <v>0</v>
      </c>
      <c r="AJ54" s="8" t="n">
        <v>0</v>
      </c>
      <c r="AK54" s="8" t="n">
        <v>0</v>
      </c>
      <c r="AL54" s="8">
        <f>IF(AJ54&gt;0,IFERROR(VALUE(LEFT($D54,1)),1),0)</f>
        <v/>
      </c>
      <c r="AM54" s="8">
        <f>AJ54*AL54</f>
        <v/>
      </c>
      <c r="AN54" s="9">
        <f>AI54*AM54</f>
        <v/>
      </c>
    </row>
    <row r="55">
      <c r="A55" s="8" t="inlineStr">
        <is>
          <t>TK</t>
        </is>
      </c>
      <c r="B55" s="8" t="inlineStr">
        <is>
          <t>Angio-TK tętnic mózgowych</t>
        </is>
      </c>
      <c r="C55" s="8" t="inlineStr">
        <is>
          <t>TK Angiografia</t>
        </is>
      </c>
      <c r="D55" s="8" t="inlineStr">
        <is>
          <t>1 okolica anatomiczna</t>
        </is>
      </c>
      <c r="E55" s="9" t="n">
        <v>0</v>
      </c>
      <c r="F55" s="8" t="n">
        <v>0</v>
      </c>
      <c r="G55" s="8" t="n">
        <v>0</v>
      </c>
      <c r="H55" s="8">
        <f>IF(F55&gt;0,IFERROR(VALUE(LEFT($D55,1)),1),0)</f>
        <v/>
      </c>
      <c r="I55" s="8">
        <f>F55*H55</f>
        <v/>
      </c>
      <c r="J55" s="9">
        <f>E55*I55</f>
        <v/>
      </c>
      <c r="K55" s="9" t="n">
        <v>0</v>
      </c>
      <c r="L55" s="8" t="n">
        <v>0</v>
      </c>
      <c r="M55" s="8" t="n">
        <v>0</v>
      </c>
      <c r="N55" s="8">
        <f>IF(L55&gt;0,IFERROR(VALUE(LEFT($D55,1)),1),0)</f>
        <v/>
      </c>
      <c r="O55" s="8">
        <f>L55*N55</f>
        <v/>
      </c>
      <c r="P55" s="9">
        <f>K55*O55</f>
        <v/>
      </c>
      <c r="Q55" s="9" t="n">
        <v>0</v>
      </c>
      <c r="R55" s="8" t="n">
        <v>0</v>
      </c>
      <c r="S55" s="8" t="n">
        <v>0</v>
      </c>
      <c r="T55" s="8">
        <f>IF(R55&gt;0,IFERROR(VALUE(LEFT($D55,1)),1),0)</f>
        <v/>
      </c>
      <c r="U55" s="8">
        <f>R55*T55</f>
        <v/>
      </c>
      <c r="V55" s="9">
        <f>Q55*U55</f>
        <v/>
      </c>
      <c r="W55" s="9" t="n">
        <v>140</v>
      </c>
      <c r="X55" s="8" t="n">
        <v>1</v>
      </c>
      <c r="Y55" s="8" t="n">
        <v>0</v>
      </c>
      <c r="Z55" s="8">
        <f>IF(X55&gt;0,IFERROR(VALUE(LEFT($D55,1)),1),0)</f>
        <v/>
      </c>
      <c r="AA55" s="8">
        <f>X55*Z55</f>
        <v/>
      </c>
      <c r="AB55" s="9">
        <f>W55*AA55</f>
        <v/>
      </c>
      <c r="AC55" s="9" t="n">
        <v>0</v>
      </c>
      <c r="AD55" s="8" t="n">
        <v>0</v>
      </c>
      <c r="AE55" s="8" t="n">
        <v>0</v>
      </c>
      <c r="AF55" s="8">
        <f>IF(AD55&gt;0,IFERROR(VALUE(LEFT($D55,1)),1),0)</f>
        <v/>
      </c>
      <c r="AG55" s="8">
        <f>AD55*AF55</f>
        <v/>
      </c>
      <c r="AH55" s="9">
        <f>AC55*AG55</f>
        <v/>
      </c>
      <c r="AI55" s="9" t="n">
        <v>0</v>
      </c>
      <c r="AJ55" s="8" t="n">
        <v>0</v>
      </c>
      <c r="AK55" s="8" t="n">
        <v>0</v>
      </c>
      <c r="AL55" s="8">
        <f>IF(AJ55&gt;0,IFERROR(VALUE(LEFT($D55,1)),1),0)</f>
        <v/>
      </c>
      <c r="AM55" s="8">
        <f>AJ55*AL55</f>
        <v/>
      </c>
      <c r="AN55" s="9">
        <f>AI55*AM55</f>
        <v/>
      </c>
    </row>
    <row r="56">
      <c r="A56" s="8" t="inlineStr">
        <is>
          <t>TK</t>
        </is>
      </c>
      <c r="B56" s="8" t="inlineStr">
        <is>
          <t>Angio-TK, jama brzuszna, miednica mniejsza</t>
        </is>
      </c>
      <c r="C56" s="8" t="inlineStr">
        <is>
          <t>TK Angiografia</t>
        </is>
      </c>
      <c r="D56" s="8" t="inlineStr">
        <is>
          <t>2 okolice anatomiczne</t>
        </is>
      </c>
      <c r="E56" s="9" t="n">
        <v>0</v>
      </c>
      <c r="F56" s="8" t="n">
        <v>0</v>
      </c>
      <c r="G56" s="8" t="n">
        <v>0</v>
      </c>
      <c r="H56" s="8">
        <f>IF(F56&gt;0,IFERROR(VALUE(LEFT($D56,1)),1),0)</f>
        <v/>
      </c>
      <c r="I56" s="8">
        <f>F56*H56</f>
        <v/>
      </c>
      <c r="J56" s="9">
        <f>E56*I56</f>
        <v/>
      </c>
      <c r="K56" s="9" t="n">
        <v>0</v>
      </c>
      <c r="L56" s="8" t="n">
        <v>0</v>
      </c>
      <c r="M56" s="8" t="n">
        <v>0</v>
      </c>
      <c r="N56" s="8">
        <f>IF(L56&gt;0,IFERROR(VALUE(LEFT($D56,1)),1),0)</f>
        <v/>
      </c>
      <c r="O56" s="8">
        <f>L56*N56</f>
        <v/>
      </c>
      <c r="P56" s="9">
        <f>K56*O56</f>
        <v/>
      </c>
      <c r="Q56" s="9" t="n">
        <v>0</v>
      </c>
      <c r="R56" s="8" t="n">
        <v>0</v>
      </c>
      <c r="S56" s="8" t="n">
        <v>0</v>
      </c>
      <c r="T56" s="8">
        <f>IF(R56&gt;0,IFERROR(VALUE(LEFT($D56,1)),1),0)</f>
        <v/>
      </c>
      <c r="U56" s="8">
        <f>R56*T56</f>
        <v/>
      </c>
      <c r="V56" s="9">
        <f>Q56*U56</f>
        <v/>
      </c>
      <c r="W56" s="9" t="n">
        <v>140</v>
      </c>
      <c r="X56" s="8" t="n">
        <v>2</v>
      </c>
      <c r="Y56" s="8" t="n">
        <v>0</v>
      </c>
      <c r="Z56" s="8">
        <f>IF(X56&gt;0,IFERROR(VALUE(LEFT($D56,1)),1),0)</f>
        <v/>
      </c>
      <c r="AA56" s="8">
        <f>X56*Z56</f>
        <v/>
      </c>
      <c r="AB56" s="9">
        <f>W56*AA56</f>
        <v/>
      </c>
      <c r="AC56" s="9" t="n">
        <v>0</v>
      </c>
      <c r="AD56" s="8" t="n">
        <v>0</v>
      </c>
      <c r="AE56" s="8" t="n">
        <v>0</v>
      </c>
      <c r="AF56" s="8">
        <f>IF(AD56&gt;0,IFERROR(VALUE(LEFT($D56,1)),1),0)</f>
        <v/>
      </c>
      <c r="AG56" s="8">
        <f>AD56*AF56</f>
        <v/>
      </c>
      <c r="AH56" s="9">
        <f>AC56*AG56</f>
        <v/>
      </c>
      <c r="AI56" s="9" t="n">
        <v>0</v>
      </c>
      <c r="AJ56" s="8" t="n">
        <v>0</v>
      </c>
      <c r="AK56" s="8" t="n">
        <v>0</v>
      </c>
      <c r="AL56" s="8">
        <f>IF(AJ56&gt;0,IFERROR(VALUE(LEFT($D56,1)),1),0)</f>
        <v/>
      </c>
      <c r="AM56" s="8">
        <f>AJ56*AL56</f>
        <v/>
      </c>
      <c r="AN56" s="9">
        <f>AI56*AM56</f>
        <v/>
      </c>
    </row>
    <row r="57">
      <c r="A57" s="8" t="inlineStr">
        <is>
          <t>TK</t>
        </is>
      </c>
      <c r="B57" s="8" t="inlineStr">
        <is>
          <t>Angiografia TK, tętnice płucne</t>
        </is>
      </c>
      <c r="C57" s="8" t="inlineStr">
        <is>
          <t>TK Angiografia</t>
        </is>
      </c>
      <c r="D57" s="8" t="inlineStr">
        <is>
          <t>1 okolica anatomiczna</t>
        </is>
      </c>
      <c r="E57" s="9" t="n">
        <v>0</v>
      </c>
      <c r="F57" s="8" t="n">
        <v>0</v>
      </c>
      <c r="G57" s="8" t="n">
        <v>0</v>
      </c>
      <c r="H57" s="8">
        <f>IF(F57&gt;0,IFERROR(VALUE(LEFT($D57,1)),1),0)</f>
        <v/>
      </c>
      <c r="I57" s="8">
        <f>F57*H57</f>
        <v/>
      </c>
      <c r="J57" s="9">
        <f>E57*I57</f>
        <v/>
      </c>
      <c r="K57" s="9" t="n">
        <v>0</v>
      </c>
      <c r="L57" s="8" t="n">
        <v>0</v>
      </c>
      <c r="M57" s="8" t="n">
        <v>0</v>
      </c>
      <c r="N57" s="8">
        <f>IF(L57&gt;0,IFERROR(VALUE(LEFT($D57,1)),1),0)</f>
        <v/>
      </c>
      <c r="O57" s="8">
        <f>L57*N57</f>
        <v/>
      </c>
      <c r="P57" s="9">
        <f>K57*O57</f>
        <v/>
      </c>
      <c r="Q57" s="9" t="n">
        <v>0</v>
      </c>
      <c r="R57" s="8" t="n">
        <v>0</v>
      </c>
      <c r="S57" s="8" t="n">
        <v>0</v>
      </c>
      <c r="T57" s="8">
        <f>IF(R57&gt;0,IFERROR(VALUE(LEFT($D57,1)),1),0)</f>
        <v/>
      </c>
      <c r="U57" s="8">
        <f>R57*T57</f>
        <v/>
      </c>
      <c r="V57" s="9">
        <f>Q57*U57</f>
        <v/>
      </c>
      <c r="W57" s="9" t="n">
        <v>140</v>
      </c>
      <c r="X57" s="8" t="n">
        <v>1</v>
      </c>
      <c r="Y57" s="8" t="n">
        <v>0</v>
      </c>
      <c r="Z57" s="8">
        <f>IF(X57&gt;0,IFERROR(VALUE(LEFT($D57,1)),1),0)</f>
        <v/>
      </c>
      <c r="AA57" s="8">
        <f>X57*Z57</f>
        <v/>
      </c>
      <c r="AB57" s="9">
        <f>W57*AA57</f>
        <v/>
      </c>
      <c r="AC57" s="9" t="n">
        <v>0</v>
      </c>
      <c r="AD57" s="8" t="n">
        <v>0</v>
      </c>
      <c r="AE57" s="8" t="n">
        <v>0</v>
      </c>
      <c r="AF57" s="8">
        <f>IF(AD57&gt;0,IFERROR(VALUE(LEFT($D57,1)),1),0)</f>
        <v/>
      </c>
      <c r="AG57" s="8">
        <f>AD57*AF57</f>
        <v/>
      </c>
      <c r="AH57" s="9">
        <f>AC57*AG57</f>
        <v/>
      </c>
      <c r="AI57" s="9" t="n">
        <v>0</v>
      </c>
      <c r="AJ57" s="8" t="n">
        <v>0</v>
      </c>
      <c r="AK57" s="8" t="n">
        <v>0</v>
      </c>
      <c r="AL57" s="8">
        <f>IF(AJ57&gt;0,IFERROR(VALUE(LEFT($D57,1)),1),0)</f>
        <v/>
      </c>
      <c r="AM57" s="8">
        <f>AJ57*AL57</f>
        <v/>
      </c>
      <c r="AN57" s="9">
        <f>AI57*AM57</f>
        <v/>
      </c>
    </row>
    <row r="58">
      <c r="A58" s="8" t="inlineStr">
        <is>
          <t>TK</t>
        </is>
      </c>
      <c r="B58" s="8" t="inlineStr">
        <is>
          <t>Angiografia TK, tętnice szyjne</t>
        </is>
      </c>
      <c r="C58" s="8" t="inlineStr">
        <is>
          <t>TK Angiografia</t>
        </is>
      </c>
      <c r="D58" s="8" t="inlineStr">
        <is>
          <t>1 okolica anatomiczna</t>
        </is>
      </c>
      <c r="E58" s="9" t="n">
        <v>0</v>
      </c>
      <c r="F58" s="8" t="n">
        <v>0</v>
      </c>
      <c r="G58" s="8" t="n">
        <v>0</v>
      </c>
      <c r="H58" s="8">
        <f>IF(F58&gt;0,IFERROR(VALUE(LEFT($D58,1)),1),0)</f>
        <v/>
      </c>
      <c r="I58" s="8">
        <f>F58*H58</f>
        <v/>
      </c>
      <c r="J58" s="9">
        <f>E58*I58</f>
        <v/>
      </c>
      <c r="K58" s="9" t="n">
        <v>0</v>
      </c>
      <c r="L58" s="8" t="n">
        <v>0</v>
      </c>
      <c r="M58" s="8" t="n">
        <v>0</v>
      </c>
      <c r="N58" s="8">
        <f>IF(L58&gt;0,IFERROR(VALUE(LEFT($D58,1)),1),0)</f>
        <v/>
      </c>
      <c r="O58" s="8">
        <f>L58*N58</f>
        <v/>
      </c>
      <c r="P58" s="9">
        <f>K58*O58</f>
        <v/>
      </c>
      <c r="Q58" s="9" t="n">
        <v>0</v>
      </c>
      <c r="R58" s="8" t="n">
        <v>0</v>
      </c>
      <c r="S58" s="8" t="n">
        <v>0</v>
      </c>
      <c r="T58" s="8">
        <f>IF(R58&gt;0,IFERROR(VALUE(LEFT($D58,1)),1),0)</f>
        <v/>
      </c>
      <c r="U58" s="8">
        <f>R58*T58</f>
        <v/>
      </c>
      <c r="V58" s="9">
        <f>Q58*U58</f>
        <v/>
      </c>
      <c r="W58" s="9" t="n">
        <v>140</v>
      </c>
      <c r="X58" s="8" t="n">
        <v>1</v>
      </c>
      <c r="Y58" s="8" t="n">
        <v>0</v>
      </c>
      <c r="Z58" s="8">
        <f>IF(X58&gt;0,IFERROR(VALUE(LEFT($D58,1)),1),0)</f>
        <v/>
      </c>
      <c r="AA58" s="8">
        <f>X58*Z58</f>
        <v/>
      </c>
      <c r="AB58" s="9">
        <f>W58*AA58</f>
        <v/>
      </c>
      <c r="AC58" s="9" t="n">
        <v>0</v>
      </c>
      <c r="AD58" s="8" t="n">
        <v>0</v>
      </c>
      <c r="AE58" s="8" t="n">
        <v>0</v>
      </c>
      <c r="AF58" s="8">
        <f>IF(AD58&gt;0,IFERROR(VALUE(LEFT($D58,1)),1),0)</f>
        <v/>
      </c>
      <c r="AG58" s="8">
        <f>AD58*AF58</f>
        <v/>
      </c>
      <c r="AH58" s="9">
        <f>AC58*AG58</f>
        <v/>
      </c>
      <c r="AI58" s="9" t="n">
        <v>0</v>
      </c>
      <c r="AJ58" s="8" t="n">
        <v>0</v>
      </c>
      <c r="AK58" s="8" t="n">
        <v>0</v>
      </c>
      <c r="AL58" s="8">
        <f>IF(AJ58&gt;0,IFERROR(VALUE(LEFT($D58,1)),1),0)</f>
        <v/>
      </c>
      <c r="AM58" s="8">
        <f>AJ58*AL58</f>
        <v/>
      </c>
      <c r="AN58" s="9">
        <f>AI58*AM58</f>
        <v/>
      </c>
    </row>
    <row r="59">
      <c r="A59" s="8" t="inlineStr">
        <is>
          <t>TK</t>
        </is>
      </c>
      <c r="B59" s="8" t="inlineStr">
        <is>
          <t>Bad. TK - Szyja - angio</t>
        </is>
      </c>
      <c r="C59" s="8" t="inlineStr">
        <is>
          <t>TK Angiografia</t>
        </is>
      </c>
      <c r="D59" s="8" t="inlineStr">
        <is>
          <t>1 okolica anatomiczna</t>
        </is>
      </c>
      <c r="E59" s="9" t="n">
        <v>0</v>
      </c>
      <c r="F59" s="8" t="n">
        <v>0</v>
      </c>
      <c r="G59" s="8" t="n">
        <v>0</v>
      </c>
      <c r="H59" s="8">
        <f>IF(F59&gt;0,IFERROR(VALUE(LEFT($D59,1)),1),0)</f>
        <v/>
      </c>
      <c r="I59" s="8">
        <f>F59*H59</f>
        <v/>
      </c>
      <c r="J59" s="9">
        <f>E59*I59</f>
        <v/>
      </c>
      <c r="K59" s="9" t="n">
        <v>0</v>
      </c>
      <c r="L59" s="8" t="n">
        <v>0</v>
      </c>
      <c r="M59" s="8" t="n">
        <v>0</v>
      </c>
      <c r="N59" s="8">
        <f>IF(L59&gt;0,IFERROR(VALUE(LEFT($D59,1)),1),0)</f>
        <v/>
      </c>
      <c r="O59" s="8">
        <f>L59*N59</f>
        <v/>
      </c>
      <c r="P59" s="9">
        <f>K59*O59</f>
        <v/>
      </c>
      <c r="Q59" s="9" t="n">
        <v>0</v>
      </c>
      <c r="R59" s="8" t="n">
        <v>0</v>
      </c>
      <c r="S59" s="8" t="n">
        <v>0</v>
      </c>
      <c r="T59" s="8">
        <f>IF(R59&gt;0,IFERROR(VALUE(LEFT($D59,1)),1),0)</f>
        <v/>
      </c>
      <c r="U59" s="8">
        <f>R59*T59</f>
        <v/>
      </c>
      <c r="V59" s="9">
        <f>Q59*U59</f>
        <v/>
      </c>
      <c r="W59" s="9" t="n">
        <v>140</v>
      </c>
      <c r="X59" s="8" t="n">
        <v>1</v>
      </c>
      <c r="Y59" s="8" t="n">
        <v>0</v>
      </c>
      <c r="Z59" s="8">
        <f>IF(X59&gt;0,IFERROR(VALUE(LEFT($D59,1)),1),0)</f>
        <v/>
      </c>
      <c r="AA59" s="8">
        <f>X59*Z59</f>
        <v/>
      </c>
      <c r="AB59" s="9">
        <f>W59*AA59</f>
        <v/>
      </c>
      <c r="AC59" s="9" t="n">
        <v>0</v>
      </c>
      <c r="AD59" s="8" t="n">
        <v>0</v>
      </c>
      <c r="AE59" s="8" t="n">
        <v>0</v>
      </c>
      <c r="AF59" s="8">
        <f>IF(AD59&gt;0,IFERROR(VALUE(LEFT($D59,1)),1),0)</f>
        <v/>
      </c>
      <c r="AG59" s="8">
        <f>AD59*AF59</f>
        <v/>
      </c>
      <c r="AH59" s="9">
        <f>AC59*AG59</f>
        <v/>
      </c>
      <c r="AI59" s="9" t="n">
        <v>0</v>
      </c>
      <c r="AJ59" s="8" t="n">
        <v>0</v>
      </c>
      <c r="AK59" s="8" t="n">
        <v>0</v>
      </c>
      <c r="AL59" s="8">
        <f>IF(AJ59&gt;0,IFERROR(VALUE(LEFT($D59,1)),1),0)</f>
        <v/>
      </c>
      <c r="AM59" s="8">
        <f>AJ59*AL59</f>
        <v/>
      </c>
      <c r="AN59" s="9">
        <f>AI59*AM59</f>
        <v/>
      </c>
    </row>
    <row r="60">
      <c r="A60" s="8" t="inlineStr">
        <is>
          <t>TK</t>
        </is>
      </c>
      <c r="B60" s="8" t="inlineStr">
        <is>
          <t>Badanie TK angio głowy ze wzmocnieniem kontrastowym</t>
        </is>
      </c>
      <c r="C60" s="8" t="inlineStr">
        <is>
          <t>TK Angiografia</t>
        </is>
      </c>
      <c r="D60" s="8" t="inlineStr">
        <is>
          <t>1 okolica anatomiczna</t>
        </is>
      </c>
      <c r="E60" s="9" t="n">
        <v>0</v>
      </c>
      <c r="F60" s="8" t="n">
        <v>0</v>
      </c>
      <c r="G60" s="8" t="n">
        <v>0</v>
      </c>
      <c r="H60" s="8">
        <f>IF(F60&gt;0,IFERROR(VALUE(LEFT($D60,1)),1),0)</f>
        <v/>
      </c>
      <c r="I60" s="8">
        <f>F60*H60</f>
        <v/>
      </c>
      <c r="J60" s="9">
        <f>E60*I60</f>
        <v/>
      </c>
      <c r="K60" s="9" t="n">
        <v>0</v>
      </c>
      <c r="L60" s="8" t="n">
        <v>0</v>
      </c>
      <c r="M60" s="8" t="n">
        <v>0</v>
      </c>
      <c r="N60" s="8">
        <f>IF(L60&gt;0,IFERROR(VALUE(LEFT($D60,1)),1),0)</f>
        <v/>
      </c>
      <c r="O60" s="8">
        <f>L60*N60</f>
        <v/>
      </c>
      <c r="P60" s="9">
        <f>K60*O60</f>
        <v/>
      </c>
      <c r="Q60" s="9" t="n">
        <v>0</v>
      </c>
      <c r="R60" s="8" t="n">
        <v>0</v>
      </c>
      <c r="S60" s="8" t="n">
        <v>0</v>
      </c>
      <c r="T60" s="8">
        <f>IF(R60&gt;0,IFERROR(VALUE(LEFT($D60,1)),1),0)</f>
        <v/>
      </c>
      <c r="U60" s="8">
        <f>R60*T60</f>
        <v/>
      </c>
      <c r="V60" s="9">
        <f>Q60*U60</f>
        <v/>
      </c>
      <c r="W60" s="9" t="n">
        <v>140</v>
      </c>
      <c r="X60" s="8" t="n">
        <v>1</v>
      </c>
      <c r="Y60" s="8" t="n">
        <v>0</v>
      </c>
      <c r="Z60" s="8">
        <f>IF(X60&gt;0,IFERROR(VALUE(LEFT($D60,1)),1),0)</f>
        <v/>
      </c>
      <c r="AA60" s="8">
        <f>X60*Z60</f>
        <v/>
      </c>
      <c r="AB60" s="9">
        <f>W60*AA60</f>
        <v/>
      </c>
      <c r="AC60" s="9" t="n">
        <v>0</v>
      </c>
      <c r="AD60" s="8" t="n">
        <v>0</v>
      </c>
      <c r="AE60" s="8" t="n">
        <v>0</v>
      </c>
      <c r="AF60" s="8">
        <f>IF(AD60&gt;0,IFERROR(VALUE(LEFT($D60,1)),1),0)</f>
        <v/>
      </c>
      <c r="AG60" s="8">
        <f>AD60*AF60</f>
        <v/>
      </c>
      <c r="AH60" s="9">
        <f>AC60*AG60</f>
        <v/>
      </c>
      <c r="AI60" s="9" t="n">
        <v>0</v>
      </c>
      <c r="AJ60" s="8" t="n">
        <v>0</v>
      </c>
      <c r="AK60" s="8" t="n">
        <v>0</v>
      </c>
      <c r="AL60" s="8">
        <f>IF(AJ60&gt;0,IFERROR(VALUE(LEFT($D60,1)),1),0)</f>
        <v/>
      </c>
      <c r="AM60" s="8">
        <f>AJ60*AL60</f>
        <v/>
      </c>
      <c r="AN60" s="9">
        <f>AI60*AM60</f>
        <v/>
      </c>
    </row>
    <row r="61">
      <c r="A61" s="8" t="inlineStr">
        <is>
          <t>TK</t>
        </is>
      </c>
      <c r="B61" s="8" t="inlineStr">
        <is>
          <t>Badanie TK angio tętnic szyjnych</t>
        </is>
      </c>
      <c r="C61" s="8" t="inlineStr">
        <is>
          <t>TK Angiografia</t>
        </is>
      </c>
      <c r="D61" s="8" t="inlineStr">
        <is>
          <t>1 okolica anatomiczna</t>
        </is>
      </c>
      <c r="E61" s="9" t="n">
        <v>0</v>
      </c>
      <c r="F61" s="8" t="n">
        <v>0</v>
      </c>
      <c r="G61" s="8" t="n">
        <v>0</v>
      </c>
      <c r="H61" s="8">
        <f>IF(F61&gt;0,IFERROR(VALUE(LEFT($D61,1)),1),0)</f>
        <v/>
      </c>
      <c r="I61" s="8">
        <f>F61*H61</f>
        <v/>
      </c>
      <c r="J61" s="9">
        <f>E61*I61</f>
        <v/>
      </c>
      <c r="K61" s="9" t="n">
        <v>0</v>
      </c>
      <c r="L61" s="8" t="n">
        <v>0</v>
      </c>
      <c r="M61" s="8" t="n">
        <v>0</v>
      </c>
      <c r="N61" s="8">
        <f>IF(L61&gt;0,IFERROR(VALUE(LEFT($D61,1)),1),0)</f>
        <v/>
      </c>
      <c r="O61" s="8">
        <f>L61*N61</f>
        <v/>
      </c>
      <c r="P61" s="9">
        <f>K61*O61</f>
        <v/>
      </c>
      <c r="Q61" s="9" t="n">
        <v>0</v>
      </c>
      <c r="R61" s="8" t="n">
        <v>0</v>
      </c>
      <c r="S61" s="8" t="n">
        <v>0</v>
      </c>
      <c r="T61" s="8">
        <f>IF(R61&gt;0,IFERROR(VALUE(LEFT($D61,1)),1),0)</f>
        <v/>
      </c>
      <c r="U61" s="8">
        <f>R61*T61</f>
        <v/>
      </c>
      <c r="V61" s="9">
        <f>Q61*U61</f>
        <v/>
      </c>
      <c r="W61" s="9" t="n">
        <v>140</v>
      </c>
      <c r="X61" s="8" t="n">
        <v>1</v>
      </c>
      <c r="Y61" s="8" t="n">
        <v>0</v>
      </c>
      <c r="Z61" s="8">
        <f>IF(X61&gt;0,IFERROR(VALUE(LEFT($D61,1)),1),0)</f>
        <v/>
      </c>
      <c r="AA61" s="8">
        <f>X61*Z61</f>
        <v/>
      </c>
      <c r="AB61" s="9">
        <f>W61*AA61</f>
        <v/>
      </c>
      <c r="AC61" s="9" t="n">
        <v>0</v>
      </c>
      <c r="AD61" s="8" t="n">
        <v>0</v>
      </c>
      <c r="AE61" s="8" t="n">
        <v>0</v>
      </c>
      <c r="AF61" s="8">
        <f>IF(AD61&gt;0,IFERROR(VALUE(LEFT($D61,1)),1),0)</f>
        <v/>
      </c>
      <c r="AG61" s="8">
        <f>AD61*AF61</f>
        <v/>
      </c>
      <c r="AH61" s="9">
        <f>AC61*AG61</f>
        <v/>
      </c>
      <c r="AI61" s="9" t="n">
        <v>0</v>
      </c>
      <c r="AJ61" s="8" t="n">
        <v>0</v>
      </c>
      <c r="AK61" s="8" t="n">
        <v>0</v>
      </c>
      <c r="AL61" s="8">
        <f>IF(AJ61&gt;0,IFERROR(VALUE(LEFT($D61,1)),1),0)</f>
        <v/>
      </c>
      <c r="AM61" s="8">
        <f>AJ61*AL61</f>
        <v/>
      </c>
      <c r="AN61" s="9">
        <f>AI61*AM61</f>
        <v/>
      </c>
    </row>
    <row r="62">
      <c r="A62" s="8" t="inlineStr">
        <is>
          <t>TK</t>
        </is>
      </c>
      <c r="B62" s="8" t="inlineStr">
        <is>
          <t>Badanie TK klatki piersiowej</t>
        </is>
      </c>
      <c r="C62" s="8" t="inlineStr">
        <is>
          <t>TK Angiografia</t>
        </is>
      </c>
      <c r="D62" s="8" t="inlineStr">
        <is>
          <t>1 okolica anatomiczna</t>
        </is>
      </c>
      <c r="E62" s="9" t="n">
        <v>0</v>
      </c>
      <c r="F62" s="8" t="n">
        <v>0</v>
      </c>
      <c r="G62" s="8" t="n">
        <v>0</v>
      </c>
      <c r="H62" s="8">
        <f>IF(F62&gt;0,IFERROR(VALUE(LEFT($D62,1)),1),0)</f>
        <v/>
      </c>
      <c r="I62" s="8">
        <f>F62*H62</f>
        <v/>
      </c>
      <c r="J62" s="9">
        <f>E62*I62</f>
        <v/>
      </c>
      <c r="K62" s="9" t="n">
        <v>0</v>
      </c>
      <c r="L62" s="8" t="n">
        <v>0</v>
      </c>
      <c r="M62" s="8" t="n">
        <v>0</v>
      </c>
      <c r="N62" s="8">
        <f>IF(L62&gt;0,IFERROR(VALUE(LEFT($D62,1)),1),0)</f>
        <v/>
      </c>
      <c r="O62" s="8">
        <f>L62*N62</f>
        <v/>
      </c>
      <c r="P62" s="9">
        <f>K62*O62</f>
        <v/>
      </c>
      <c r="Q62" s="9" t="n">
        <v>0</v>
      </c>
      <c r="R62" s="8" t="n">
        <v>0</v>
      </c>
      <c r="S62" s="8" t="n">
        <v>0</v>
      </c>
      <c r="T62" s="8">
        <f>IF(R62&gt;0,IFERROR(VALUE(LEFT($D62,1)),1),0)</f>
        <v/>
      </c>
      <c r="U62" s="8">
        <f>R62*T62</f>
        <v/>
      </c>
      <c r="V62" s="9">
        <f>Q62*U62</f>
        <v/>
      </c>
      <c r="W62" s="9" t="n">
        <v>140</v>
      </c>
      <c r="X62" s="8" t="n">
        <v>2</v>
      </c>
      <c r="Y62" s="8" t="n">
        <v>0</v>
      </c>
      <c r="Z62" s="8">
        <f>IF(X62&gt;0,IFERROR(VALUE(LEFT($D62,1)),1),0)</f>
        <v/>
      </c>
      <c r="AA62" s="8">
        <f>X62*Z62</f>
        <v/>
      </c>
      <c r="AB62" s="9">
        <f>W62*AA62</f>
        <v/>
      </c>
      <c r="AC62" s="9" t="n">
        <v>0</v>
      </c>
      <c r="AD62" s="8" t="n">
        <v>0</v>
      </c>
      <c r="AE62" s="8" t="n">
        <v>0</v>
      </c>
      <c r="AF62" s="8">
        <f>IF(AD62&gt;0,IFERROR(VALUE(LEFT($D62,1)),1),0)</f>
        <v/>
      </c>
      <c r="AG62" s="8">
        <f>AD62*AF62</f>
        <v/>
      </c>
      <c r="AH62" s="9">
        <f>AC62*AG62</f>
        <v/>
      </c>
      <c r="AI62" s="9" t="n">
        <v>0</v>
      </c>
      <c r="AJ62" s="8" t="n">
        <v>0</v>
      </c>
      <c r="AK62" s="8" t="n">
        <v>0</v>
      </c>
      <c r="AL62" s="8">
        <f>IF(AJ62&gt;0,IFERROR(VALUE(LEFT($D62,1)),1),0)</f>
        <v/>
      </c>
      <c r="AM62" s="8">
        <f>AJ62*AL62</f>
        <v/>
      </c>
      <c r="AN62" s="9">
        <f>AI62*AM62</f>
        <v/>
      </c>
    </row>
    <row r="63">
      <c r="A63" s="8" t="inlineStr">
        <is>
          <t>TK</t>
        </is>
      </c>
      <c r="B63" s="8" t="inlineStr">
        <is>
          <t>Badanie TK wielu okolic anatomicznych</t>
        </is>
      </c>
      <c r="C63" s="8" t="inlineStr">
        <is>
          <t>TK Angiografia</t>
        </is>
      </c>
      <c r="D63" s="8" t="inlineStr">
        <is>
          <t>3 okolice anatomiczne</t>
        </is>
      </c>
      <c r="E63" s="9" t="n">
        <v>0</v>
      </c>
      <c r="F63" s="8" t="n">
        <v>0</v>
      </c>
      <c r="G63" s="8" t="n">
        <v>0</v>
      </c>
      <c r="H63" s="8">
        <f>IF(F63&gt;0,IFERROR(VALUE(LEFT($D63,1)),1),0)</f>
        <v/>
      </c>
      <c r="I63" s="8">
        <f>F63*H63</f>
        <v/>
      </c>
      <c r="J63" s="9">
        <f>E63*I63</f>
        <v/>
      </c>
      <c r="K63" s="9" t="n">
        <v>0</v>
      </c>
      <c r="L63" s="8" t="n">
        <v>0</v>
      </c>
      <c r="M63" s="8" t="n">
        <v>0</v>
      </c>
      <c r="N63" s="8">
        <f>IF(L63&gt;0,IFERROR(VALUE(LEFT($D63,1)),1),0)</f>
        <v/>
      </c>
      <c r="O63" s="8">
        <f>L63*N63</f>
        <v/>
      </c>
      <c r="P63" s="9">
        <f>K63*O63</f>
        <v/>
      </c>
      <c r="Q63" s="9" t="n">
        <v>0</v>
      </c>
      <c r="R63" s="8" t="n">
        <v>0</v>
      </c>
      <c r="S63" s="8" t="n">
        <v>0</v>
      </c>
      <c r="T63" s="8">
        <f>IF(R63&gt;0,IFERROR(VALUE(LEFT($D63,1)),1),0)</f>
        <v/>
      </c>
      <c r="U63" s="8">
        <f>R63*T63</f>
        <v/>
      </c>
      <c r="V63" s="9">
        <f>Q63*U63</f>
        <v/>
      </c>
      <c r="W63" s="9" t="n">
        <v>120</v>
      </c>
      <c r="X63" s="8" t="n">
        <v>1</v>
      </c>
      <c r="Y63" s="8" t="n">
        <v>0</v>
      </c>
      <c r="Z63" s="8">
        <f>IF(X63&gt;0,IFERROR(VALUE(LEFT($D63,1)),1),0)</f>
        <v/>
      </c>
      <c r="AA63" s="8">
        <f>X63*Z63</f>
        <v/>
      </c>
      <c r="AB63" s="9">
        <f>W63*AA63</f>
        <v/>
      </c>
      <c r="AC63" s="9" t="n">
        <v>0</v>
      </c>
      <c r="AD63" s="8" t="n">
        <v>0</v>
      </c>
      <c r="AE63" s="8" t="n">
        <v>0</v>
      </c>
      <c r="AF63" s="8">
        <f>IF(AD63&gt;0,IFERROR(VALUE(LEFT($D63,1)),1),0)</f>
        <v/>
      </c>
      <c r="AG63" s="8">
        <f>AD63*AF63</f>
        <v/>
      </c>
      <c r="AH63" s="9">
        <f>AC63*AG63</f>
        <v/>
      </c>
      <c r="AI63" s="9" t="n">
        <v>0</v>
      </c>
      <c r="AJ63" s="8" t="n">
        <v>0</v>
      </c>
      <c r="AK63" s="8" t="n">
        <v>0</v>
      </c>
      <c r="AL63" s="8">
        <f>IF(AJ63&gt;0,IFERROR(VALUE(LEFT($D63,1)),1),0)</f>
        <v/>
      </c>
      <c r="AM63" s="8">
        <f>AJ63*AL63</f>
        <v/>
      </c>
      <c r="AN63" s="9">
        <f>AI63*AM63</f>
        <v/>
      </c>
    </row>
    <row r="64">
      <c r="A64" s="8" t="inlineStr">
        <is>
          <t>TK</t>
        </is>
      </c>
      <c r="B64" s="8" t="inlineStr">
        <is>
          <t>TK - 2 procedury</t>
        </is>
      </c>
      <c r="C64" s="8" t="inlineStr">
        <is>
          <t>TK Angiografia</t>
        </is>
      </c>
      <c r="D64" s="8" t="inlineStr">
        <is>
          <t>2 okolice anatomiczne</t>
        </is>
      </c>
      <c r="E64" s="9" t="n">
        <v>0</v>
      </c>
      <c r="F64" s="8" t="n">
        <v>0</v>
      </c>
      <c r="G64" s="8" t="n">
        <v>0</v>
      </c>
      <c r="H64" s="8">
        <f>IF(F64&gt;0,IFERROR(VALUE(LEFT($D64,1)),1),0)</f>
        <v/>
      </c>
      <c r="I64" s="8">
        <f>F64*H64</f>
        <v/>
      </c>
      <c r="J64" s="9">
        <f>E64*I64</f>
        <v/>
      </c>
      <c r="K64" s="9" t="n">
        <v>0</v>
      </c>
      <c r="L64" s="8" t="n">
        <v>0</v>
      </c>
      <c r="M64" s="8" t="n">
        <v>0</v>
      </c>
      <c r="N64" s="8">
        <f>IF(L64&gt;0,IFERROR(VALUE(LEFT($D64,1)),1),0)</f>
        <v/>
      </c>
      <c r="O64" s="8">
        <f>L64*N64</f>
        <v/>
      </c>
      <c r="P64" s="9">
        <f>K64*O64</f>
        <v/>
      </c>
      <c r="Q64" s="9" t="n">
        <v>0</v>
      </c>
      <c r="R64" s="8" t="n">
        <v>0</v>
      </c>
      <c r="S64" s="8" t="n">
        <v>0</v>
      </c>
      <c r="T64" s="8">
        <f>IF(R64&gt;0,IFERROR(VALUE(LEFT($D64,1)),1),0)</f>
        <v/>
      </c>
      <c r="U64" s="8">
        <f>R64*T64</f>
        <v/>
      </c>
      <c r="V64" s="9">
        <f>Q64*U64</f>
        <v/>
      </c>
      <c r="W64" s="9" t="n">
        <v>140</v>
      </c>
      <c r="X64" s="8" t="n">
        <v>1</v>
      </c>
      <c r="Y64" s="8" t="n">
        <v>2</v>
      </c>
      <c r="Z64" s="8">
        <f>IF(X64&gt;0,IFERROR(VALUE(LEFT($D64,1)),1),0)</f>
        <v/>
      </c>
      <c r="AA64" s="8">
        <f>X64*Z64</f>
        <v/>
      </c>
      <c r="AB64" s="9">
        <f>W64*AA64</f>
        <v/>
      </c>
      <c r="AC64" s="9" t="n">
        <v>0</v>
      </c>
      <c r="AD64" s="8" t="n">
        <v>0</v>
      </c>
      <c r="AE64" s="8" t="n">
        <v>0</v>
      </c>
      <c r="AF64" s="8">
        <f>IF(AD64&gt;0,IFERROR(VALUE(LEFT($D64,1)),1),0)</f>
        <v/>
      </c>
      <c r="AG64" s="8">
        <f>AD64*AF64</f>
        <v/>
      </c>
      <c r="AH64" s="9">
        <f>AC64*AG64</f>
        <v/>
      </c>
      <c r="AI64" s="9" t="n">
        <v>0</v>
      </c>
      <c r="AJ64" s="8" t="n">
        <v>0</v>
      </c>
      <c r="AK64" s="8" t="n">
        <v>0</v>
      </c>
      <c r="AL64" s="8">
        <f>IF(AJ64&gt;0,IFERROR(VALUE(LEFT($D64,1)),1),0)</f>
        <v/>
      </c>
      <c r="AM64" s="8">
        <f>AJ64*AL64</f>
        <v/>
      </c>
      <c r="AN64" s="9">
        <f>AI64*AM64</f>
        <v/>
      </c>
    </row>
    <row r="65">
      <c r="A65" s="8" t="inlineStr">
        <is>
          <t>TK</t>
        </is>
      </c>
      <c r="B65" s="8" t="inlineStr">
        <is>
          <t>TK ANGIO GŁOWY</t>
        </is>
      </c>
      <c r="C65" s="8" t="inlineStr">
        <is>
          <t>TK Angiografia</t>
        </is>
      </c>
      <c r="D65" s="8" t="inlineStr">
        <is>
          <t>1 okolica anatomiczna</t>
        </is>
      </c>
      <c r="E65" s="9" t="n">
        <v>0</v>
      </c>
      <c r="F65" s="8" t="n">
        <v>0</v>
      </c>
      <c r="G65" s="8" t="n">
        <v>0</v>
      </c>
      <c r="H65" s="8">
        <f>IF(F65&gt;0,IFERROR(VALUE(LEFT($D65,1)),1),0)</f>
        <v/>
      </c>
      <c r="I65" s="8">
        <f>F65*H65</f>
        <v/>
      </c>
      <c r="J65" s="9">
        <f>E65*I65</f>
        <v/>
      </c>
      <c r="K65" s="9" t="n">
        <v>0</v>
      </c>
      <c r="L65" s="8" t="n">
        <v>0</v>
      </c>
      <c r="M65" s="8" t="n">
        <v>0</v>
      </c>
      <c r="N65" s="8">
        <f>IF(L65&gt;0,IFERROR(VALUE(LEFT($D65,1)),1),0)</f>
        <v/>
      </c>
      <c r="O65" s="8">
        <f>L65*N65</f>
        <v/>
      </c>
      <c r="P65" s="9">
        <f>K65*O65</f>
        <v/>
      </c>
      <c r="Q65" s="9" t="n">
        <v>0</v>
      </c>
      <c r="R65" s="8" t="n">
        <v>0</v>
      </c>
      <c r="S65" s="8" t="n">
        <v>0</v>
      </c>
      <c r="T65" s="8">
        <f>IF(R65&gt;0,IFERROR(VALUE(LEFT($D65,1)),1),0)</f>
        <v/>
      </c>
      <c r="U65" s="8">
        <f>R65*T65</f>
        <v/>
      </c>
      <c r="V65" s="9">
        <f>Q65*U65</f>
        <v/>
      </c>
      <c r="W65" s="9" t="n">
        <v>140</v>
      </c>
      <c r="X65" s="8" t="n">
        <v>3</v>
      </c>
      <c r="Y65" s="8" t="n">
        <v>3</v>
      </c>
      <c r="Z65" s="8">
        <f>IF(X65&gt;0,IFERROR(VALUE(LEFT($D65,1)),1),0)</f>
        <v/>
      </c>
      <c r="AA65" s="8">
        <f>X65*Z65</f>
        <v/>
      </c>
      <c r="AB65" s="9">
        <f>W65*AA65</f>
        <v/>
      </c>
      <c r="AC65" s="9" t="n">
        <v>0</v>
      </c>
      <c r="AD65" s="8" t="n">
        <v>0</v>
      </c>
      <c r="AE65" s="8" t="n">
        <v>0</v>
      </c>
      <c r="AF65" s="8">
        <f>IF(AD65&gt;0,IFERROR(VALUE(LEFT($D65,1)),1),0)</f>
        <v/>
      </c>
      <c r="AG65" s="8">
        <f>AD65*AF65</f>
        <v/>
      </c>
      <c r="AH65" s="9">
        <f>AC65*AG65</f>
        <v/>
      </c>
      <c r="AI65" s="9" t="n">
        <v>0</v>
      </c>
      <c r="AJ65" s="8" t="n">
        <v>0</v>
      </c>
      <c r="AK65" s="8" t="n">
        <v>0</v>
      </c>
      <c r="AL65" s="8">
        <f>IF(AJ65&gt;0,IFERROR(VALUE(LEFT($D65,1)),1),0)</f>
        <v/>
      </c>
      <c r="AM65" s="8">
        <f>AJ65*AL65</f>
        <v/>
      </c>
      <c r="AN65" s="9">
        <f>AI65*AM65</f>
        <v/>
      </c>
    </row>
    <row r="66">
      <c r="A66" s="8" t="inlineStr">
        <is>
          <t>TK</t>
        </is>
      </c>
      <c r="B66" s="8" t="inlineStr">
        <is>
          <t>TK ANGIO TT SZYJNYCH</t>
        </is>
      </c>
      <c r="C66" s="8" t="inlineStr">
        <is>
          <t>TK Angiografia</t>
        </is>
      </c>
      <c r="D66" s="8" t="inlineStr">
        <is>
          <t>1 okolica anatomiczna</t>
        </is>
      </c>
      <c r="E66" s="9" t="n">
        <v>0</v>
      </c>
      <c r="F66" s="8" t="n">
        <v>0</v>
      </c>
      <c r="G66" s="8" t="n">
        <v>0</v>
      </c>
      <c r="H66" s="8">
        <f>IF(F66&gt;0,IFERROR(VALUE(LEFT($D66,1)),1),0)</f>
        <v/>
      </c>
      <c r="I66" s="8">
        <f>F66*H66</f>
        <v/>
      </c>
      <c r="J66" s="9">
        <f>E66*I66</f>
        <v/>
      </c>
      <c r="K66" s="9" t="n">
        <v>0</v>
      </c>
      <c r="L66" s="8" t="n">
        <v>0</v>
      </c>
      <c r="M66" s="8" t="n">
        <v>0</v>
      </c>
      <c r="N66" s="8">
        <f>IF(L66&gt;0,IFERROR(VALUE(LEFT($D66,1)),1),0)</f>
        <v/>
      </c>
      <c r="O66" s="8">
        <f>L66*N66</f>
        <v/>
      </c>
      <c r="P66" s="9">
        <f>K66*O66</f>
        <v/>
      </c>
      <c r="Q66" s="9" t="n">
        <v>0</v>
      </c>
      <c r="R66" s="8" t="n">
        <v>0</v>
      </c>
      <c r="S66" s="8" t="n">
        <v>0</v>
      </c>
      <c r="T66" s="8">
        <f>IF(R66&gt;0,IFERROR(VALUE(LEFT($D66,1)),1),0)</f>
        <v/>
      </c>
      <c r="U66" s="8">
        <f>R66*T66</f>
        <v/>
      </c>
      <c r="V66" s="9">
        <f>Q66*U66</f>
        <v/>
      </c>
      <c r="W66" s="9" t="n">
        <v>140</v>
      </c>
      <c r="X66" s="8" t="n">
        <v>3</v>
      </c>
      <c r="Y66" s="8" t="n">
        <v>3</v>
      </c>
      <c r="Z66" s="8">
        <f>IF(X66&gt;0,IFERROR(VALUE(LEFT($D66,1)),1),0)</f>
        <v/>
      </c>
      <c r="AA66" s="8">
        <f>X66*Z66</f>
        <v/>
      </c>
      <c r="AB66" s="9">
        <f>W66*AA66</f>
        <v/>
      </c>
      <c r="AC66" s="9" t="n">
        <v>0</v>
      </c>
      <c r="AD66" s="8" t="n">
        <v>0</v>
      </c>
      <c r="AE66" s="8" t="n">
        <v>0</v>
      </c>
      <c r="AF66" s="8">
        <f>IF(AD66&gt;0,IFERROR(VALUE(LEFT($D66,1)),1),0)</f>
        <v/>
      </c>
      <c r="AG66" s="8">
        <f>AD66*AF66</f>
        <v/>
      </c>
      <c r="AH66" s="9">
        <f>AC66*AG66</f>
        <v/>
      </c>
      <c r="AI66" s="9" t="n">
        <v>0</v>
      </c>
      <c r="AJ66" s="8" t="n">
        <v>0</v>
      </c>
      <c r="AK66" s="8" t="n">
        <v>0</v>
      </c>
      <c r="AL66" s="8">
        <f>IF(AJ66&gt;0,IFERROR(VALUE(LEFT($D66,1)),1),0)</f>
        <v/>
      </c>
      <c r="AM66" s="8">
        <f>AJ66*AL66</f>
        <v/>
      </c>
      <c r="AN66" s="9">
        <f>AI66*AM66</f>
        <v/>
      </c>
    </row>
    <row r="67">
      <c r="A67" s="8" t="inlineStr">
        <is>
          <t>TK</t>
        </is>
      </c>
      <c r="B67" s="8" t="inlineStr">
        <is>
          <t>TK angio aorty</t>
        </is>
      </c>
      <c r="C67" s="8" t="inlineStr">
        <is>
          <t>TK Angiografia</t>
        </is>
      </c>
      <c r="D67" s="8" t="inlineStr">
        <is>
          <t>3 okolice anatomiczne</t>
        </is>
      </c>
      <c r="E67" s="9" t="n">
        <v>0</v>
      </c>
      <c r="F67" s="8" t="n">
        <v>0</v>
      </c>
      <c r="G67" s="8" t="n">
        <v>0</v>
      </c>
      <c r="H67" s="8">
        <f>IF(F67&gt;0,IFERROR(VALUE(LEFT($D67,1)),1),0)</f>
        <v/>
      </c>
      <c r="I67" s="8">
        <f>F67*H67</f>
        <v/>
      </c>
      <c r="J67" s="9">
        <f>E67*I67</f>
        <v/>
      </c>
      <c r="K67" s="9" t="n">
        <v>0</v>
      </c>
      <c r="L67" s="8" t="n">
        <v>0</v>
      </c>
      <c r="M67" s="8" t="n">
        <v>0</v>
      </c>
      <c r="N67" s="8">
        <f>IF(L67&gt;0,IFERROR(VALUE(LEFT($D67,1)),1),0)</f>
        <v/>
      </c>
      <c r="O67" s="8">
        <f>L67*N67</f>
        <v/>
      </c>
      <c r="P67" s="9">
        <f>K67*O67</f>
        <v/>
      </c>
      <c r="Q67" s="9" t="n">
        <v>0</v>
      </c>
      <c r="R67" s="8" t="n">
        <v>0</v>
      </c>
      <c r="S67" s="8" t="n">
        <v>0</v>
      </c>
      <c r="T67" s="8">
        <f>IF(R67&gt;0,IFERROR(VALUE(LEFT($D67,1)),1),0)</f>
        <v/>
      </c>
      <c r="U67" s="8">
        <f>R67*T67</f>
        <v/>
      </c>
      <c r="V67" s="9">
        <f>Q67*U67</f>
        <v/>
      </c>
      <c r="W67" s="9" t="n">
        <v>140</v>
      </c>
      <c r="X67" s="8" t="n">
        <v>2</v>
      </c>
      <c r="Y67" s="8" t="n">
        <v>0</v>
      </c>
      <c r="Z67" s="8">
        <f>IF(X67&gt;0,IFERROR(VALUE(LEFT($D67,1)),1),0)</f>
        <v/>
      </c>
      <c r="AA67" s="8">
        <f>X67*Z67</f>
        <v/>
      </c>
      <c r="AB67" s="9">
        <f>W67*AA67</f>
        <v/>
      </c>
      <c r="AC67" s="9" t="n">
        <v>0</v>
      </c>
      <c r="AD67" s="8" t="n">
        <v>0</v>
      </c>
      <c r="AE67" s="8" t="n">
        <v>0</v>
      </c>
      <c r="AF67" s="8">
        <f>IF(AD67&gt;0,IFERROR(VALUE(LEFT($D67,1)),1),0)</f>
        <v/>
      </c>
      <c r="AG67" s="8">
        <f>AD67*AF67</f>
        <v/>
      </c>
      <c r="AH67" s="9">
        <f>AC67*AG67</f>
        <v/>
      </c>
      <c r="AI67" s="9" t="n">
        <v>0</v>
      </c>
      <c r="AJ67" s="8" t="n">
        <v>0</v>
      </c>
      <c r="AK67" s="8" t="n">
        <v>0</v>
      </c>
      <c r="AL67" s="8">
        <f>IF(AJ67&gt;0,IFERROR(VALUE(LEFT($D67,1)),1),0)</f>
        <v/>
      </c>
      <c r="AM67" s="8">
        <f>AJ67*AL67</f>
        <v/>
      </c>
      <c r="AN67" s="9">
        <f>AI67*AM67</f>
        <v/>
      </c>
    </row>
    <row r="68">
      <c r="A68" s="8" t="inlineStr">
        <is>
          <t>TK</t>
        </is>
      </c>
      <c r="B68" s="8" t="inlineStr">
        <is>
          <t>TK angio aorty piers. + aorty brz. + tt. biodrowych</t>
        </is>
      </c>
      <c r="C68" s="8" t="inlineStr">
        <is>
          <t>TK Angiografia</t>
        </is>
      </c>
      <c r="D68" s="8" t="inlineStr">
        <is>
          <t>3 okolice anatomiczne</t>
        </is>
      </c>
      <c r="E68" s="9" t="n">
        <v>0</v>
      </c>
      <c r="F68" s="8" t="n">
        <v>0</v>
      </c>
      <c r="G68" s="8" t="n">
        <v>0</v>
      </c>
      <c r="H68" s="8">
        <f>IF(F68&gt;0,IFERROR(VALUE(LEFT($D68,1)),1),0)</f>
        <v/>
      </c>
      <c r="I68" s="8">
        <f>F68*H68</f>
        <v/>
      </c>
      <c r="J68" s="9">
        <f>E68*I68</f>
        <v/>
      </c>
      <c r="K68" s="9" t="n">
        <v>0</v>
      </c>
      <c r="L68" s="8" t="n">
        <v>0</v>
      </c>
      <c r="M68" s="8" t="n">
        <v>0</v>
      </c>
      <c r="N68" s="8">
        <f>IF(L68&gt;0,IFERROR(VALUE(LEFT($D68,1)),1),0)</f>
        <v/>
      </c>
      <c r="O68" s="8">
        <f>L68*N68</f>
        <v/>
      </c>
      <c r="P68" s="9">
        <f>K68*O68</f>
        <v/>
      </c>
      <c r="Q68" s="9" t="n">
        <v>0</v>
      </c>
      <c r="R68" s="8" t="n">
        <v>0</v>
      </c>
      <c r="S68" s="8" t="n">
        <v>0</v>
      </c>
      <c r="T68" s="8">
        <f>IF(R68&gt;0,IFERROR(VALUE(LEFT($D68,1)),1),0)</f>
        <v/>
      </c>
      <c r="U68" s="8">
        <f>R68*T68</f>
        <v/>
      </c>
      <c r="V68" s="9">
        <f>Q68*U68</f>
        <v/>
      </c>
      <c r="W68" s="9" t="n">
        <v>140</v>
      </c>
      <c r="X68" s="8" t="n">
        <v>1</v>
      </c>
      <c r="Y68" s="8" t="n">
        <v>3</v>
      </c>
      <c r="Z68" s="8">
        <f>IF(X68&gt;0,IFERROR(VALUE(LEFT($D68,1)),1),0)</f>
        <v/>
      </c>
      <c r="AA68" s="8">
        <f>X68*Z68</f>
        <v/>
      </c>
      <c r="AB68" s="9">
        <f>W68*AA68</f>
        <v/>
      </c>
      <c r="AC68" s="9" t="n">
        <v>140</v>
      </c>
      <c r="AD68" s="8" t="n">
        <v>1</v>
      </c>
      <c r="AE68" s="8" t="n">
        <v>3</v>
      </c>
      <c r="AF68" s="8">
        <f>IF(AD68&gt;0,IFERROR(VALUE(LEFT($D68,1)),1),0)</f>
        <v/>
      </c>
      <c r="AG68" s="8">
        <f>AD68*AF68</f>
        <v/>
      </c>
      <c r="AH68" s="9">
        <f>AC68*AG68</f>
        <v/>
      </c>
      <c r="AI68" s="9" t="n">
        <v>0</v>
      </c>
      <c r="AJ68" s="8" t="n">
        <v>0</v>
      </c>
      <c r="AK68" s="8" t="n">
        <v>0</v>
      </c>
      <c r="AL68" s="8">
        <f>IF(AJ68&gt;0,IFERROR(VALUE(LEFT($D68,1)),1),0)</f>
        <v/>
      </c>
      <c r="AM68" s="8">
        <f>AJ68*AL68</f>
        <v/>
      </c>
      <c r="AN68" s="9">
        <f>AI68*AM68</f>
        <v/>
      </c>
    </row>
    <row r="69">
      <c r="A69" s="8" t="inlineStr">
        <is>
          <t>TK</t>
        </is>
      </c>
      <c r="B69" s="8" t="inlineStr">
        <is>
          <t>TK angio głowy</t>
        </is>
      </c>
      <c r="C69" s="8" t="inlineStr">
        <is>
          <t>TK Angiografia</t>
        </is>
      </c>
      <c r="D69" s="8" t="inlineStr">
        <is>
          <t>1 okolica anatomiczna</t>
        </is>
      </c>
      <c r="E69" s="9" t="n">
        <v>0</v>
      </c>
      <c r="F69" s="8" t="n">
        <v>0</v>
      </c>
      <c r="G69" s="8" t="n">
        <v>0</v>
      </c>
      <c r="H69" s="8">
        <f>IF(F69&gt;0,IFERROR(VALUE(LEFT($D69,1)),1),0)</f>
        <v/>
      </c>
      <c r="I69" s="8">
        <f>F69*H69</f>
        <v/>
      </c>
      <c r="J69" s="9">
        <f>E69*I69</f>
        <v/>
      </c>
      <c r="K69" s="9" t="n">
        <v>0</v>
      </c>
      <c r="L69" s="8" t="n">
        <v>0</v>
      </c>
      <c r="M69" s="8" t="n">
        <v>0</v>
      </c>
      <c r="N69" s="8">
        <f>IF(L69&gt;0,IFERROR(VALUE(LEFT($D69,1)),1),0)</f>
        <v/>
      </c>
      <c r="O69" s="8">
        <f>L69*N69</f>
        <v/>
      </c>
      <c r="P69" s="9">
        <f>K69*O69</f>
        <v/>
      </c>
      <c r="Q69" s="9" t="n">
        <v>0</v>
      </c>
      <c r="R69" s="8" t="n">
        <v>0</v>
      </c>
      <c r="S69" s="8" t="n">
        <v>0</v>
      </c>
      <c r="T69" s="8">
        <f>IF(R69&gt;0,IFERROR(VALUE(LEFT($D69,1)),1),0)</f>
        <v/>
      </c>
      <c r="U69" s="8">
        <f>R69*T69</f>
        <v/>
      </c>
      <c r="V69" s="9">
        <f>Q69*U69</f>
        <v/>
      </c>
      <c r="W69" s="9" t="n">
        <v>140</v>
      </c>
      <c r="X69" s="8" t="n">
        <v>1</v>
      </c>
      <c r="Y69" s="8" t="n">
        <v>0</v>
      </c>
      <c r="Z69" s="8">
        <f>IF(X69&gt;0,IFERROR(VALUE(LEFT($D69,1)),1),0)</f>
        <v/>
      </c>
      <c r="AA69" s="8">
        <f>X69*Z69</f>
        <v/>
      </c>
      <c r="AB69" s="9">
        <f>W69*AA69</f>
        <v/>
      </c>
      <c r="AC69" s="9" t="n">
        <v>0</v>
      </c>
      <c r="AD69" s="8" t="n">
        <v>0</v>
      </c>
      <c r="AE69" s="8" t="n">
        <v>0</v>
      </c>
      <c r="AF69" s="8">
        <f>IF(AD69&gt;0,IFERROR(VALUE(LEFT($D69,1)),1),0)</f>
        <v/>
      </c>
      <c r="AG69" s="8">
        <f>AD69*AF69</f>
        <v/>
      </c>
      <c r="AH69" s="9">
        <f>AC69*AG69</f>
        <v/>
      </c>
      <c r="AI69" s="9" t="n">
        <v>0</v>
      </c>
      <c r="AJ69" s="8" t="n">
        <v>0</v>
      </c>
      <c r="AK69" s="8" t="n">
        <v>0</v>
      </c>
      <c r="AL69" s="8">
        <f>IF(AJ69&gt;0,IFERROR(VALUE(LEFT($D69,1)),1),0)</f>
        <v/>
      </c>
      <c r="AM69" s="8">
        <f>AJ69*AL69</f>
        <v/>
      </c>
      <c r="AN69" s="9">
        <f>AI69*AM69</f>
        <v/>
      </c>
    </row>
    <row r="70">
      <c r="A70" s="8" t="inlineStr">
        <is>
          <t>TK</t>
        </is>
      </c>
      <c r="B70" s="8" t="inlineStr">
        <is>
          <t>TK angio głowy z szyją trombolityczne</t>
        </is>
      </c>
      <c r="C70" s="8" t="inlineStr">
        <is>
          <t>TK Angiografia</t>
        </is>
      </c>
      <c r="D70" s="8" t="inlineStr">
        <is>
          <t>2 okolice anatomiczne</t>
        </is>
      </c>
      <c r="E70" s="9" t="n">
        <v>0</v>
      </c>
      <c r="F70" s="8" t="n">
        <v>0</v>
      </c>
      <c r="G70" s="8" t="n">
        <v>0</v>
      </c>
      <c r="H70" s="8">
        <f>IF(F70&gt;0,IFERROR(VALUE(LEFT($D70,1)),1),0)</f>
        <v/>
      </c>
      <c r="I70" s="8">
        <f>F70*H70</f>
        <v/>
      </c>
      <c r="J70" s="9">
        <f>E70*I70</f>
        <v/>
      </c>
      <c r="K70" s="9" t="n">
        <v>0</v>
      </c>
      <c r="L70" s="8" t="n">
        <v>0</v>
      </c>
      <c r="M70" s="8" t="n">
        <v>0</v>
      </c>
      <c r="N70" s="8">
        <f>IF(L70&gt;0,IFERROR(VALUE(LEFT($D70,1)),1),0)</f>
        <v/>
      </c>
      <c r="O70" s="8">
        <f>L70*N70</f>
        <v/>
      </c>
      <c r="P70" s="9">
        <f>K70*O70</f>
        <v/>
      </c>
      <c r="Q70" s="9" t="n">
        <v>0</v>
      </c>
      <c r="R70" s="8" t="n">
        <v>0</v>
      </c>
      <c r="S70" s="8" t="n">
        <v>0</v>
      </c>
      <c r="T70" s="8">
        <f>IF(R70&gt;0,IFERROR(VALUE(LEFT($D70,1)),1),0)</f>
        <v/>
      </c>
      <c r="U70" s="8">
        <f>R70*T70</f>
        <v/>
      </c>
      <c r="V70" s="9">
        <f>Q70*U70</f>
        <v/>
      </c>
      <c r="W70" s="9" t="n">
        <v>140</v>
      </c>
      <c r="X70" s="8" t="n">
        <v>2</v>
      </c>
      <c r="Y70" s="8" t="n">
        <v>2</v>
      </c>
      <c r="Z70" s="8">
        <f>IF(X70&gt;0,IFERROR(VALUE(LEFT($D70,1)),1),0)</f>
        <v/>
      </c>
      <c r="AA70" s="8">
        <f>X70*Z70</f>
        <v/>
      </c>
      <c r="AB70" s="9">
        <f>W70*AA70</f>
        <v/>
      </c>
      <c r="AC70" s="9" t="n">
        <v>0</v>
      </c>
      <c r="AD70" s="8" t="n">
        <v>0</v>
      </c>
      <c r="AE70" s="8" t="n">
        <v>0</v>
      </c>
      <c r="AF70" s="8">
        <f>IF(AD70&gt;0,IFERROR(VALUE(LEFT($D70,1)),1),0)</f>
        <v/>
      </c>
      <c r="AG70" s="8">
        <f>AD70*AF70</f>
        <v/>
      </c>
      <c r="AH70" s="9">
        <f>AC70*AG70</f>
        <v/>
      </c>
      <c r="AI70" s="9" t="n">
        <v>0</v>
      </c>
      <c r="AJ70" s="8" t="n">
        <v>0</v>
      </c>
      <c r="AK70" s="8" t="n">
        <v>0</v>
      </c>
      <c r="AL70" s="8">
        <f>IF(AJ70&gt;0,IFERROR(VALUE(LEFT($D70,1)),1),0)</f>
        <v/>
      </c>
      <c r="AM70" s="8">
        <f>AJ70*AL70</f>
        <v/>
      </c>
      <c r="AN70" s="9">
        <f>AI70*AM70</f>
        <v/>
      </c>
    </row>
    <row r="71">
      <c r="A71" s="8" t="inlineStr">
        <is>
          <t>TK</t>
        </is>
      </c>
      <c r="B71" s="8" t="inlineStr">
        <is>
          <t>TK angio jamy brzusznej</t>
        </is>
      </c>
      <c r="C71" s="8" t="inlineStr">
        <is>
          <t>TK Angiografia</t>
        </is>
      </c>
      <c r="D71" s="8" t="inlineStr">
        <is>
          <t>2 okolice anatomiczne</t>
        </is>
      </c>
      <c r="E71" s="9" t="n">
        <v>0</v>
      </c>
      <c r="F71" s="8" t="n">
        <v>0</v>
      </c>
      <c r="G71" s="8" t="n">
        <v>0</v>
      </c>
      <c r="H71" s="8">
        <f>IF(F71&gt;0,IFERROR(VALUE(LEFT($D71,1)),1),0)</f>
        <v/>
      </c>
      <c r="I71" s="8">
        <f>F71*H71</f>
        <v/>
      </c>
      <c r="J71" s="9">
        <f>E71*I71</f>
        <v/>
      </c>
      <c r="K71" s="9" t="n">
        <v>0</v>
      </c>
      <c r="L71" s="8" t="n">
        <v>0</v>
      </c>
      <c r="M71" s="8" t="n">
        <v>0</v>
      </c>
      <c r="N71" s="8">
        <f>IF(L71&gt;0,IFERROR(VALUE(LEFT($D71,1)),1),0)</f>
        <v/>
      </c>
      <c r="O71" s="8">
        <f>L71*N71</f>
        <v/>
      </c>
      <c r="P71" s="9">
        <f>K71*O71</f>
        <v/>
      </c>
      <c r="Q71" s="9" t="n">
        <v>0</v>
      </c>
      <c r="R71" s="8" t="n">
        <v>0</v>
      </c>
      <c r="S71" s="8" t="n">
        <v>0</v>
      </c>
      <c r="T71" s="8">
        <f>IF(R71&gt;0,IFERROR(VALUE(LEFT($D71,1)),1),0)</f>
        <v/>
      </c>
      <c r="U71" s="8">
        <f>R71*T71</f>
        <v/>
      </c>
      <c r="V71" s="9">
        <f>Q71*U71</f>
        <v/>
      </c>
      <c r="W71" s="9" t="n">
        <v>140</v>
      </c>
      <c r="X71" s="8" t="n">
        <v>1</v>
      </c>
      <c r="Y71" s="8" t="n">
        <v>0</v>
      </c>
      <c r="Z71" s="8">
        <f>IF(X71&gt;0,IFERROR(VALUE(LEFT($D71,1)),1),0)</f>
        <v/>
      </c>
      <c r="AA71" s="8">
        <f>X71*Z71</f>
        <v/>
      </c>
      <c r="AB71" s="9">
        <f>W71*AA71</f>
        <v/>
      </c>
      <c r="AC71" s="9" t="n">
        <v>0</v>
      </c>
      <c r="AD71" s="8" t="n">
        <v>0</v>
      </c>
      <c r="AE71" s="8" t="n">
        <v>0</v>
      </c>
      <c r="AF71" s="8">
        <f>IF(AD71&gt;0,IFERROR(VALUE(LEFT($D71,1)),1),0)</f>
        <v/>
      </c>
      <c r="AG71" s="8">
        <f>AD71*AF71</f>
        <v/>
      </c>
      <c r="AH71" s="9">
        <f>AC71*AG71</f>
        <v/>
      </c>
      <c r="AI71" s="9" t="n">
        <v>0</v>
      </c>
      <c r="AJ71" s="8" t="n">
        <v>0</v>
      </c>
      <c r="AK71" s="8" t="n">
        <v>0</v>
      </c>
      <c r="AL71" s="8">
        <f>IF(AJ71&gt;0,IFERROR(VALUE(LEFT($D71,1)),1),0)</f>
        <v/>
      </c>
      <c r="AM71" s="8">
        <f>AJ71*AL71</f>
        <v/>
      </c>
      <c r="AN71" s="9">
        <f>AI71*AM71</f>
        <v/>
      </c>
    </row>
    <row r="72">
      <c r="A72" s="8" t="inlineStr">
        <is>
          <t>TK</t>
        </is>
      </c>
      <c r="B72" s="8" t="inlineStr">
        <is>
          <t>TK angio jb+angio k. dolnych</t>
        </is>
      </c>
      <c r="C72" s="8" t="inlineStr">
        <is>
          <t>TK Angiografia</t>
        </is>
      </c>
      <c r="D72" s="8" t="inlineStr">
        <is>
          <t>3 okolice anatomiczne</t>
        </is>
      </c>
      <c r="E72" s="9" t="n">
        <v>0</v>
      </c>
      <c r="F72" s="8" t="n">
        <v>0</v>
      </c>
      <c r="G72" s="8" t="n">
        <v>0</v>
      </c>
      <c r="H72" s="8">
        <f>IF(F72&gt;0,IFERROR(VALUE(LEFT($D72,1)),1),0)</f>
        <v/>
      </c>
      <c r="I72" s="8">
        <f>F72*H72</f>
        <v/>
      </c>
      <c r="J72" s="9">
        <f>E72*I72</f>
        <v/>
      </c>
      <c r="K72" s="9" t="n">
        <v>0</v>
      </c>
      <c r="L72" s="8" t="n">
        <v>0</v>
      </c>
      <c r="M72" s="8" t="n">
        <v>0</v>
      </c>
      <c r="N72" s="8">
        <f>IF(L72&gt;0,IFERROR(VALUE(LEFT($D72,1)),1),0)</f>
        <v/>
      </c>
      <c r="O72" s="8">
        <f>L72*N72</f>
        <v/>
      </c>
      <c r="P72" s="9">
        <f>K72*O72</f>
        <v/>
      </c>
      <c r="Q72" s="9" t="n">
        <v>0</v>
      </c>
      <c r="R72" s="8" t="n">
        <v>0</v>
      </c>
      <c r="S72" s="8" t="n">
        <v>0</v>
      </c>
      <c r="T72" s="8">
        <f>IF(R72&gt;0,IFERROR(VALUE(LEFT($D72,1)),1),0)</f>
        <v/>
      </c>
      <c r="U72" s="8">
        <f>R72*T72</f>
        <v/>
      </c>
      <c r="V72" s="9">
        <f>Q72*U72</f>
        <v/>
      </c>
      <c r="W72" s="9" t="n">
        <v>140</v>
      </c>
      <c r="X72" s="8" t="n">
        <v>1</v>
      </c>
      <c r="Y72" s="8" t="n">
        <v>0</v>
      </c>
      <c r="Z72" s="8">
        <f>IF(X72&gt;0,IFERROR(VALUE(LEFT($D72,1)),1),0)</f>
        <v/>
      </c>
      <c r="AA72" s="8">
        <f>X72*Z72</f>
        <v/>
      </c>
      <c r="AB72" s="9">
        <f>W72*AA72</f>
        <v/>
      </c>
      <c r="AC72" s="9" t="n">
        <v>0</v>
      </c>
      <c r="AD72" s="8" t="n">
        <v>0</v>
      </c>
      <c r="AE72" s="8" t="n">
        <v>0</v>
      </c>
      <c r="AF72" s="8">
        <f>IF(AD72&gt;0,IFERROR(VALUE(LEFT($D72,1)),1),0)</f>
        <v/>
      </c>
      <c r="AG72" s="8">
        <f>AD72*AF72</f>
        <v/>
      </c>
      <c r="AH72" s="9">
        <f>AC72*AG72</f>
        <v/>
      </c>
      <c r="AI72" s="9" t="n">
        <v>0</v>
      </c>
      <c r="AJ72" s="8" t="n">
        <v>0</v>
      </c>
      <c r="AK72" s="8" t="n">
        <v>0</v>
      </c>
      <c r="AL72" s="8">
        <f>IF(AJ72&gt;0,IFERROR(VALUE(LEFT($D72,1)),1),0)</f>
        <v/>
      </c>
      <c r="AM72" s="8">
        <f>AJ72*AL72</f>
        <v/>
      </c>
      <c r="AN72" s="9">
        <f>AI72*AM72</f>
        <v/>
      </c>
    </row>
    <row r="73">
      <c r="A73" s="8" t="inlineStr">
        <is>
          <t>TK</t>
        </is>
      </c>
      <c r="B73" s="8" t="inlineStr">
        <is>
          <t>TK angio klatki piersiowej</t>
        </is>
      </c>
      <c r="C73" s="8" t="inlineStr">
        <is>
          <t>TK Angiografia</t>
        </is>
      </c>
      <c r="D73" s="8" t="inlineStr">
        <is>
          <t>1 okolica anatomiczna</t>
        </is>
      </c>
      <c r="E73" s="9" t="n">
        <v>0</v>
      </c>
      <c r="F73" s="8" t="n">
        <v>0</v>
      </c>
      <c r="G73" s="8" t="n">
        <v>0</v>
      </c>
      <c r="H73" s="8">
        <f>IF(F73&gt;0,IFERROR(VALUE(LEFT($D73,1)),1),0)</f>
        <v/>
      </c>
      <c r="I73" s="8">
        <f>F73*H73</f>
        <v/>
      </c>
      <c r="J73" s="9">
        <f>E73*I73</f>
        <v/>
      </c>
      <c r="K73" s="9" t="n">
        <v>0</v>
      </c>
      <c r="L73" s="8" t="n">
        <v>0</v>
      </c>
      <c r="M73" s="8" t="n">
        <v>0</v>
      </c>
      <c r="N73" s="8">
        <f>IF(L73&gt;0,IFERROR(VALUE(LEFT($D73,1)),1),0)</f>
        <v/>
      </c>
      <c r="O73" s="8">
        <f>L73*N73</f>
        <v/>
      </c>
      <c r="P73" s="9">
        <f>K73*O73</f>
        <v/>
      </c>
      <c r="Q73" s="9" t="n">
        <v>0</v>
      </c>
      <c r="R73" s="8" t="n">
        <v>0</v>
      </c>
      <c r="S73" s="8" t="n">
        <v>0</v>
      </c>
      <c r="T73" s="8">
        <f>IF(R73&gt;0,IFERROR(VALUE(LEFT($D73,1)),1),0)</f>
        <v/>
      </c>
      <c r="U73" s="8">
        <f>R73*T73</f>
        <v/>
      </c>
      <c r="V73" s="9">
        <f>Q73*U73</f>
        <v/>
      </c>
      <c r="W73" s="9" t="n">
        <v>140</v>
      </c>
      <c r="X73" s="8" t="n">
        <v>7</v>
      </c>
      <c r="Y73" s="8" t="n">
        <v>1</v>
      </c>
      <c r="Z73" s="8">
        <f>IF(X73&gt;0,IFERROR(VALUE(LEFT($D73,1)),1),0)</f>
        <v/>
      </c>
      <c r="AA73" s="8">
        <f>X73*Z73</f>
        <v/>
      </c>
      <c r="AB73" s="9">
        <f>W73*AA73</f>
        <v/>
      </c>
      <c r="AC73" s="9" t="n">
        <v>0</v>
      </c>
      <c r="AD73" s="8" t="n">
        <v>0</v>
      </c>
      <c r="AE73" s="8" t="n">
        <v>0</v>
      </c>
      <c r="AF73" s="8">
        <f>IF(AD73&gt;0,IFERROR(VALUE(LEFT($D73,1)),1),0)</f>
        <v/>
      </c>
      <c r="AG73" s="8">
        <f>AD73*AF73</f>
        <v/>
      </c>
      <c r="AH73" s="9">
        <f>AC73*AG73</f>
        <v/>
      </c>
      <c r="AI73" s="9" t="n">
        <v>0</v>
      </c>
      <c r="AJ73" s="8" t="n">
        <v>0</v>
      </c>
      <c r="AK73" s="8" t="n">
        <v>0</v>
      </c>
      <c r="AL73" s="8">
        <f>IF(AJ73&gt;0,IFERROR(VALUE(LEFT($D73,1)),1),0)</f>
        <v/>
      </c>
      <c r="AM73" s="8">
        <f>AJ73*AL73</f>
        <v/>
      </c>
      <c r="AN73" s="9">
        <f>AI73*AM73</f>
        <v/>
      </c>
    </row>
    <row r="74">
      <c r="A74" s="8" t="inlineStr">
        <is>
          <t>TK</t>
        </is>
      </c>
      <c r="B74" s="8" t="inlineStr">
        <is>
          <t>TK angio klatki piersiowej</t>
        </is>
      </c>
      <c r="C74" s="8" t="inlineStr">
        <is>
          <t>TK Angiografia</t>
        </is>
      </c>
      <c r="D74" s="8" t="inlineStr">
        <is>
          <t>3 okolice anatomiczne</t>
        </is>
      </c>
      <c r="E74" s="9" t="n">
        <v>0</v>
      </c>
      <c r="F74" s="8" t="n">
        <v>0</v>
      </c>
      <c r="G74" s="8" t="n">
        <v>0</v>
      </c>
      <c r="H74" s="8">
        <f>IF(F74&gt;0,IFERROR(VALUE(LEFT($D74,1)),1),0)</f>
        <v/>
      </c>
      <c r="I74" s="8">
        <f>F74*H74</f>
        <v/>
      </c>
      <c r="J74" s="9">
        <f>E74*I74</f>
        <v/>
      </c>
      <c r="K74" s="9" t="n">
        <v>0</v>
      </c>
      <c r="L74" s="8" t="n">
        <v>0</v>
      </c>
      <c r="M74" s="8" t="n">
        <v>0</v>
      </c>
      <c r="N74" s="8">
        <f>IF(L74&gt;0,IFERROR(VALUE(LEFT($D74,1)),1),0)</f>
        <v/>
      </c>
      <c r="O74" s="8">
        <f>L74*N74</f>
        <v/>
      </c>
      <c r="P74" s="9">
        <f>K74*O74</f>
        <v/>
      </c>
      <c r="Q74" s="9" t="n">
        <v>0</v>
      </c>
      <c r="R74" s="8" t="n">
        <v>0</v>
      </c>
      <c r="S74" s="8" t="n">
        <v>0</v>
      </c>
      <c r="T74" s="8">
        <f>IF(R74&gt;0,IFERROR(VALUE(LEFT($D74,1)),1),0)</f>
        <v/>
      </c>
      <c r="U74" s="8">
        <f>R74*T74</f>
        <v/>
      </c>
      <c r="V74" s="9">
        <f>Q74*U74</f>
        <v/>
      </c>
      <c r="W74" s="9" t="n">
        <v>140</v>
      </c>
      <c r="X74" s="8" t="n">
        <v>1</v>
      </c>
      <c r="Y74" s="8" t="n">
        <v>0</v>
      </c>
      <c r="Z74" s="8">
        <f>IF(X74&gt;0,IFERROR(VALUE(LEFT($D74,1)),1),0)</f>
        <v/>
      </c>
      <c r="AA74" s="8">
        <f>X74*Z74</f>
        <v/>
      </c>
      <c r="AB74" s="9">
        <f>W74*AA74</f>
        <v/>
      </c>
      <c r="AC74" s="9" t="n">
        <v>0</v>
      </c>
      <c r="AD74" s="8" t="n">
        <v>0</v>
      </c>
      <c r="AE74" s="8" t="n">
        <v>0</v>
      </c>
      <c r="AF74" s="8">
        <f>IF(AD74&gt;0,IFERROR(VALUE(LEFT($D74,1)),1),0)</f>
        <v/>
      </c>
      <c r="AG74" s="8">
        <f>AD74*AF74</f>
        <v/>
      </c>
      <c r="AH74" s="9">
        <f>AC74*AG74</f>
        <v/>
      </c>
      <c r="AI74" s="9" t="n">
        <v>0</v>
      </c>
      <c r="AJ74" s="8" t="n">
        <v>0</v>
      </c>
      <c r="AK74" s="8" t="n">
        <v>0</v>
      </c>
      <c r="AL74" s="8">
        <f>IF(AJ74&gt;0,IFERROR(VALUE(LEFT($D74,1)),1),0)</f>
        <v/>
      </c>
      <c r="AM74" s="8">
        <f>AJ74*AL74</f>
        <v/>
      </c>
      <c r="AN74" s="9">
        <f>AI74*AM74</f>
        <v/>
      </c>
    </row>
    <row r="75">
      <c r="A75" s="8" t="inlineStr">
        <is>
          <t>TK</t>
        </is>
      </c>
      <c r="B75" s="8" t="inlineStr">
        <is>
          <t>TK angio klp+angio jb+m</t>
        </is>
      </c>
      <c r="C75" s="8" t="inlineStr">
        <is>
          <t>TK Angiografia</t>
        </is>
      </c>
      <c r="D75" s="8" t="inlineStr">
        <is>
          <t>3 okolice anatomiczne</t>
        </is>
      </c>
      <c r="E75" s="9" t="n">
        <v>0</v>
      </c>
      <c r="F75" s="8" t="n">
        <v>0</v>
      </c>
      <c r="G75" s="8" t="n">
        <v>0</v>
      </c>
      <c r="H75" s="8">
        <f>IF(F75&gt;0,IFERROR(VALUE(LEFT($D75,1)),1),0)</f>
        <v/>
      </c>
      <c r="I75" s="8">
        <f>F75*H75</f>
        <v/>
      </c>
      <c r="J75" s="9">
        <f>E75*I75</f>
        <v/>
      </c>
      <c r="K75" s="9" t="n">
        <v>0</v>
      </c>
      <c r="L75" s="8" t="n">
        <v>0</v>
      </c>
      <c r="M75" s="8" t="n">
        <v>0</v>
      </c>
      <c r="N75" s="8">
        <f>IF(L75&gt;0,IFERROR(VALUE(LEFT($D75,1)),1),0)</f>
        <v/>
      </c>
      <c r="O75" s="8">
        <f>L75*N75</f>
        <v/>
      </c>
      <c r="P75" s="9">
        <f>K75*O75</f>
        <v/>
      </c>
      <c r="Q75" s="9" t="n">
        <v>0</v>
      </c>
      <c r="R75" s="8" t="n">
        <v>0</v>
      </c>
      <c r="S75" s="8" t="n">
        <v>0</v>
      </c>
      <c r="T75" s="8">
        <f>IF(R75&gt;0,IFERROR(VALUE(LEFT($D75,1)),1),0)</f>
        <v/>
      </c>
      <c r="U75" s="8">
        <f>R75*T75</f>
        <v/>
      </c>
      <c r="V75" s="9">
        <f>Q75*U75</f>
        <v/>
      </c>
      <c r="W75" s="9" t="n">
        <v>140</v>
      </c>
      <c r="X75" s="8" t="n">
        <v>1</v>
      </c>
      <c r="Y75" s="8" t="n">
        <v>0</v>
      </c>
      <c r="Z75" s="8">
        <f>IF(X75&gt;0,IFERROR(VALUE(LEFT($D75,1)),1),0)</f>
        <v/>
      </c>
      <c r="AA75" s="8">
        <f>X75*Z75</f>
        <v/>
      </c>
      <c r="AB75" s="9">
        <f>W75*AA75</f>
        <v/>
      </c>
      <c r="AC75" s="9" t="n">
        <v>0</v>
      </c>
      <c r="AD75" s="8" t="n">
        <v>0</v>
      </c>
      <c r="AE75" s="8" t="n">
        <v>0</v>
      </c>
      <c r="AF75" s="8">
        <f>IF(AD75&gt;0,IFERROR(VALUE(LEFT($D75,1)),1),0)</f>
        <v/>
      </c>
      <c r="AG75" s="8">
        <f>AD75*AF75</f>
        <v/>
      </c>
      <c r="AH75" s="9">
        <f>AC75*AG75</f>
        <v/>
      </c>
      <c r="AI75" s="9" t="n">
        <v>0</v>
      </c>
      <c r="AJ75" s="8" t="n">
        <v>0</v>
      </c>
      <c r="AK75" s="8" t="n">
        <v>0</v>
      </c>
      <c r="AL75" s="8">
        <f>IF(AJ75&gt;0,IFERROR(VALUE(LEFT($D75,1)),1),0)</f>
        <v/>
      </c>
      <c r="AM75" s="8">
        <f>AJ75*AL75</f>
        <v/>
      </c>
      <c r="AN75" s="9">
        <f>AI75*AM75</f>
        <v/>
      </c>
    </row>
    <row r="76">
      <c r="A76" s="8" t="inlineStr">
        <is>
          <t>TK</t>
        </is>
      </c>
      <c r="B76" s="8" t="inlineStr">
        <is>
          <t>TK angio kończyn dolnych</t>
        </is>
      </c>
      <c r="C76" s="8" t="inlineStr">
        <is>
          <t>TK Angiografia</t>
        </is>
      </c>
      <c r="D76" s="8" t="inlineStr">
        <is>
          <t>3 okolice anatomiczne</t>
        </is>
      </c>
      <c r="E76" s="9" t="n">
        <v>0</v>
      </c>
      <c r="F76" s="8" t="n">
        <v>0</v>
      </c>
      <c r="G76" s="8" t="n">
        <v>0</v>
      </c>
      <c r="H76" s="8">
        <f>IF(F76&gt;0,IFERROR(VALUE(LEFT($D76,1)),1),0)</f>
        <v/>
      </c>
      <c r="I76" s="8">
        <f>F76*H76</f>
        <v/>
      </c>
      <c r="J76" s="9">
        <f>E76*I76</f>
        <v/>
      </c>
      <c r="K76" s="9" t="n">
        <v>0</v>
      </c>
      <c r="L76" s="8" t="n">
        <v>0</v>
      </c>
      <c r="M76" s="8" t="n">
        <v>0</v>
      </c>
      <c r="N76" s="8">
        <f>IF(L76&gt;0,IFERROR(VALUE(LEFT($D76,1)),1),0)</f>
        <v/>
      </c>
      <c r="O76" s="8">
        <f>L76*N76</f>
        <v/>
      </c>
      <c r="P76" s="9">
        <f>K76*O76</f>
        <v/>
      </c>
      <c r="Q76" s="9" t="n">
        <v>0</v>
      </c>
      <c r="R76" s="8" t="n">
        <v>0</v>
      </c>
      <c r="S76" s="8" t="n">
        <v>0</v>
      </c>
      <c r="T76" s="8">
        <f>IF(R76&gt;0,IFERROR(VALUE(LEFT($D76,1)),1),0)</f>
        <v/>
      </c>
      <c r="U76" s="8">
        <f>R76*T76</f>
        <v/>
      </c>
      <c r="V76" s="9">
        <f>Q76*U76</f>
        <v/>
      </c>
      <c r="W76" s="9" t="n">
        <v>140</v>
      </c>
      <c r="X76" s="8" t="n">
        <v>1</v>
      </c>
      <c r="Y76" s="8" t="n">
        <v>0</v>
      </c>
      <c r="Z76" s="8">
        <f>IF(X76&gt;0,IFERROR(VALUE(LEFT($D76,1)),1),0)</f>
        <v/>
      </c>
      <c r="AA76" s="8">
        <f>X76*Z76</f>
        <v/>
      </c>
      <c r="AB76" s="9">
        <f>W76*AA76</f>
        <v/>
      </c>
      <c r="AC76" s="9" t="n">
        <v>140</v>
      </c>
      <c r="AD76" s="8" t="n">
        <v>1</v>
      </c>
      <c r="AE76" s="8" t="n">
        <v>0</v>
      </c>
      <c r="AF76" s="8">
        <f>IF(AD76&gt;0,IFERROR(VALUE(LEFT($D76,1)),1),0)</f>
        <v/>
      </c>
      <c r="AG76" s="8">
        <f>AD76*AF76</f>
        <v/>
      </c>
      <c r="AH76" s="9">
        <f>AC76*AG76</f>
        <v/>
      </c>
      <c r="AI76" s="9" t="n">
        <v>0</v>
      </c>
      <c r="AJ76" s="8" t="n">
        <v>0</v>
      </c>
      <c r="AK76" s="8" t="n">
        <v>0</v>
      </c>
      <c r="AL76" s="8">
        <f>IF(AJ76&gt;0,IFERROR(VALUE(LEFT($D76,1)),1),0)</f>
        <v/>
      </c>
      <c r="AM76" s="8">
        <f>AJ76*AL76</f>
        <v/>
      </c>
      <c r="AN76" s="9">
        <f>AI76*AM76</f>
        <v/>
      </c>
    </row>
    <row r="77">
      <c r="A77" s="8" t="inlineStr">
        <is>
          <t>TK</t>
        </is>
      </c>
      <c r="B77" s="8" t="inlineStr">
        <is>
          <t>TK angio tętnic płucnych</t>
        </is>
      </c>
      <c r="C77" s="8" t="inlineStr">
        <is>
          <t>TK Angiografia</t>
        </is>
      </c>
      <c r="D77" s="8" t="inlineStr">
        <is>
          <t>1 okolica anatomiczna</t>
        </is>
      </c>
      <c r="E77" s="9" t="n">
        <v>0</v>
      </c>
      <c r="F77" s="8" t="n">
        <v>0</v>
      </c>
      <c r="G77" s="8" t="n">
        <v>0</v>
      </c>
      <c r="H77" s="8">
        <f>IF(F77&gt;0,IFERROR(VALUE(LEFT($D77,1)),1),0)</f>
        <v/>
      </c>
      <c r="I77" s="8">
        <f>F77*H77</f>
        <v/>
      </c>
      <c r="J77" s="9">
        <f>E77*I77</f>
        <v/>
      </c>
      <c r="K77" s="9" t="n">
        <v>0</v>
      </c>
      <c r="L77" s="8" t="n">
        <v>0</v>
      </c>
      <c r="M77" s="8" t="n">
        <v>0</v>
      </c>
      <c r="N77" s="8">
        <f>IF(L77&gt;0,IFERROR(VALUE(LEFT($D77,1)),1),0)</f>
        <v/>
      </c>
      <c r="O77" s="8">
        <f>L77*N77</f>
        <v/>
      </c>
      <c r="P77" s="9">
        <f>K77*O77</f>
        <v/>
      </c>
      <c r="Q77" s="9" t="n">
        <v>0</v>
      </c>
      <c r="R77" s="8" t="n">
        <v>0</v>
      </c>
      <c r="S77" s="8" t="n">
        <v>0</v>
      </c>
      <c r="T77" s="8">
        <f>IF(R77&gt;0,IFERROR(VALUE(LEFT($D77,1)),1),0)</f>
        <v/>
      </c>
      <c r="U77" s="8">
        <f>R77*T77</f>
        <v/>
      </c>
      <c r="V77" s="9">
        <f>Q77*U77</f>
        <v/>
      </c>
      <c r="W77" s="9" t="n">
        <v>140</v>
      </c>
      <c r="X77" s="8" t="n">
        <v>2</v>
      </c>
      <c r="Y77" s="8" t="n">
        <v>0</v>
      </c>
      <c r="Z77" s="8">
        <f>IF(X77&gt;0,IFERROR(VALUE(LEFT($D77,1)),1),0)</f>
        <v/>
      </c>
      <c r="AA77" s="8">
        <f>X77*Z77</f>
        <v/>
      </c>
      <c r="AB77" s="9">
        <f>W77*AA77</f>
        <v/>
      </c>
      <c r="AC77" s="9" t="n">
        <v>140</v>
      </c>
      <c r="AD77" s="8" t="n">
        <v>1</v>
      </c>
      <c r="AE77" s="8" t="n">
        <v>0</v>
      </c>
      <c r="AF77" s="8">
        <f>IF(AD77&gt;0,IFERROR(VALUE(LEFT($D77,1)),1),0)</f>
        <v/>
      </c>
      <c r="AG77" s="8">
        <f>AD77*AF77</f>
        <v/>
      </c>
      <c r="AH77" s="9">
        <f>AC77*AG77</f>
        <v/>
      </c>
      <c r="AI77" s="9" t="n">
        <v>0</v>
      </c>
      <c r="AJ77" s="8" t="n">
        <v>0</v>
      </c>
      <c r="AK77" s="8" t="n">
        <v>0</v>
      </c>
      <c r="AL77" s="8">
        <f>IF(AJ77&gt;0,IFERROR(VALUE(LEFT($D77,1)),1),0)</f>
        <v/>
      </c>
      <c r="AM77" s="8">
        <f>AJ77*AL77</f>
        <v/>
      </c>
      <c r="AN77" s="9">
        <f>AI77*AM77</f>
        <v/>
      </c>
    </row>
    <row r="78">
      <c r="A78" s="8" t="inlineStr">
        <is>
          <t>TK</t>
        </is>
      </c>
      <c r="B78" s="8" t="inlineStr">
        <is>
          <t>TK angio tętnic szyjnych</t>
        </is>
      </c>
      <c r="C78" s="8" t="inlineStr">
        <is>
          <t>TK Angiografia</t>
        </is>
      </c>
      <c r="D78" s="8" t="inlineStr">
        <is>
          <t>1 okolica anatomiczna</t>
        </is>
      </c>
      <c r="E78" s="9" t="n">
        <v>0</v>
      </c>
      <c r="F78" s="8" t="n">
        <v>0</v>
      </c>
      <c r="G78" s="8" t="n">
        <v>0</v>
      </c>
      <c r="H78" s="8">
        <f>IF(F78&gt;0,IFERROR(VALUE(LEFT($D78,1)),1),0)</f>
        <v/>
      </c>
      <c r="I78" s="8">
        <f>F78*H78</f>
        <v/>
      </c>
      <c r="J78" s="9">
        <f>E78*I78</f>
        <v/>
      </c>
      <c r="K78" s="9" t="n">
        <v>0</v>
      </c>
      <c r="L78" s="8" t="n">
        <v>0</v>
      </c>
      <c r="M78" s="8" t="n">
        <v>0</v>
      </c>
      <c r="N78" s="8">
        <f>IF(L78&gt;0,IFERROR(VALUE(LEFT($D78,1)),1),0)</f>
        <v/>
      </c>
      <c r="O78" s="8">
        <f>L78*N78</f>
        <v/>
      </c>
      <c r="P78" s="9">
        <f>K78*O78</f>
        <v/>
      </c>
      <c r="Q78" s="9" t="n">
        <v>0</v>
      </c>
      <c r="R78" s="8" t="n">
        <v>0</v>
      </c>
      <c r="S78" s="8" t="n">
        <v>0</v>
      </c>
      <c r="T78" s="8">
        <f>IF(R78&gt;0,IFERROR(VALUE(LEFT($D78,1)),1),0)</f>
        <v/>
      </c>
      <c r="U78" s="8">
        <f>R78*T78</f>
        <v/>
      </c>
      <c r="V78" s="9">
        <f>Q78*U78</f>
        <v/>
      </c>
      <c r="W78" s="9" t="n">
        <v>140</v>
      </c>
      <c r="X78" s="8" t="n">
        <v>1</v>
      </c>
      <c r="Y78" s="8" t="n">
        <v>0</v>
      </c>
      <c r="Z78" s="8">
        <f>IF(X78&gt;0,IFERROR(VALUE(LEFT($D78,1)),1),0)</f>
        <v/>
      </c>
      <c r="AA78" s="8">
        <f>X78*Z78</f>
        <v/>
      </c>
      <c r="AB78" s="9">
        <f>W78*AA78</f>
        <v/>
      </c>
      <c r="AC78" s="9" t="n">
        <v>140</v>
      </c>
      <c r="AD78" s="8" t="n">
        <v>1</v>
      </c>
      <c r="AE78" s="8" t="n">
        <v>0</v>
      </c>
      <c r="AF78" s="8">
        <f>IF(AD78&gt;0,IFERROR(VALUE(LEFT($D78,1)),1),0)</f>
        <v/>
      </c>
      <c r="AG78" s="8">
        <f>AD78*AF78</f>
        <v/>
      </c>
      <c r="AH78" s="9">
        <f>AC78*AG78</f>
        <v/>
      </c>
      <c r="AI78" s="9" t="n">
        <v>0</v>
      </c>
      <c r="AJ78" s="8" t="n">
        <v>0</v>
      </c>
      <c r="AK78" s="8" t="n">
        <v>0</v>
      </c>
      <c r="AL78" s="8">
        <f>IF(AJ78&gt;0,IFERROR(VALUE(LEFT($D78,1)),1),0)</f>
        <v/>
      </c>
      <c r="AM78" s="8">
        <f>AJ78*AL78</f>
        <v/>
      </c>
      <c r="AN78" s="9">
        <f>AI78*AM78</f>
        <v/>
      </c>
    </row>
    <row r="79">
      <c r="A79" s="8" t="inlineStr">
        <is>
          <t>TK</t>
        </is>
      </c>
      <c r="B79" s="8" t="inlineStr">
        <is>
          <t>TK angiografia aorty brzusznej</t>
        </is>
      </c>
      <c r="C79" s="8" t="inlineStr">
        <is>
          <t>TK Angiografia</t>
        </is>
      </c>
      <c r="D79" s="8" t="inlineStr">
        <is>
          <t>2 okolice anatomiczne</t>
        </is>
      </c>
      <c r="E79" s="9" t="n">
        <v>0</v>
      </c>
      <c r="F79" s="8" t="n">
        <v>0</v>
      </c>
      <c r="G79" s="8" t="n">
        <v>0</v>
      </c>
      <c r="H79" s="8">
        <f>IF(F79&gt;0,IFERROR(VALUE(LEFT($D79,1)),1),0)</f>
        <v/>
      </c>
      <c r="I79" s="8">
        <f>F79*H79</f>
        <v/>
      </c>
      <c r="J79" s="9">
        <f>E79*I79</f>
        <v/>
      </c>
      <c r="K79" s="9" t="n">
        <v>0</v>
      </c>
      <c r="L79" s="8" t="n">
        <v>0</v>
      </c>
      <c r="M79" s="8" t="n">
        <v>0</v>
      </c>
      <c r="N79" s="8">
        <f>IF(L79&gt;0,IFERROR(VALUE(LEFT($D79,1)),1),0)</f>
        <v/>
      </c>
      <c r="O79" s="8">
        <f>L79*N79</f>
        <v/>
      </c>
      <c r="P79" s="9">
        <f>K79*O79</f>
        <v/>
      </c>
      <c r="Q79" s="9" t="n">
        <v>0</v>
      </c>
      <c r="R79" s="8" t="n">
        <v>0</v>
      </c>
      <c r="S79" s="8" t="n">
        <v>0</v>
      </c>
      <c r="T79" s="8">
        <f>IF(R79&gt;0,IFERROR(VALUE(LEFT($D79,1)),1),0)</f>
        <v/>
      </c>
      <c r="U79" s="8">
        <f>R79*T79</f>
        <v/>
      </c>
      <c r="V79" s="9">
        <f>Q79*U79</f>
        <v/>
      </c>
      <c r="W79" s="9" t="n">
        <v>140</v>
      </c>
      <c r="X79" s="8" t="n">
        <v>1</v>
      </c>
      <c r="Y79" s="8" t="n">
        <v>2</v>
      </c>
      <c r="Z79" s="8">
        <f>IF(X79&gt;0,IFERROR(VALUE(LEFT($D79,1)),1),0)</f>
        <v/>
      </c>
      <c r="AA79" s="8">
        <f>X79*Z79</f>
        <v/>
      </c>
      <c r="AB79" s="9">
        <f>W79*AA79</f>
        <v/>
      </c>
      <c r="AC79" s="9" t="n">
        <v>0</v>
      </c>
      <c r="AD79" s="8" t="n">
        <v>0</v>
      </c>
      <c r="AE79" s="8" t="n">
        <v>0</v>
      </c>
      <c r="AF79" s="8">
        <f>IF(AD79&gt;0,IFERROR(VALUE(LEFT($D79,1)),1),0)</f>
        <v/>
      </c>
      <c r="AG79" s="8">
        <f>AD79*AF79</f>
        <v/>
      </c>
      <c r="AH79" s="9">
        <f>AC79*AG79</f>
        <v/>
      </c>
      <c r="AI79" s="9" t="n">
        <v>0</v>
      </c>
      <c r="AJ79" s="8" t="n">
        <v>0</v>
      </c>
      <c r="AK79" s="8" t="n">
        <v>0</v>
      </c>
      <c r="AL79" s="8">
        <f>IF(AJ79&gt;0,IFERROR(VALUE(LEFT($D79,1)),1),0)</f>
        <v/>
      </c>
      <c r="AM79" s="8">
        <f>AJ79*AL79</f>
        <v/>
      </c>
      <c r="AN79" s="9">
        <f>AI79*AM79</f>
        <v/>
      </c>
    </row>
    <row r="80">
      <c r="A80" s="8" t="inlineStr">
        <is>
          <t>TK</t>
        </is>
      </c>
      <c r="B80" s="8" t="inlineStr">
        <is>
          <t>TK angiografia aorty piersiowej</t>
        </is>
      </c>
      <c r="C80" s="8" t="inlineStr">
        <is>
          <t>TK Angiografia</t>
        </is>
      </c>
      <c r="D80" s="8" t="inlineStr">
        <is>
          <t>1 okolica anatomiczna</t>
        </is>
      </c>
      <c r="E80" s="9" t="n">
        <v>0</v>
      </c>
      <c r="F80" s="8" t="n">
        <v>0</v>
      </c>
      <c r="G80" s="8" t="n">
        <v>0</v>
      </c>
      <c r="H80" s="8">
        <f>IF(F80&gt;0,IFERROR(VALUE(LEFT($D80,1)),1),0)</f>
        <v/>
      </c>
      <c r="I80" s="8">
        <f>F80*H80</f>
        <v/>
      </c>
      <c r="J80" s="9">
        <f>E80*I80</f>
        <v/>
      </c>
      <c r="K80" s="9" t="n">
        <v>0</v>
      </c>
      <c r="L80" s="8" t="n">
        <v>0</v>
      </c>
      <c r="M80" s="8" t="n">
        <v>0</v>
      </c>
      <c r="N80" s="8">
        <f>IF(L80&gt;0,IFERROR(VALUE(LEFT($D80,1)),1),0)</f>
        <v/>
      </c>
      <c r="O80" s="8">
        <f>L80*N80</f>
        <v/>
      </c>
      <c r="P80" s="9">
        <f>K80*O80</f>
        <v/>
      </c>
      <c r="Q80" s="9" t="n">
        <v>0</v>
      </c>
      <c r="R80" s="8" t="n">
        <v>0</v>
      </c>
      <c r="S80" s="8" t="n">
        <v>0</v>
      </c>
      <c r="T80" s="8">
        <f>IF(R80&gt;0,IFERROR(VALUE(LEFT($D80,1)),1),0)</f>
        <v/>
      </c>
      <c r="U80" s="8">
        <f>R80*T80</f>
        <v/>
      </c>
      <c r="V80" s="9">
        <f>Q80*U80</f>
        <v/>
      </c>
      <c r="W80" s="9" t="n">
        <v>140</v>
      </c>
      <c r="X80" s="8" t="n">
        <v>1</v>
      </c>
      <c r="Y80" s="8" t="n">
        <v>0</v>
      </c>
      <c r="Z80" s="8">
        <f>IF(X80&gt;0,IFERROR(VALUE(LEFT($D80,1)),1),0)</f>
        <v/>
      </c>
      <c r="AA80" s="8">
        <f>X80*Z80</f>
        <v/>
      </c>
      <c r="AB80" s="9">
        <f>W80*AA80</f>
        <v/>
      </c>
      <c r="AC80" s="9" t="n">
        <v>0</v>
      </c>
      <c r="AD80" s="8" t="n">
        <v>0</v>
      </c>
      <c r="AE80" s="8" t="n">
        <v>0</v>
      </c>
      <c r="AF80" s="8">
        <f>IF(AD80&gt;0,IFERROR(VALUE(LEFT($D80,1)),1),0)</f>
        <v/>
      </c>
      <c r="AG80" s="8">
        <f>AD80*AF80</f>
        <v/>
      </c>
      <c r="AH80" s="9">
        <f>AC80*AG80</f>
        <v/>
      </c>
      <c r="AI80" s="9" t="n">
        <v>0</v>
      </c>
      <c r="AJ80" s="8" t="n">
        <v>0</v>
      </c>
      <c r="AK80" s="8" t="n">
        <v>0</v>
      </c>
      <c r="AL80" s="8">
        <f>IF(AJ80&gt;0,IFERROR(VALUE(LEFT($D80,1)),1),0)</f>
        <v/>
      </c>
      <c r="AM80" s="8">
        <f>AJ80*AL80</f>
        <v/>
      </c>
      <c r="AN80" s="9">
        <f>AI80*AM80</f>
        <v/>
      </c>
    </row>
    <row r="81">
      <c r="A81" s="8" t="inlineStr">
        <is>
          <t>TK</t>
        </is>
      </c>
      <c r="B81" s="8" t="inlineStr">
        <is>
          <t>TK angiografia głowy i szyi</t>
        </is>
      </c>
      <c r="C81" s="8" t="inlineStr">
        <is>
          <t>TK Angiografia</t>
        </is>
      </c>
      <c r="D81" s="8" t="inlineStr">
        <is>
          <t>2 okolice anatomiczne</t>
        </is>
      </c>
      <c r="E81" s="9" t="n">
        <v>0</v>
      </c>
      <c r="F81" s="8" t="n">
        <v>0</v>
      </c>
      <c r="G81" s="8" t="n">
        <v>0</v>
      </c>
      <c r="H81" s="8">
        <f>IF(F81&gt;0,IFERROR(VALUE(LEFT($D81,1)),1),0)</f>
        <v/>
      </c>
      <c r="I81" s="8">
        <f>F81*H81</f>
        <v/>
      </c>
      <c r="J81" s="9">
        <f>E81*I81</f>
        <v/>
      </c>
      <c r="K81" s="9" t="n">
        <v>140</v>
      </c>
      <c r="L81" s="8" t="n">
        <v>1</v>
      </c>
      <c r="M81" s="8" t="n">
        <v>0</v>
      </c>
      <c r="N81" s="8">
        <f>IF(L81&gt;0,IFERROR(VALUE(LEFT($D81,1)),1),0)</f>
        <v/>
      </c>
      <c r="O81" s="8">
        <f>L81*N81</f>
        <v/>
      </c>
      <c r="P81" s="9">
        <f>K81*O81</f>
        <v/>
      </c>
      <c r="Q81" s="9" t="n">
        <v>0</v>
      </c>
      <c r="R81" s="8" t="n">
        <v>0</v>
      </c>
      <c r="S81" s="8" t="n">
        <v>0</v>
      </c>
      <c r="T81" s="8">
        <f>IF(R81&gt;0,IFERROR(VALUE(LEFT($D81,1)),1),0)</f>
        <v/>
      </c>
      <c r="U81" s="8">
        <f>R81*T81</f>
        <v/>
      </c>
      <c r="V81" s="9">
        <f>Q81*U81</f>
        <v/>
      </c>
      <c r="W81" s="9" t="n">
        <v>140</v>
      </c>
      <c r="X81" s="8" t="n">
        <v>2</v>
      </c>
      <c r="Y81" s="8" t="n">
        <v>0</v>
      </c>
      <c r="Z81" s="8">
        <f>IF(X81&gt;0,IFERROR(VALUE(LEFT($D81,1)),1),0)</f>
        <v/>
      </c>
      <c r="AA81" s="8">
        <f>X81*Z81</f>
        <v/>
      </c>
      <c r="AB81" s="9">
        <f>W81*AA81</f>
        <v/>
      </c>
      <c r="AC81" s="9" t="n">
        <v>0</v>
      </c>
      <c r="AD81" s="8" t="n">
        <v>0</v>
      </c>
      <c r="AE81" s="8" t="n">
        <v>0</v>
      </c>
      <c r="AF81" s="8">
        <f>IF(AD81&gt;0,IFERROR(VALUE(LEFT($D81,1)),1),0)</f>
        <v/>
      </c>
      <c r="AG81" s="8">
        <f>AD81*AF81</f>
        <v/>
      </c>
      <c r="AH81" s="9">
        <f>AC81*AG81</f>
        <v/>
      </c>
      <c r="AI81" s="9" t="n">
        <v>0</v>
      </c>
      <c r="AJ81" s="8" t="n">
        <v>0</v>
      </c>
      <c r="AK81" s="8" t="n">
        <v>0</v>
      </c>
      <c r="AL81" s="8">
        <f>IF(AJ81&gt;0,IFERROR(VALUE(LEFT($D81,1)),1),0)</f>
        <v/>
      </c>
      <c r="AM81" s="8">
        <f>AJ81*AL81</f>
        <v/>
      </c>
      <c r="AN81" s="9">
        <f>AI81*AM81</f>
        <v/>
      </c>
    </row>
    <row r="82">
      <c r="A82" s="8" t="inlineStr">
        <is>
          <t>TK</t>
        </is>
      </c>
      <c r="B82" s="8" t="inlineStr">
        <is>
          <t>TK angiografia szyi</t>
        </is>
      </c>
      <c r="C82" s="8" t="inlineStr">
        <is>
          <t>TK Angiografia</t>
        </is>
      </c>
      <c r="D82" s="8" t="inlineStr">
        <is>
          <t>1 okolica anatomiczna</t>
        </is>
      </c>
      <c r="E82" s="9" t="n">
        <v>0</v>
      </c>
      <c r="F82" s="8" t="n">
        <v>0</v>
      </c>
      <c r="G82" s="8" t="n">
        <v>0</v>
      </c>
      <c r="H82" s="8">
        <f>IF(F82&gt;0,IFERROR(VALUE(LEFT($D82,1)),1),0)</f>
        <v/>
      </c>
      <c r="I82" s="8">
        <f>F82*H82</f>
        <v/>
      </c>
      <c r="J82" s="9">
        <f>E82*I82</f>
        <v/>
      </c>
      <c r="K82" s="9" t="n">
        <v>0</v>
      </c>
      <c r="L82" s="8" t="n">
        <v>0</v>
      </c>
      <c r="M82" s="8" t="n">
        <v>0</v>
      </c>
      <c r="N82" s="8">
        <f>IF(L82&gt;0,IFERROR(VALUE(LEFT($D82,1)),1),0)</f>
        <v/>
      </c>
      <c r="O82" s="8">
        <f>L82*N82</f>
        <v/>
      </c>
      <c r="P82" s="9">
        <f>K82*O82</f>
        <v/>
      </c>
      <c r="Q82" s="9" t="n">
        <v>0</v>
      </c>
      <c r="R82" s="8" t="n">
        <v>0</v>
      </c>
      <c r="S82" s="8" t="n">
        <v>0</v>
      </c>
      <c r="T82" s="8">
        <f>IF(R82&gt;0,IFERROR(VALUE(LEFT($D82,1)),1),0)</f>
        <v/>
      </c>
      <c r="U82" s="8">
        <f>R82*T82</f>
        <v/>
      </c>
      <c r="V82" s="9">
        <f>Q82*U82</f>
        <v/>
      </c>
      <c r="W82" s="9" t="n">
        <v>140</v>
      </c>
      <c r="X82" s="8" t="n">
        <v>1</v>
      </c>
      <c r="Y82" s="8" t="n">
        <v>0</v>
      </c>
      <c r="Z82" s="8">
        <f>IF(X82&gt;0,IFERROR(VALUE(LEFT($D82,1)),1),0)</f>
        <v/>
      </c>
      <c r="AA82" s="8">
        <f>X82*Z82</f>
        <v/>
      </c>
      <c r="AB82" s="9">
        <f>W82*AA82</f>
        <v/>
      </c>
      <c r="AC82" s="9" t="n">
        <v>0</v>
      </c>
      <c r="AD82" s="8" t="n">
        <v>0</v>
      </c>
      <c r="AE82" s="8" t="n">
        <v>0</v>
      </c>
      <c r="AF82" s="8">
        <f>IF(AD82&gt;0,IFERROR(VALUE(LEFT($D82,1)),1),0)</f>
        <v/>
      </c>
      <c r="AG82" s="8">
        <f>AD82*AF82</f>
        <v/>
      </c>
      <c r="AH82" s="9">
        <f>AC82*AG82</f>
        <v/>
      </c>
      <c r="AI82" s="9" t="n">
        <v>0</v>
      </c>
      <c r="AJ82" s="8" t="n">
        <v>0</v>
      </c>
      <c r="AK82" s="8" t="n">
        <v>0</v>
      </c>
      <c r="AL82" s="8">
        <f>IF(AJ82&gt;0,IFERROR(VALUE(LEFT($D82,1)),1),0)</f>
        <v/>
      </c>
      <c r="AM82" s="8">
        <f>AJ82*AL82</f>
        <v/>
      </c>
      <c r="AN82" s="9">
        <f>AI82*AM82</f>
        <v/>
      </c>
    </row>
    <row r="83">
      <c r="A83" s="8" t="inlineStr">
        <is>
          <t>TK</t>
        </is>
      </c>
      <c r="B83" s="8" t="inlineStr">
        <is>
          <t>TK angiografia tt. Mózgowych [87.03 ]</t>
        </is>
      </c>
      <c r="C83" s="8" t="inlineStr">
        <is>
          <t>TK Angiografia</t>
        </is>
      </c>
      <c r="D83" s="8" t="inlineStr">
        <is>
          <t>2 okolice anatomiczne</t>
        </is>
      </c>
      <c r="E83" s="9" t="n">
        <v>0</v>
      </c>
      <c r="F83" s="8" t="n">
        <v>0</v>
      </c>
      <c r="G83" s="8" t="n">
        <v>0</v>
      </c>
      <c r="H83" s="8">
        <f>IF(F83&gt;0,IFERROR(VALUE(LEFT($D83,1)),1),0)</f>
        <v/>
      </c>
      <c r="I83" s="8">
        <f>F83*H83</f>
        <v/>
      </c>
      <c r="J83" s="9">
        <f>E83*I83</f>
        <v/>
      </c>
      <c r="K83" s="9" t="n">
        <v>0</v>
      </c>
      <c r="L83" s="8" t="n">
        <v>0</v>
      </c>
      <c r="M83" s="8" t="n">
        <v>0</v>
      </c>
      <c r="N83" s="8">
        <f>IF(L83&gt;0,IFERROR(VALUE(LEFT($D83,1)),1),0)</f>
        <v/>
      </c>
      <c r="O83" s="8">
        <f>L83*N83</f>
        <v/>
      </c>
      <c r="P83" s="9">
        <f>K83*O83</f>
        <v/>
      </c>
      <c r="Q83" s="9" t="n">
        <v>0</v>
      </c>
      <c r="R83" s="8" t="n">
        <v>0</v>
      </c>
      <c r="S83" s="8" t="n">
        <v>0</v>
      </c>
      <c r="T83" s="8">
        <f>IF(R83&gt;0,IFERROR(VALUE(LEFT($D83,1)),1),0)</f>
        <v/>
      </c>
      <c r="U83" s="8">
        <f>R83*T83</f>
        <v/>
      </c>
      <c r="V83" s="9">
        <f>Q83*U83</f>
        <v/>
      </c>
      <c r="W83" s="9" t="n">
        <v>140</v>
      </c>
      <c r="X83" s="8" t="n">
        <v>2</v>
      </c>
      <c r="Y83" s="8" t="n">
        <v>2</v>
      </c>
      <c r="Z83" s="8">
        <f>IF(X83&gt;0,IFERROR(VALUE(LEFT($D83,1)),1),0)</f>
        <v/>
      </c>
      <c r="AA83" s="8">
        <f>X83*Z83</f>
        <v/>
      </c>
      <c r="AB83" s="9">
        <f>W83*AA83</f>
        <v/>
      </c>
      <c r="AC83" s="9" t="n">
        <v>0</v>
      </c>
      <c r="AD83" s="8" t="n">
        <v>0</v>
      </c>
      <c r="AE83" s="8" t="n">
        <v>0</v>
      </c>
      <c r="AF83" s="8">
        <f>IF(AD83&gt;0,IFERROR(VALUE(LEFT($D83,1)),1),0)</f>
        <v/>
      </c>
      <c r="AG83" s="8">
        <f>AD83*AF83</f>
        <v/>
      </c>
      <c r="AH83" s="9">
        <f>AC83*AG83</f>
        <v/>
      </c>
      <c r="AI83" s="9" t="n">
        <v>0</v>
      </c>
      <c r="AJ83" s="8" t="n">
        <v>0</v>
      </c>
      <c r="AK83" s="8" t="n">
        <v>0</v>
      </c>
      <c r="AL83" s="8">
        <f>IF(AJ83&gt;0,IFERROR(VALUE(LEFT($D83,1)),1),0)</f>
        <v/>
      </c>
      <c r="AM83" s="8">
        <f>AJ83*AL83</f>
        <v/>
      </c>
      <c r="AN83" s="9">
        <f>AI83*AM83</f>
        <v/>
      </c>
    </row>
    <row r="84">
      <c r="A84" s="8" t="inlineStr">
        <is>
          <t>TK</t>
        </is>
      </c>
      <c r="B84" s="8" t="inlineStr">
        <is>
          <t>TK głowy (mózgowia) bez kontrastu</t>
        </is>
      </c>
      <c r="C84" s="8" t="inlineStr">
        <is>
          <t>TK Angiografia</t>
        </is>
      </c>
      <c r="D84" s="8" t="inlineStr">
        <is>
          <t>1 okolica anatomiczna</t>
        </is>
      </c>
      <c r="E84" s="9" t="n">
        <v>0</v>
      </c>
      <c r="F84" s="8" t="n">
        <v>0</v>
      </c>
      <c r="G84" s="8" t="n">
        <v>0</v>
      </c>
      <c r="H84" s="8">
        <f>IF(F84&gt;0,IFERROR(VALUE(LEFT($D84,1)),1),0)</f>
        <v/>
      </c>
      <c r="I84" s="8">
        <f>F84*H84</f>
        <v/>
      </c>
      <c r="J84" s="9">
        <f>E84*I84</f>
        <v/>
      </c>
      <c r="K84" s="9" t="n">
        <v>140</v>
      </c>
      <c r="L84" s="8" t="n">
        <v>1</v>
      </c>
      <c r="M84" s="8" t="n">
        <v>1</v>
      </c>
      <c r="N84" s="8">
        <f>IF(L84&gt;0,IFERROR(VALUE(LEFT($D84,1)),1),0)</f>
        <v/>
      </c>
      <c r="O84" s="8">
        <f>L84*N84</f>
        <v/>
      </c>
      <c r="P84" s="9">
        <f>K84*O84</f>
        <v/>
      </c>
      <c r="Q84" s="9" t="n">
        <v>0</v>
      </c>
      <c r="R84" s="8" t="n">
        <v>0</v>
      </c>
      <c r="S84" s="8" t="n">
        <v>0</v>
      </c>
      <c r="T84" s="8">
        <f>IF(R84&gt;0,IFERROR(VALUE(LEFT($D84,1)),1),0)</f>
        <v/>
      </c>
      <c r="U84" s="8">
        <f>R84*T84</f>
        <v/>
      </c>
      <c r="V84" s="9">
        <f>Q84*U84</f>
        <v/>
      </c>
      <c r="W84" s="9" t="n">
        <v>140</v>
      </c>
      <c r="X84" s="8" t="n">
        <v>6</v>
      </c>
      <c r="Y84" s="8" t="n">
        <v>1</v>
      </c>
      <c r="Z84" s="8">
        <f>IF(X84&gt;0,IFERROR(VALUE(LEFT($D84,1)),1),0)</f>
        <v/>
      </c>
      <c r="AA84" s="8">
        <f>X84*Z84</f>
        <v/>
      </c>
      <c r="AB84" s="9">
        <f>W84*AA84</f>
        <v/>
      </c>
      <c r="AC84" s="9" t="n">
        <v>0</v>
      </c>
      <c r="AD84" s="8" t="n">
        <v>0</v>
      </c>
      <c r="AE84" s="8" t="n">
        <v>0</v>
      </c>
      <c r="AF84" s="8">
        <f>IF(AD84&gt;0,IFERROR(VALUE(LEFT($D84,1)),1),0)</f>
        <v/>
      </c>
      <c r="AG84" s="8">
        <f>AD84*AF84</f>
        <v/>
      </c>
      <c r="AH84" s="9">
        <f>AC84*AG84</f>
        <v/>
      </c>
      <c r="AI84" s="9" t="n">
        <v>0</v>
      </c>
      <c r="AJ84" s="8" t="n">
        <v>0</v>
      </c>
      <c r="AK84" s="8" t="n">
        <v>0</v>
      </c>
      <c r="AL84" s="8">
        <f>IF(AJ84&gt;0,IFERROR(VALUE(LEFT($D84,1)),1),0)</f>
        <v/>
      </c>
      <c r="AM84" s="8">
        <f>AJ84*AL84</f>
        <v/>
      </c>
      <c r="AN84" s="9">
        <f>AI84*AM84</f>
        <v/>
      </c>
    </row>
    <row r="85">
      <c r="A85" s="8" t="inlineStr">
        <is>
          <t>TK</t>
        </is>
      </c>
      <c r="B85" s="8" t="inlineStr">
        <is>
          <t>TK głowy (mózgowia) bez kontrastu</t>
        </is>
      </c>
      <c r="C85" s="8" t="inlineStr">
        <is>
          <t>TK Angiografia</t>
        </is>
      </c>
      <c r="D85" s="8" t="inlineStr">
        <is>
          <t>2 okolice anatomiczne</t>
        </is>
      </c>
      <c r="E85" s="9" t="n">
        <v>0</v>
      </c>
      <c r="F85" s="8" t="n">
        <v>0</v>
      </c>
      <c r="G85" s="8" t="n">
        <v>0</v>
      </c>
      <c r="H85" s="8">
        <f>IF(F85&gt;0,IFERROR(VALUE(LEFT($D85,1)),1),0)</f>
        <v/>
      </c>
      <c r="I85" s="8">
        <f>F85*H85</f>
        <v/>
      </c>
      <c r="J85" s="9">
        <f>E85*I85</f>
        <v/>
      </c>
      <c r="K85" s="9" t="n">
        <v>0</v>
      </c>
      <c r="L85" s="8" t="n">
        <v>0</v>
      </c>
      <c r="M85" s="8" t="n">
        <v>0</v>
      </c>
      <c r="N85" s="8">
        <f>IF(L85&gt;0,IFERROR(VALUE(LEFT($D85,1)),1),0)</f>
        <v/>
      </c>
      <c r="O85" s="8">
        <f>L85*N85</f>
        <v/>
      </c>
      <c r="P85" s="9">
        <f>K85*O85</f>
        <v/>
      </c>
      <c r="Q85" s="9" t="n">
        <v>0</v>
      </c>
      <c r="R85" s="8" t="n">
        <v>0</v>
      </c>
      <c r="S85" s="8" t="n">
        <v>0</v>
      </c>
      <c r="T85" s="8">
        <f>IF(R85&gt;0,IFERROR(VALUE(LEFT($D85,1)),1),0)</f>
        <v/>
      </c>
      <c r="U85" s="8">
        <f>R85*T85</f>
        <v/>
      </c>
      <c r="V85" s="9">
        <f>Q85*U85</f>
        <v/>
      </c>
      <c r="W85" s="9" t="n">
        <v>140</v>
      </c>
      <c r="X85" s="8" t="n">
        <v>1</v>
      </c>
      <c r="Y85" s="8" t="n">
        <v>0</v>
      </c>
      <c r="Z85" s="8">
        <f>IF(X85&gt;0,IFERROR(VALUE(LEFT($D85,1)),1),0)</f>
        <v/>
      </c>
      <c r="AA85" s="8">
        <f>X85*Z85</f>
        <v/>
      </c>
      <c r="AB85" s="9">
        <f>W85*AA85</f>
        <v/>
      </c>
      <c r="AC85" s="9" t="n">
        <v>0</v>
      </c>
      <c r="AD85" s="8" t="n">
        <v>0</v>
      </c>
      <c r="AE85" s="8" t="n">
        <v>0</v>
      </c>
      <c r="AF85" s="8">
        <f>IF(AD85&gt;0,IFERROR(VALUE(LEFT($D85,1)),1),0)</f>
        <v/>
      </c>
      <c r="AG85" s="8">
        <f>AD85*AF85</f>
        <v/>
      </c>
      <c r="AH85" s="9">
        <f>AC85*AG85</f>
        <v/>
      </c>
      <c r="AI85" s="9" t="n">
        <v>0</v>
      </c>
      <c r="AJ85" s="8" t="n">
        <v>0</v>
      </c>
      <c r="AK85" s="8" t="n">
        <v>0</v>
      </c>
      <c r="AL85" s="8">
        <f>IF(AJ85&gt;0,IFERROR(VALUE(LEFT($D85,1)),1),0)</f>
        <v/>
      </c>
      <c r="AM85" s="8">
        <f>AJ85*AL85</f>
        <v/>
      </c>
      <c r="AN85" s="9">
        <f>AI85*AM85</f>
        <v/>
      </c>
    </row>
    <row r="86">
      <c r="A86" s="8" t="inlineStr">
        <is>
          <t>TK</t>
        </is>
      </c>
      <c r="B86" s="8" t="inlineStr">
        <is>
          <t>TK głowy (mózgowia) z kontrastem</t>
        </is>
      </c>
      <c r="C86" s="8" t="inlineStr">
        <is>
          <t>TK Angiografia</t>
        </is>
      </c>
      <c r="D86" s="8" t="inlineStr">
        <is>
          <t>1 okolica anatomiczna</t>
        </is>
      </c>
      <c r="E86" s="9" t="n">
        <v>0</v>
      </c>
      <c r="F86" s="8" t="n">
        <v>0</v>
      </c>
      <c r="G86" s="8" t="n">
        <v>0</v>
      </c>
      <c r="H86" s="8">
        <f>IF(F86&gt;0,IFERROR(VALUE(LEFT($D86,1)),1),0)</f>
        <v/>
      </c>
      <c r="I86" s="8">
        <f>F86*H86</f>
        <v/>
      </c>
      <c r="J86" s="9">
        <f>E86*I86</f>
        <v/>
      </c>
      <c r="K86" s="9" t="n">
        <v>0</v>
      </c>
      <c r="L86" s="8" t="n">
        <v>0</v>
      </c>
      <c r="M86" s="8" t="n">
        <v>0</v>
      </c>
      <c r="N86" s="8">
        <f>IF(L86&gt;0,IFERROR(VALUE(LEFT($D86,1)),1),0)</f>
        <v/>
      </c>
      <c r="O86" s="8">
        <f>L86*N86</f>
        <v/>
      </c>
      <c r="P86" s="9">
        <f>K86*O86</f>
        <v/>
      </c>
      <c r="Q86" s="9" t="n">
        <v>0</v>
      </c>
      <c r="R86" s="8" t="n">
        <v>0</v>
      </c>
      <c r="S86" s="8" t="n">
        <v>0</v>
      </c>
      <c r="T86" s="8">
        <f>IF(R86&gt;0,IFERROR(VALUE(LEFT($D86,1)),1),0)</f>
        <v/>
      </c>
      <c r="U86" s="8">
        <f>R86*T86</f>
        <v/>
      </c>
      <c r="V86" s="9">
        <f>Q86*U86</f>
        <v/>
      </c>
      <c r="W86" s="9" t="n">
        <v>120</v>
      </c>
      <c r="X86" s="8" t="n">
        <v>1</v>
      </c>
      <c r="Y86" s="8" t="n">
        <v>0</v>
      </c>
      <c r="Z86" s="8">
        <f>IF(X86&gt;0,IFERROR(VALUE(LEFT($D86,1)),1),0)</f>
        <v/>
      </c>
      <c r="AA86" s="8">
        <f>X86*Z86</f>
        <v/>
      </c>
      <c r="AB86" s="9">
        <f>W86*AA86</f>
        <v/>
      </c>
      <c r="AC86" s="9" t="n">
        <v>0</v>
      </c>
      <c r="AD86" s="8" t="n">
        <v>0</v>
      </c>
      <c r="AE86" s="8" t="n">
        <v>0</v>
      </c>
      <c r="AF86" s="8">
        <f>IF(AD86&gt;0,IFERROR(VALUE(LEFT($D86,1)),1),0)</f>
        <v/>
      </c>
      <c r="AG86" s="8">
        <f>AD86*AF86</f>
        <v/>
      </c>
      <c r="AH86" s="9">
        <f>AC86*AG86</f>
        <v/>
      </c>
      <c r="AI86" s="9" t="n">
        <v>0</v>
      </c>
      <c r="AJ86" s="8" t="n">
        <v>0</v>
      </c>
      <c r="AK86" s="8" t="n">
        <v>0</v>
      </c>
      <c r="AL86" s="8">
        <f>IF(AJ86&gt;0,IFERROR(VALUE(LEFT($D86,1)),1),0)</f>
        <v/>
      </c>
      <c r="AM86" s="8">
        <f>AJ86*AL86</f>
        <v/>
      </c>
      <c r="AN86" s="9">
        <f>AI86*AM86</f>
        <v/>
      </c>
    </row>
    <row r="87">
      <c r="A87" s="8" t="inlineStr">
        <is>
          <t>TK</t>
        </is>
      </c>
      <c r="B87" s="8" t="inlineStr">
        <is>
          <t>TK głowy dwufazowe</t>
        </is>
      </c>
      <c r="C87" s="8" t="inlineStr">
        <is>
          <t>TK Angiografia</t>
        </is>
      </c>
      <c r="D87" s="8" t="inlineStr">
        <is>
          <t>1 okolica anatomiczna</t>
        </is>
      </c>
      <c r="E87" s="9" t="n">
        <v>0</v>
      </c>
      <c r="F87" s="8" t="n">
        <v>0</v>
      </c>
      <c r="G87" s="8" t="n">
        <v>0</v>
      </c>
      <c r="H87" s="8">
        <f>IF(F87&gt;0,IFERROR(VALUE(LEFT($D87,1)),1),0)</f>
        <v/>
      </c>
      <c r="I87" s="8">
        <f>F87*H87</f>
        <v/>
      </c>
      <c r="J87" s="9">
        <f>E87*I87</f>
        <v/>
      </c>
      <c r="K87" s="9" t="n">
        <v>0</v>
      </c>
      <c r="L87" s="8" t="n">
        <v>0</v>
      </c>
      <c r="M87" s="8" t="n">
        <v>0</v>
      </c>
      <c r="N87" s="8">
        <f>IF(L87&gt;0,IFERROR(VALUE(LEFT($D87,1)),1),0)</f>
        <v/>
      </c>
      <c r="O87" s="8">
        <f>L87*N87</f>
        <v/>
      </c>
      <c r="P87" s="9">
        <f>K87*O87</f>
        <v/>
      </c>
      <c r="Q87" s="9" t="n">
        <v>0</v>
      </c>
      <c r="R87" s="8" t="n">
        <v>0</v>
      </c>
      <c r="S87" s="8" t="n">
        <v>0</v>
      </c>
      <c r="T87" s="8">
        <f>IF(R87&gt;0,IFERROR(VALUE(LEFT($D87,1)),1),0)</f>
        <v/>
      </c>
      <c r="U87" s="8">
        <f>R87*T87</f>
        <v/>
      </c>
      <c r="V87" s="9">
        <f>Q87*U87</f>
        <v/>
      </c>
      <c r="W87" s="9" t="n">
        <v>140</v>
      </c>
      <c r="X87" s="8" t="n">
        <v>1</v>
      </c>
      <c r="Y87" s="8" t="n">
        <v>1</v>
      </c>
      <c r="Z87" s="8">
        <f>IF(X87&gt;0,IFERROR(VALUE(LEFT($D87,1)),1),0)</f>
        <v/>
      </c>
      <c r="AA87" s="8">
        <f>X87*Z87</f>
        <v/>
      </c>
      <c r="AB87" s="9">
        <f>W87*AA87</f>
        <v/>
      </c>
      <c r="AC87" s="9" t="n">
        <v>140</v>
      </c>
      <c r="AD87" s="8" t="n">
        <v>1</v>
      </c>
      <c r="AE87" s="8" t="n">
        <v>1</v>
      </c>
      <c r="AF87" s="8">
        <f>IF(AD87&gt;0,IFERROR(VALUE(LEFT($D87,1)),1),0)</f>
        <v/>
      </c>
      <c r="AG87" s="8">
        <f>AD87*AF87</f>
        <v/>
      </c>
      <c r="AH87" s="9">
        <f>AC87*AG87</f>
        <v/>
      </c>
      <c r="AI87" s="9" t="n">
        <v>0</v>
      </c>
      <c r="AJ87" s="8" t="n">
        <v>0</v>
      </c>
      <c r="AK87" s="8" t="n">
        <v>0</v>
      </c>
      <c r="AL87" s="8">
        <f>IF(AJ87&gt;0,IFERROR(VALUE(LEFT($D87,1)),1),0)</f>
        <v/>
      </c>
      <c r="AM87" s="8">
        <f>AJ87*AL87</f>
        <v/>
      </c>
      <c r="AN87" s="9">
        <f>AI87*AM87</f>
        <v/>
      </c>
    </row>
    <row r="88">
      <c r="A88" s="8" t="inlineStr">
        <is>
          <t>TK</t>
        </is>
      </c>
      <c r="B88" s="8" t="inlineStr">
        <is>
          <t>TK stawów, kości</t>
        </is>
      </c>
      <c r="C88" s="8" t="inlineStr">
        <is>
          <t>TK Angiografia</t>
        </is>
      </c>
      <c r="D88" s="8" t="inlineStr">
        <is>
          <t>1 okolica anatomiczna</t>
        </is>
      </c>
      <c r="E88" s="9" t="n">
        <v>0</v>
      </c>
      <c r="F88" s="8" t="n">
        <v>0</v>
      </c>
      <c r="G88" s="8" t="n">
        <v>0</v>
      </c>
      <c r="H88" s="8">
        <f>IF(F88&gt;0,IFERROR(VALUE(LEFT($D88,1)),1),0)</f>
        <v/>
      </c>
      <c r="I88" s="8">
        <f>F88*H88</f>
        <v/>
      </c>
      <c r="J88" s="9">
        <f>E88*I88</f>
        <v/>
      </c>
      <c r="K88" s="9" t="n">
        <v>0</v>
      </c>
      <c r="L88" s="8" t="n">
        <v>0</v>
      </c>
      <c r="M88" s="8" t="n">
        <v>0</v>
      </c>
      <c r="N88" s="8">
        <f>IF(L88&gt;0,IFERROR(VALUE(LEFT($D88,1)),1),0)</f>
        <v/>
      </c>
      <c r="O88" s="8">
        <f>L88*N88</f>
        <v/>
      </c>
      <c r="P88" s="9">
        <f>K88*O88</f>
        <v/>
      </c>
      <c r="Q88" s="9" t="n">
        <v>0</v>
      </c>
      <c r="R88" s="8" t="n">
        <v>0</v>
      </c>
      <c r="S88" s="8" t="n">
        <v>0</v>
      </c>
      <c r="T88" s="8">
        <f>IF(R88&gt;0,IFERROR(VALUE(LEFT($D88,1)),1),0)</f>
        <v/>
      </c>
      <c r="U88" s="8">
        <f>R88*T88</f>
        <v/>
      </c>
      <c r="V88" s="9">
        <f>Q88*U88</f>
        <v/>
      </c>
      <c r="W88" s="9" t="n">
        <v>140</v>
      </c>
      <c r="X88" s="8" t="n">
        <v>1</v>
      </c>
      <c r="Y88" s="8" t="n">
        <v>1</v>
      </c>
      <c r="Z88" s="8">
        <f>IF(X88&gt;0,IFERROR(VALUE(LEFT($D88,1)),1),0)</f>
        <v/>
      </c>
      <c r="AA88" s="8">
        <f>X88*Z88</f>
        <v/>
      </c>
      <c r="AB88" s="9">
        <f>W88*AA88</f>
        <v/>
      </c>
      <c r="AC88" s="9" t="n">
        <v>0</v>
      </c>
      <c r="AD88" s="8" t="n">
        <v>0</v>
      </c>
      <c r="AE88" s="8" t="n">
        <v>0</v>
      </c>
      <c r="AF88" s="8">
        <f>IF(AD88&gt;0,IFERROR(VALUE(LEFT($D88,1)),1),0)</f>
        <v/>
      </c>
      <c r="AG88" s="8">
        <f>AD88*AF88</f>
        <v/>
      </c>
      <c r="AH88" s="9">
        <f>AC88*AG88</f>
        <v/>
      </c>
      <c r="AI88" s="9" t="n">
        <v>0</v>
      </c>
      <c r="AJ88" s="8" t="n">
        <v>0</v>
      </c>
      <c r="AK88" s="8" t="n">
        <v>0</v>
      </c>
      <c r="AL88" s="8">
        <f>IF(AJ88&gt;0,IFERROR(VALUE(LEFT($D88,1)),1),0)</f>
        <v/>
      </c>
      <c r="AM88" s="8">
        <f>AJ88*AL88</f>
        <v/>
      </c>
      <c r="AN88" s="9">
        <f>AI88*AM88</f>
        <v/>
      </c>
    </row>
    <row r="89">
      <c r="A89" s="8" t="inlineStr">
        <is>
          <t>TK</t>
        </is>
      </c>
      <c r="B89" s="8" t="inlineStr">
        <is>
          <t>TK tętnic jamy brzusznej (w tym aorta)</t>
        </is>
      </c>
      <c r="C89" s="8" t="inlineStr">
        <is>
          <t>TK Angiografia</t>
        </is>
      </c>
      <c r="D89" s="8" t="inlineStr">
        <is>
          <t>2 okolice anatomiczne</t>
        </is>
      </c>
      <c r="E89" s="9" t="n">
        <v>0</v>
      </c>
      <c r="F89" s="8" t="n">
        <v>0</v>
      </c>
      <c r="G89" s="8" t="n">
        <v>0</v>
      </c>
      <c r="H89" s="8">
        <f>IF(F89&gt;0,IFERROR(VALUE(LEFT($D89,1)),1),0)</f>
        <v/>
      </c>
      <c r="I89" s="8">
        <f>F89*H89</f>
        <v/>
      </c>
      <c r="J89" s="9">
        <f>E89*I89</f>
        <v/>
      </c>
      <c r="K89" s="9" t="n">
        <v>0</v>
      </c>
      <c r="L89" s="8" t="n">
        <v>0</v>
      </c>
      <c r="M89" s="8" t="n">
        <v>0</v>
      </c>
      <c r="N89" s="8">
        <f>IF(L89&gt;0,IFERROR(VALUE(LEFT($D89,1)),1),0)</f>
        <v/>
      </c>
      <c r="O89" s="8">
        <f>L89*N89</f>
        <v/>
      </c>
      <c r="P89" s="9">
        <f>K89*O89</f>
        <v/>
      </c>
      <c r="Q89" s="9" t="n">
        <v>0</v>
      </c>
      <c r="R89" s="8" t="n">
        <v>0</v>
      </c>
      <c r="S89" s="8" t="n">
        <v>0</v>
      </c>
      <c r="T89" s="8">
        <f>IF(R89&gt;0,IFERROR(VALUE(LEFT($D89,1)),1),0)</f>
        <v/>
      </c>
      <c r="U89" s="8">
        <f>R89*T89</f>
        <v/>
      </c>
      <c r="V89" s="9">
        <f>Q89*U89</f>
        <v/>
      </c>
      <c r="W89" s="9" t="n">
        <v>140</v>
      </c>
      <c r="X89" s="8" t="n">
        <v>1</v>
      </c>
      <c r="Y89" s="8" t="n">
        <v>0</v>
      </c>
      <c r="Z89" s="8">
        <f>IF(X89&gt;0,IFERROR(VALUE(LEFT($D89,1)),1),0)</f>
        <v/>
      </c>
      <c r="AA89" s="8">
        <f>X89*Z89</f>
        <v/>
      </c>
      <c r="AB89" s="9">
        <f>W89*AA89</f>
        <v/>
      </c>
      <c r="AC89" s="9" t="n">
        <v>0</v>
      </c>
      <c r="AD89" s="8" t="n">
        <v>0</v>
      </c>
      <c r="AE89" s="8" t="n">
        <v>0</v>
      </c>
      <c r="AF89" s="8">
        <f>IF(AD89&gt;0,IFERROR(VALUE(LEFT($D89,1)),1),0)</f>
        <v/>
      </c>
      <c r="AG89" s="8">
        <f>AD89*AF89</f>
        <v/>
      </c>
      <c r="AH89" s="9">
        <f>AC89*AG89</f>
        <v/>
      </c>
      <c r="AI89" s="9" t="n">
        <v>0</v>
      </c>
      <c r="AJ89" s="8" t="n">
        <v>0</v>
      </c>
      <c r="AK89" s="8" t="n">
        <v>0</v>
      </c>
      <c r="AL89" s="8">
        <f>IF(AJ89&gt;0,IFERROR(VALUE(LEFT($D89,1)),1),0)</f>
        <v/>
      </c>
      <c r="AM89" s="8">
        <f>AJ89*AL89</f>
        <v/>
      </c>
      <c r="AN89" s="9">
        <f>AI89*AM89</f>
        <v/>
      </c>
    </row>
    <row r="90">
      <c r="A90" s="8" t="inlineStr">
        <is>
          <t>TK</t>
        </is>
      </c>
      <c r="B90" s="8" t="inlineStr">
        <is>
          <t>Tomografia komputerowa - klatka piersiowa bez kontrastu i z kontrastem dożylnym w protokole zatorowości z wtórnym opracowaniem</t>
        </is>
      </c>
      <c r="C90" s="8" t="inlineStr">
        <is>
          <t>TK Angiografia</t>
        </is>
      </c>
      <c r="D90" s="8" t="inlineStr">
        <is>
          <t>1 okolica anatomiczna</t>
        </is>
      </c>
      <c r="E90" s="9" t="n">
        <v>0</v>
      </c>
      <c r="F90" s="8" t="n">
        <v>0</v>
      </c>
      <c r="G90" s="8" t="n">
        <v>0</v>
      </c>
      <c r="H90" s="8">
        <f>IF(F90&gt;0,IFERROR(VALUE(LEFT($D90,1)),1),0)</f>
        <v/>
      </c>
      <c r="I90" s="8">
        <f>F90*H90</f>
        <v/>
      </c>
      <c r="J90" s="9">
        <f>E90*I90</f>
        <v/>
      </c>
      <c r="K90" s="9" t="n">
        <v>0</v>
      </c>
      <c r="L90" s="8" t="n">
        <v>0</v>
      </c>
      <c r="M90" s="8" t="n">
        <v>0</v>
      </c>
      <c r="N90" s="8">
        <f>IF(L90&gt;0,IFERROR(VALUE(LEFT($D90,1)),1),0)</f>
        <v/>
      </c>
      <c r="O90" s="8">
        <f>L90*N90</f>
        <v/>
      </c>
      <c r="P90" s="9">
        <f>K90*O90</f>
        <v/>
      </c>
      <c r="Q90" s="9" t="n">
        <v>0</v>
      </c>
      <c r="R90" s="8" t="n">
        <v>0</v>
      </c>
      <c r="S90" s="8" t="n">
        <v>0</v>
      </c>
      <c r="T90" s="8">
        <f>IF(R90&gt;0,IFERROR(VALUE(LEFT($D90,1)),1),0)</f>
        <v/>
      </c>
      <c r="U90" s="8">
        <f>R90*T90</f>
        <v/>
      </c>
      <c r="V90" s="9">
        <f>Q90*U90</f>
        <v/>
      </c>
      <c r="W90" s="9" t="n">
        <v>140</v>
      </c>
      <c r="X90" s="8" t="n">
        <v>1</v>
      </c>
      <c r="Y90" s="8" t="n">
        <v>0</v>
      </c>
      <c r="Z90" s="8">
        <f>IF(X90&gt;0,IFERROR(VALUE(LEFT($D90,1)),1),0)</f>
        <v/>
      </c>
      <c r="AA90" s="8">
        <f>X90*Z90</f>
        <v/>
      </c>
      <c r="AB90" s="9">
        <f>W90*AA90</f>
        <v/>
      </c>
      <c r="AC90" s="9" t="n">
        <v>0</v>
      </c>
      <c r="AD90" s="8" t="n">
        <v>0</v>
      </c>
      <c r="AE90" s="8" t="n">
        <v>0</v>
      </c>
      <c r="AF90" s="8">
        <f>IF(AD90&gt;0,IFERROR(VALUE(LEFT($D90,1)),1),0)</f>
        <v/>
      </c>
      <c r="AG90" s="8">
        <f>AD90*AF90</f>
        <v/>
      </c>
      <c r="AH90" s="9">
        <f>AC90*AG90</f>
        <v/>
      </c>
      <c r="AI90" s="9" t="n">
        <v>0</v>
      </c>
      <c r="AJ90" s="8" t="n">
        <v>0</v>
      </c>
      <c r="AK90" s="8" t="n">
        <v>0</v>
      </c>
      <c r="AL90" s="8">
        <f>IF(AJ90&gt;0,IFERROR(VALUE(LEFT($D90,1)),1),0)</f>
        <v/>
      </c>
      <c r="AM90" s="8">
        <f>AJ90*AL90</f>
        <v/>
      </c>
      <c r="AN90" s="9">
        <f>AI90*AM90</f>
        <v/>
      </c>
    </row>
    <row r="91">
      <c r="A91" s="8" t="inlineStr">
        <is>
          <t>TK</t>
        </is>
      </c>
      <c r="B91" s="8" t="inlineStr">
        <is>
          <t>Tomografia komputerowa angio (tętnic) kończyn</t>
        </is>
      </c>
      <c r="C91" s="8" t="inlineStr">
        <is>
          <t>TK Angiografia</t>
        </is>
      </c>
      <c r="D91" s="8" t="inlineStr">
        <is>
          <t>2 okolice anatomiczne</t>
        </is>
      </c>
      <c r="E91" s="9" t="n">
        <v>0</v>
      </c>
      <c r="F91" s="8" t="n">
        <v>0</v>
      </c>
      <c r="G91" s="8" t="n">
        <v>0</v>
      </c>
      <c r="H91" s="8">
        <f>IF(F91&gt;0,IFERROR(VALUE(LEFT($D91,1)),1),0)</f>
        <v/>
      </c>
      <c r="I91" s="8">
        <f>F91*H91</f>
        <v/>
      </c>
      <c r="J91" s="9">
        <f>E91*I91</f>
        <v/>
      </c>
      <c r="K91" s="9" t="n">
        <v>0</v>
      </c>
      <c r="L91" s="8" t="n">
        <v>0</v>
      </c>
      <c r="M91" s="8" t="n">
        <v>0</v>
      </c>
      <c r="N91" s="8">
        <f>IF(L91&gt;0,IFERROR(VALUE(LEFT($D91,1)),1),0)</f>
        <v/>
      </c>
      <c r="O91" s="8">
        <f>L91*N91</f>
        <v/>
      </c>
      <c r="P91" s="9">
        <f>K91*O91</f>
        <v/>
      </c>
      <c r="Q91" s="9" t="n">
        <v>0</v>
      </c>
      <c r="R91" s="8" t="n">
        <v>0</v>
      </c>
      <c r="S91" s="8" t="n">
        <v>0</v>
      </c>
      <c r="T91" s="8">
        <f>IF(R91&gt;0,IFERROR(VALUE(LEFT($D91,1)),1),0)</f>
        <v/>
      </c>
      <c r="U91" s="8">
        <f>R91*T91</f>
        <v/>
      </c>
      <c r="V91" s="9">
        <f>Q91*U91</f>
        <v/>
      </c>
      <c r="W91" s="9" t="n">
        <v>140</v>
      </c>
      <c r="X91" s="8" t="n">
        <v>1</v>
      </c>
      <c r="Y91" s="8" t="n">
        <v>0</v>
      </c>
      <c r="Z91" s="8">
        <f>IF(X91&gt;0,IFERROR(VALUE(LEFT($D91,1)),1),0)</f>
        <v/>
      </c>
      <c r="AA91" s="8">
        <f>X91*Z91</f>
        <v/>
      </c>
      <c r="AB91" s="9">
        <f>W91*AA91</f>
        <v/>
      </c>
      <c r="AC91" s="9" t="n">
        <v>0</v>
      </c>
      <c r="AD91" s="8" t="n">
        <v>0</v>
      </c>
      <c r="AE91" s="8" t="n">
        <v>0</v>
      </c>
      <c r="AF91" s="8">
        <f>IF(AD91&gt;0,IFERROR(VALUE(LEFT($D91,1)),1),0)</f>
        <v/>
      </c>
      <c r="AG91" s="8">
        <f>AD91*AF91</f>
        <v/>
      </c>
      <c r="AH91" s="9">
        <f>AC91*AG91</f>
        <v/>
      </c>
      <c r="AI91" s="9" t="n">
        <v>0</v>
      </c>
      <c r="AJ91" s="8" t="n">
        <v>0</v>
      </c>
      <c r="AK91" s="8" t="n">
        <v>0</v>
      </c>
      <c r="AL91" s="8">
        <f>IF(AJ91&gt;0,IFERROR(VALUE(LEFT($D91,1)),1),0)</f>
        <v/>
      </c>
      <c r="AM91" s="8">
        <f>AJ91*AL91</f>
        <v/>
      </c>
      <c r="AN91" s="9">
        <f>AI91*AM91</f>
        <v/>
      </c>
    </row>
    <row r="92">
      <c r="A92" s="8" t="inlineStr">
        <is>
          <t>TK</t>
        </is>
      </c>
      <c r="B92" s="8" t="inlineStr">
        <is>
          <t>Tomografia komputerowa tętnic klatki piersiowej w tym aorta</t>
        </is>
      </c>
      <c r="C92" s="8" t="inlineStr">
        <is>
          <t>TK Angiografia</t>
        </is>
      </c>
      <c r="D92" s="8" t="inlineStr">
        <is>
          <t>1 okolica anatomiczna</t>
        </is>
      </c>
      <c r="E92" s="9" t="n">
        <v>0</v>
      </c>
      <c r="F92" s="8" t="n">
        <v>0</v>
      </c>
      <c r="G92" s="8" t="n">
        <v>0</v>
      </c>
      <c r="H92" s="8">
        <f>IF(F92&gt;0,IFERROR(VALUE(LEFT($D92,1)),1),0)</f>
        <v/>
      </c>
      <c r="I92" s="8">
        <f>F92*H92</f>
        <v/>
      </c>
      <c r="J92" s="9">
        <f>E92*I92</f>
        <v/>
      </c>
      <c r="K92" s="9" t="n">
        <v>0</v>
      </c>
      <c r="L92" s="8" t="n">
        <v>0</v>
      </c>
      <c r="M92" s="8" t="n">
        <v>0</v>
      </c>
      <c r="N92" s="8">
        <f>IF(L92&gt;0,IFERROR(VALUE(LEFT($D92,1)),1),0)</f>
        <v/>
      </c>
      <c r="O92" s="8">
        <f>L92*N92</f>
        <v/>
      </c>
      <c r="P92" s="9">
        <f>K92*O92</f>
        <v/>
      </c>
      <c r="Q92" s="9" t="n">
        <v>0</v>
      </c>
      <c r="R92" s="8" t="n">
        <v>0</v>
      </c>
      <c r="S92" s="8" t="n">
        <v>0</v>
      </c>
      <c r="T92" s="8">
        <f>IF(R92&gt;0,IFERROR(VALUE(LEFT($D92,1)),1),0)</f>
        <v/>
      </c>
      <c r="U92" s="8">
        <f>R92*T92</f>
        <v/>
      </c>
      <c r="V92" s="9">
        <f>Q92*U92</f>
        <v/>
      </c>
      <c r="W92" s="9" t="n">
        <v>140</v>
      </c>
      <c r="X92" s="8" t="n">
        <v>3</v>
      </c>
      <c r="Y92" s="8" t="n">
        <v>0</v>
      </c>
      <c r="Z92" s="8">
        <f>IF(X92&gt;0,IFERROR(VALUE(LEFT($D92,1)),1),0)</f>
        <v/>
      </c>
      <c r="AA92" s="8">
        <f>X92*Z92</f>
        <v/>
      </c>
      <c r="AB92" s="9">
        <f>W92*AA92</f>
        <v/>
      </c>
      <c r="AC92" s="9" t="n">
        <v>0</v>
      </c>
      <c r="AD92" s="8" t="n">
        <v>0</v>
      </c>
      <c r="AE92" s="8" t="n">
        <v>0</v>
      </c>
      <c r="AF92" s="8">
        <f>IF(AD92&gt;0,IFERROR(VALUE(LEFT($D92,1)),1),0)</f>
        <v/>
      </c>
      <c r="AG92" s="8">
        <f>AD92*AF92</f>
        <v/>
      </c>
      <c r="AH92" s="9">
        <f>AC92*AG92</f>
        <v/>
      </c>
      <c r="AI92" s="9" t="n">
        <v>0</v>
      </c>
      <c r="AJ92" s="8" t="n">
        <v>0</v>
      </c>
      <c r="AK92" s="8" t="n">
        <v>0</v>
      </c>
      <c r="AL92" s="8">
        <f>IF(AJ92&gt;0,IFERROR(VALUE(LEFT($D92,1)),1),0)</f>
        <v/>
      </c>
      <c r="AM92" s="8">
        <f>AJ92*AL92</f>
        <v/>
      </c>
      <c r="AN92" s="9">
        <f>AI92*AM92</f>
        <v/>
      </c>
    </row>
    <row r="93">
      <c r="A93" s="8" t="inlineStr">
        <is>
          <t>TK</t>
        </is>
      </c>
      <c r="B93" s="8" t="inlineStr">
        <is>
          <t>gł+angio gł+tt szyjne</t>
        </is>
      </c>
      <c r="C93" s="8" t="inlineStr">
        <is>
          <t>TK Angiografia</t>
        </is>
      </c>
      <c r="D93" s="8" t="inlineStr">
        <is>
          <t>3 okolice anatomiczne</t>
        </is>
      </c>
      <c r="E93" s="9" t="n">
        <v>0</v>
      </c>
      <c r="F93" s="8" t="n">
        <v>0</v>
      </c>
      <c r="G93" s="8" t="n">
        <v>0</v>
      </c>
      <c r="H93" s="8">
        <f>IF(F93&gt;0,IFERROR(VALUE(LEFT($D93,1)),1),0)</f>
        <v/>
      </c>
      <c r="I93" s="8">
        <f>F93*H93</f>
        <v/>
      </c>
      <c r="J93" s="9">
        <f>E93*I93</f>
        <v/>
      </c>
      <c r="K93" s="9" t="n">
        <v>0</v>
      </c>
      <c r="L93" s="8" t="n">
        <v>0</v>
      </c>
      <c r="M93" s="8" t="n">
        <v>0</v>
      </c>
      <c r="N93" s="8">
        <f>IF(L93&gt;0,IFERROR(VALUE(LEFT($D93,1)),1),0)</f>
        <v/>
      </c>
      <c r="O93" s="8">
        <f>L93*N93</f>
        <v/>
      </c>
      <c r="P93" s="9">
        <f>K93*O93</f>
        <v/>
      </c>
      <c r="Q93" s="9" t="n">
        <v>0</v>
      </c>
      <c r="R93" s="8" t="n">
        <v>0</v>
      </c>
      <c r="S93" s="8" t="n">
        <v>0</v>
      </c>
      <c r="T93" s="8">
        <f>IF(R93&gt;0,IFERROR(VALUE(LEFT($D93,1)),1),0)</f>
        <v/>
      </c>
      <c r="U93" s="8">
        <f>R93*T93</f>
        <v/>
      </c>
      <c r="V93" s="9">
        <f>Q93*U93</f>
        <v/>
      </c>
      <c r="W93" s="9" t="n">
        <v>140</v>
      </c>
      <c r="X93" s="8" t="n">
        <v>1</v>
      </c>
      <c r="Y93" s="8" t="n">
        <v>0</v>
      </c>
      <c r="Z93" s="8">
        <f>IF(X93&gt;0,IFERROR(VALUE(LEFT($D93,1)),1),0)</f>
        <v/>
      </c>
      <c r="AA93" s="8">
        <f>X93*Z93</f>
        <v/>
      </c>
      <c r="AB93" s="9">
        <f>W93*AA93</f>
        <v/>
      </c>
      <c r="AC93" s="9" t="n">
        <v>0</v>
      </c>
      <c r="AD93" s="8" t="n">
        <v>0</v>
      </c>
      <c r="AE93" s="8" t="n">
        <v>0</v>
      </c>
      <c r="AF93" s="8">
        <f>IF(AD93&gt;0,IFERROR(VALUE(LEFT($D93,1)),1),0)</f>
        <v/>
      </c>
      <c r="AG93" s="8">
        <f>AD93*AF93</f>
        <v/>
      </c>
      <c r="AH93" s="9">
        <f>AC93*AG93</f>
        <v/>
      </c>
      <c r="AI93" s="9" t="n">
        <v>0</v>
      </c>
      <c r="AJ93" s="8" t="n">
        <v>0</v>
      </c>
      <c r="AK93" s="8" t="n">
        <v>0</v>
      </c>
      <c r="AL93" s="8">
        <f>IF(AJ93&gt;0,IFERROR(VALUE(LEFT($D93,1)),1),0)</f>
        <v/>
      </c>
      <c r="AM93" s="8">
        <f>AJ93*AL93</f>
        <v/>
      </c>
      <c r="AN93" s="9">
        <f>AI93*AM93</f>
        <v/>
      </c>
    </row>
    <row r="94">
      <c r="A94" s="8" t="inlineStr">
        <is>
          <t>TK</t>
        </is>
      </c>
      <c r="B94" s="8" t="inlineStr">
        <is>
          <t>tomografia komputerowa angio głowy</t>
        </is>
      </c>
      <c r="C94" s="8" t="inlineStr">
        <is>
          <t>TK Angiografia</t>
        </is>
      </c>
      <c r="D94" s="8" t="inlineStr">
        <is>
          <t>1 okolica anatomiczna</t>
        </is>
      </c>
      <c r="E94" s="9" t="n">
        <v>0</v>
      </c>
      <c r="F94" s="8" t="n">
        <v>0</v>
      </c>
      <c r="G94" s="8" t="n">
        <v>0</v>
      </c>
      <c r="H94" s="8">
        <f>IF(F94&gt;0,IFERROR(VALUE(LEFT($D94,1)),1),0)</f>
        <v/>
      </c>
      <c r="I94" s="8">
        <f>F94*H94</f>
        <v/>
      </c>
      <c r="J94" s="9">
        <f>E94*I94</f>
        <v/>
      </c>
      <c r="K94" s="9" t="n">
        <v>0</v>
      </c>
      <c r="L94" s="8" t="n">
        <v>0</v>
      </c>
      <c r="M94" s="8" t="n">
        <v>0</v>
      </c>
      <c r="N94" s="8">
        <f>IF(L94&gt;0,IFERROR(VALUE(LEFT($D94,1)),1),0)</f>
        <v/>
      </c>
      <c r="O94" s="8">
        <f>L94*N94</f>
        <v/>
      </c>
      <c r="P94" s="9">
        <f>K94*O94</f>
        <v/>
      </c>
      <c r="Q94" s="9" t="n">
        <v>0</v>
      </c>
      <c r="R94" s="8" t="n">
        <v>0</v>
      </c>
      <c r="S94" s="8" t="n">
        <v>0</v>
      </c>
      <c r="T94" s="8">
        <f>IF(R94&gt;0,IFERROR(VALUE(LEFT($D94,1)),1),0)</f>
        <v/>
      </c>
      <c r="U94" s="8">
        <f>R94*T94</f>
        <v/>
      </c>
      <c r="V94" s="9">
        <f>Q94*U94</f>
        <v/>
      </c>
      <c r="W94" s="9" t="n">
        <v>140</v>
      </c>
      <c r="X94" s="8" t="n">
        <v>1</v>
      </c>
      <c r="Y94" s="8" t="n">
        <v>1</v>
      </c>
      <c r="Z94" s="8">
        <f>IF(X94&gt;0,IFERROR(VALUE(LEFT($D94,1)),1),0)</f>
        <v/>
      </c>
      <c r="AA94" s="8">
        <f>X94*Z94</f>
        <v/>
      </c>
      <c r="AB94" s="9">
        <f>W94*AA94</f>
        <v/>
      </c>
      <c r="AC94" s="9" t="n">
        <v>0</v>
      </c>
      <c r="AD94" s="8" t="n">
        <v>0</v>
      </c>
      <c r="AE94" s="8" t="n">
        <v>0</v>
      </c>
      <c r="AF94" s="8">
        <f>IF(AD94&gt;0,IFERROR(VALUE(LEFT($D94,1)),1),0)</f>
        <v/>
      </c>
      <c r="AG94" s="8">
        <f>AD94*AF94</f>
        <v/>
      </c>
      <c r="AH94" s="9">
        <f>AC94*AG94</f>
        <v/>
      </c>
      <c r="AI94" s="9" t="n">
        <v>0</v>
      </c>
      <c r="AJ94" s="8" t="n">
        <v>0</v>
      </c>
      <c r="AK94" s="8" t="n">
        <v>0</v>
      </c>
      <c r="AL94" s="8">
        <f>IF(AJ94&gt;0,IFERROR(VALUE(LEFT($D94,1)),1),0)</f>
        <v/>
      </c>
      <c r="AM94" s="8">
        <f>AJ94*AL94</f>
        <v/>
      </c>
      <c r="AN94" s="9">
        <f>AI94*AM94</f>
        <v/>
      </c>
    </row>
    <row r="95">
      <c r="A95" s="8" t="inlineStr">
        <is>
          <t>TK</t>
        </is>
      </c>
      <c r="B95" s="8" t="inlineStr">
        <is>
          <t>Angio tt szyjnych i tt mózgowych</t>
        </is>
      </c>
      <c r="C95" s="8" t="inlineStr">
        <is>
          <t>TK Angiografia</t>
        </is>
      </c>
      <c r="D95" s="8" t="inlineStr">
        <is>
          <t>2 okolice anatomiczne</t>
        </is>
      </c>
      <c r="E95" s="9" t="n">
        <v>0</v>
      </c>
      <c r="F95" s="8" t="n">
        <v>0</v>
      </c>
      <c r="G95" s="8" t="n">
        <v>0</v>
      </c>
      <c r="H95" s="8">
        <f>IF(F95&gt;0,IFERROR(VALUE(LEFT($D95,1)),1),0)</f>
        <v/>
      </c>
      <c r="I95" s="8">
        <f>F95*H95</f>
        <v/>
      </c>
      <c r="J95" s="9">
        <f>E95*I95</f>
        <v/>
      </c>
      <c r="K95" s="9" t="n">
        <v>140</v>
      </c>
      <c r="L95" s="8" t="n">
        <v>2</v>
      </c>
      <c r="M95" s="8" t="n">
        <v>0</v>
      </c>
      <c r="N95" s="8">
        <f>IF(L95&gt;0,IFERROR(VALUE(LEFT($D95,1)),1),0)</f>
        <v/>
      </c>
      <c r="O95" s="8">
        <f>L95*N95</f>
        <v/>
      </c>
      <c r="P95" s="9">
        <f>K95*O95</f>
        <v/>
      </c>
      <c r="Q95" s="9" t="n">
        <v>0</v>
      </c>
      <c r="R95" s="8" t="n">
        <v>0</v>
      </c>
      <c r="S95" s="8" t="n">
        <v>0</v>
      </c>
      <c r="T95" s="8">
        <f>IF(R95&gt;0,IFERROR(VALUE(LEFT($D95,1)),1),0)</f>
        <v/>
      </c>
      <c r="U95" s="8">
        <f>R95*T95</f>
        <v/>
      </c>
      <c r="V95" s="9">
        <f>Q95*U95</f>
        <v/>
      </c>
      <c r="W95" s="9" t="n">
        <v>0</v>
      </c>
      <c r="X95" s="8" t="n">
        <v>0</v>
      </c>
      <c r="Y95" s="8" t="n">
        <v>0</v>
      </c>
      <c r="Z95" s="8">
        <f>IF(X95&gt;0,IFERROR(VALUE(LEFT($D95,1)),1),0)</f>
        <v/>
      </c>
      <c r="AA95" s="8">
        <f>X95*Z95</f>
        <v/>
      </c>
      <c r="AB95" s="9">
        <f>W95*AA95</f>
        <v/>
      </c>
      <c r="AC95" s="9" t="n">
        <v>0</v>
      </c>
      <c r="AD95" s="8" t="n">
        <v>0</v>
      </c>
      <c r="AE95" s="8" t="n">
        <v>0</v>
      </c>
      <c r="AF95" s="8">
        <f>IF(AD95&gt;0,IFERROR(VALUE(LEFT($D95,1)),1),0)</f>
        <v/>
      </c>
      <c r="AG95" s="8">
        <f>AD95*AF95</f>
        <v/>
      </c>
      <c r="AH95" s="9">
        <f>AC95*AG95</f>
        <v/>
      </c>
      <c r="AI95" s="9" t="n">
        <v>0</v>
      </c>
      <c r="AJ95" s="8" t="n">
        <v>0</v>
      </c>
      <c r="AK95" s="8" t="n">
        <v>0</v>
      </c>
      <c r="AL95" s="8">
        <f>IF(AJ95&gt;0,IFERROR(VALUE(LEFT($D95,1)),1),0)</f>
        <v/>
      </c>
      <c r="AM95" s="8">
        <f>AJ95*AL95</f>
        <v/>
      </c>
      <c r="AN95" s="9">
        <f>AI95*AM95</f>
        <v/>
      </c>
    </row>
    <row r="96">
      <c r="A96" s="8" t="inlineStr">
        <is>
          <t>TK</t>
        </is>
      </c>
      <c r="B96" s="8" t="inlineStr">
        <is>
          <t>TK Głowa bez wzmocnienia kontrastowego</t>
        </is>
      </c>
      <c r="C96" s="8" t="inlineStr">
        <is>
          <t>TK Angiografia</t>
        </is>
      </c>
      <c r="D96" s="8" t="inlineStr">
        <is>
          <t>3 okolice anatomiczne</t>
        </is>
      </c>
      <c r="E96" s="9" t="n">
        <v>0</v>
      </c>
      <c r="F96" s="8" t="n">
        <v>0</v>
      </c>
      <c r="G96" s="8" t="n">
        <v>0</v>
      </c>
      <c r="H96" s="8">
        <f>IF(F96&gt;0,IFERROR(VALUE(LEFT($D96,1)),1),0)</f>
        <v/>
      </c>
      <c r="I96" s="8">
        <f>F96*H96</f>
        <v/>
      </c>
      <c r="J96" s="9">
        <f>E96*I96</f>
        <v/>
      </c>
      <c r="K96" s="9" t="n">
        <v>120</v>
      </c>
      <c r="L96" s="8" t="n">
        <v>1</v>
      </c>
      <c r="M96" s="8" t="n">
        <v>0</v>
      </c>
      <c r="N96" s="8">
        <f>IF(L96&gt;0,IFERROR(VALUE(LEFT($D96,1)),1),0)</f>
        <v/>
      </c>
      <c r="O96" s="8">
        <f>L96*N96</f>
        <v/>
      </c>
      <c r="P96" s="9">
        <f>K96*O96</f>
        <v/>
      </c>
      <c r="Q96" s="9" t="n">
        <v>0</v>
      </c>
      <c r="R96" s="8" t="n">
        <v>0</v>
      </c>
      <c r="S96" s="8" t="n">
        <v>0</v>
      </c>
      <c r="T96" s="8">
        <f>IF(R96&gt;0,IFERROR(VALUE(LEFT($D96,1)),1),0)</f>
        <v/>
      </c>
      <c r="U96" s="8">
        <f>R96*T96</f>
        <v/>
      </c>
      <c r="V96" s="9">
        <f>Q96*U96</f>
        <v/>
      </c>
      <c r="W96" s="9" t="n">
        <v>0</v>
      </c>
      <c r="X96" s="8" t="n">
        <v>0</v>
      </c>
      <c r="Y96" s="8" t="n">
        <v>0</v>
      </c>
      <c r="Z96" s="8">
        <f>IF(X96&gt;0,IFERROR(VALUE(LEFT($D96,1)),1),0)</f>
        <v/>
      </c>
      <c r="AA96" s="8">
        <f>X96*Z96</f>
        <v/>
      </c>
      <c r="AB96" s="9">
        <f>W96*AA96</f>
        <v/>
      </c>
      <c r="AC96" s="9" t="n">
        <v>0</v>
      </c>
      <c r="AD96" s="8" t="n">
        <v>0</v>
      </c>
      <c r="AE96" s="8" t="n">
        <v>0</v>
      </c>
      <c r="AF96" s="8">
        <f>IF(AD96&gt;0,IFERROR(VALUE(LEFT($D96,1)),1),0)</f>
        <v/>
      </c>
      <c r="AG96" s="8">
        <f>AD96*AF96</f>
        <v/>
      </c>
      <c r="AH96" s="9">
        <f>AC96*AG96</f>
        <v/>
      </c>
      <c r="AI96" s="9" t="n">
        <v>0</v>
      </c>
      <c r="AJ96" s="8" t="n">
        <v>0</v>
      </c>
      <c r="AK96" s="8" t="n">
        <v>0</v>
      </c>
      <c r="AL96" s="8">
        <f>IF(AJ96&gt;0,IFERROR(VALUE(LEFT($D96,1)),1),0)</f>
        <v/>
      </c>
      <c r="AM96" s="8">
        <f>AJ96*AL96</f>
        <v/>
      </c>
      <c r="AN96" s="9">
        <f>AI96*AM96</f>
        <v/>
      </c>
    </row>
    <row r="97">
      <c r="A97" s="8" t="inlineStr">
        <is>
          <t>TK</t>
        </is>
      </c>
      <c r="B97" s="8" t="inlineStr">
        <is>
          <t>TK angio tt. szyjnych i tt. mózgowych z kontrastem</t>
        </is>
      </c>
      <c r="C97" s="8" t="inlineStr">
        <is>
          <t>TK Angiografia</t>
        </is>
      </c>
      <c r="D97" s="8" t="inlineStr">
        <is>
          <t>2 okolice anatomiczne</t>
        </is>
      </c>
      <c r="E97" s="9" t="n">
        <v>0</v>
      </c>
      <c r="F97" s="8" t="n">
        <v>0</v>
      </c>
      <c r="G97" s="8" t="n">
        <v>0</v>
      </c>
      <c r="H97" s="8">
        <f>IF(F97&gt;0,IFERROR(VALUE(LEFT($D97,1)),1),0)</f>
        <v/>
      </c>
      <c r="I97" s="8">
        <f>F97*H97</f>
        <v/>
      </c>
      <c r="J97" s="9">
        <f>E97*I97</f>
        <v/>
      </c>
      <c r="K97" s="9" t="n">
        <v>140</v>
      </c>
      <c r="L97" s="8" t="n">
        <v>1</v>
      </c>
      <c r="M97" s="8" t="n">
        <v>0</v>
      </c>
      <c r="N97" s="8">
        <f>IF(L97&gt;0,IFERROR(VALUE(LEFT($D97,1)),1),0)</f>
        <v/>
      </c>
      <c r="O97" s="8">
        <f>L97*N97</f>
        <v/>
      </c>
      <c r="P97" s="9">
        <f>K97*O97</f>
        <v/>
      </c>
      <c r="Q97" s="9" t="n">
        <v>0</v>
      </c>
      <c r="R97" s="8" t="n">
        <v>0</v>
      </c>
      <c r="S97" s="8" t="n">
        <v>0</v>
      </c>
      <c r="T97" s="8">
        <f>IF(R97&gt;0,IFERROR(VALUE(LEFT($D97,1)),1),0)</f>
        <v/>
      </c>
      <c r="U97" s="8">
        <f>R97*T97</f>
        <v/>
      </c>
      <c r="V97" s="9">
        <f>Q97*U97</f>
        <v/>
      </c>
      <c r="W97" s="9" t="n">
        <v>0</v>
      </c>
      <c r="X97" s="8" t="n">
        <v>0</v>
      </c>
      <c r="Y97" s="8" t="n">
        <v>0</v>
      </c>
      <c r="Z97" s="8">
        <f>IF(X97&gt;0,IFERROR(VALUE(LEFT($D97,1)),1),0)</f>
        <v/>
      </c>
      <c r="AA97" s="8">
        <f>X97*Z97</f>
        <v/>
      </c>
      <c r="AB97" s="9">
        <f>W97*AA97</f>
        <v/>
      </c>
      <c r="AC97" s="9" t="n">
        <v>140</v>
      </c>
      <c r="AD97" s="8" t="n">
        <v>1</v>
      </c>
      <c r="AE97" s="8" t="n">
        <v>0</v>
      </c>
      <c r="AF97" s="8">
        <f>IF(AD97&gt;0,IFERROR(VALUE(LEFT($D97,1)),1),0)</f>
        <v/>
      </c>
      <c r="AG97" s="8">
        <f>AD97*AF97</f>
        <v/>
      </c>
      <c r="AH97" s="9">
        <f>AC97*AG97</f>
        <v/>
      </c>
      <c r="AI97" s="9" t="n">
        <v>0</v>
      </c>
      <c r="AJ97" s="8" t="n">
        <v>0</v>
      </c>
      <c r="AK97" s="8" t="n">
        <v>0</v>
      </c>
      <c r="AL97" s="8">
        <f>IF(AJ97&gt;0,IFERROR(VALUE(LEFT($D97,1)),1),0)</f>
        <v/>
      </c>
      <c r="AM97" s="8">
        <f>AJ97*AL97</f>
        <v/>
      </c>
      <c r="AN97" s="9">
        <f>AI97*AM97</f>
        <v/>
      </c>
    </row>
    <row r="98">
      <c r="A98" s="8" t="inlineStr">
        <is>
          <t>TK</t>
        </is>
      </c>
      <c r="B98" s="8" t="inlineStr">
        <is>
          <t>TK angiografia głowy</t>
        </is>
      </c>
      <c r="C98" s="8" t="inlineStr">
        <is>
          <t>TK Angiografia</t>
        </is>
      </c>
      <c r="D98" s="8" t="inlineStr">
        <is>
          <t>1 okolica anatomiczna</t>
        </is>
      </c>
      <c r="E98" s="9" t="n">
        <v>0</v>
      </c>
      <c r="F98" s="8" t="n">
        <v>0</v>
      </c>
      <c r="G98" s="8" t="n">
        <v>0</v>
      </c>
      <c r="H98" s="8">
        <f>IF(F98&gt;0,IFERROR(VALUE(LEFT($D98,1)),1),0)</f>
        <v/>
      </c>
      <c r="I98" s="8">
        <f>F98*H98</f>
        <v/>
      </c>
      <c r="J98" s="9">
        <f>E98*I98</f>
        <v/>
      </c>
      <c r="K98" s="9" t="n">
        <v>140</v>
      </c>
      <c r="L98" s="8" t="n">
        <v>1</v>
      </c>
      <c r="M98" s="8" t="n">
        <v>0</v>
      </c>
      <c r="N98" s="8">
        <f>IF(L98&gt;0,IFERROR(VALUE(LEFT($D98,1)),1),0)</f>
        <v/>
      </c>
      <c r="O98" s="8">
        <f>L98*N98</f>
        <v/>
      </c>
      <c r="P98" s="9">
        <f>K98*O98</f>
        <v/>
      </c>
      <c r="Q98" s="9" t="n">
        <v>0</v>
      </c>
      <c r="R98" s="8" t="n">
        <v>0</v>
      </c>
      <c r="S98" s="8" t="n">
        <v>0</v>
      </c>
      <c r="T98" s="8">
        <f>IF(R98&gt;0,IFERROR(VALUE(LEFT($D98,1)),1),0)</f>
        <v/>
      </c>
      <c r="U98" s="8">
        <f>R98*T98</f>
        <v/>
      </c>
      <c r="V98" s="9">
        <f>Q98*U98</f>
        <v/>
      </c>
      <c r="W98" s="9" t="n">
        <v>0</v>
      </c>
      <c r="X98" s="8" t="n">
        <v>0</v>
      </c>
      <c r="Y98" s="8" t="n">
        <v>0</v>
      </c>
      <c r="Z98" s="8">
        <f>IF(X98&gt;0,IFERROR(VALUE(LEFT($D98,1)),1),0)</f>
        <v/>
      </c>
      <c r="AA98" s="8">
        <f>X98*Z98</f>
        <v/>
      </c>
      <c r="AB98" s="9">
        <f>W98*AA98</f>
        <v/>
      </c>
      <c r="AC98" s="9" t="n">
        <v>0</v>
      </c>
      <c r="AD98" s="8" t="n">
        <v>0</v>
      </c>
      <c r="AE98" s="8" t="n">
        <v>0</v>
      </c>
      <c r="AF98" s="8">
        <f>IF(AD98&gt;0,IFERROR(VALUE(LEFT($D98,1)),1),0)</f>
        <v/>
      </c>
      <c r="AG98" s="8">
        <f>AD98*AF98</f>
        <v/>
      </c>
      <c r="AH98" s="9">
        <f>AC98*AG98</f>
        <v/>
      </c>
      <c r="AI98" s="9" t="n">
        <v>0</v>
      </c>
      <c r="AJ98" s="8" t="n">
        <v>0</v>
      </c>
      <c r="AK98" s="8" t="n">
        <v>0</v>
      </c>
      <c r="AL98" s="8">
        <f>IF(AJ98&gt;0,IFERROR(VALUE(LEFT($D98,1)),1),0)</f>
        <v/>
      </c>
      <c r="AM98" s="8">
        <f>AJ98*AL98</f>
        <v/>
      </c>
      <c r="AN98" s="9">
        <f>AI98*AM98</f>
        <v/>
      </c>
    </row>
    <row r="99">
      <c r="A99" s="8" t="inlineStr">
        <is>
          <t>TK</t>
        </is>
      </c>
      <c r="B99" s="8" t="inlineStr">
        <is>
          <t>TK angiografia tt. Mózgowych [87.03 ]</t>
        </is>
      </c>
      <c r="C99" s="8" t="inlineStr">
        <is>
          <t>TK Angiografia</t>
        </is>
      </c>
      <c r="D99" s="8" t="inlineStr">
        <is>
          <t>3 okolice anatomiczne</t>
        </is>
      </c>
      <c r="E99" s="9" t="n">
        <v>0</v>
      </c>
      <c r="F99" s="8" t="n">
        <v>0</v>
      </c>
      <c r="G99" s="8" t="n">
        <v>0</v>
      </c>
      <c r="H99" s="8">
        <f>IF(F99&gt;0,IFERROR(VALUE(LEFT($D99,1)),1),0)</f>
        <v/>
      </c>
      <c r="I99" s="8">
        <f>F99*H99</f>
        <v/>
      </c>
      <c r="J99" s="9">
        <f>E99*I99</f>
        <v/>
      </c>
      <c r="K99" s="9" t="n">
        <v>140</v>
      </c>
      <c r="L99" s="8" t="n">
        <v>1</v>
      </c>
      <c r="M99" s="8" t="n">
        <v>0</v>
      </c>
      <c r="N99" s="8">
        <f>IF(L99&gt;0,IFERROR(VALUE(LEFT($D99,1)),1),0)</f>
        <v/>
      </c>
      <c r="O99" s="8">
        <f>L99*N99</f>
        <v/>
      </c>
      <c r="P99" s="9">
        <f>K99*O99</f>
        <v/>
      </c>
      <c r="Q99" s="9" t="n">
        <v>0</v>
      </c>
      <c r="R99" s="8" t="n">
        <v>0</v>
      </c>
      <c r="S99" s="8" t="n">
        <v>0</v>
      </c>
      <c r="T99" s="8">
        <f>IF(R99&gt;0,IFERROR(VALUE(LEFT($D99,1)),1),0)</f>
        <v/>
      </c>
      <c r="U99" s="8">
        <f>R99*T99</f>
        <v/>
      </c>
      <c r="V99" s="9">
        <f>Q99*U99</f>
        <v/>
      </c>
      <c r="W99" s="9" t="n">
        <v>0</v>
      </c>
      <c r="X99" s="8" t="n">
        <v>0</v>
      </c>
      <c r="Y99" s="8" t="n">
        <v>0</v>
      </c>
      <c r="Z99" s="8">
        <f>IF(X99&gt;0,IFERROR(VALUE(LEFT($D99,1)),1),0)</f>
        <v/>
      </c>
      <c r="AA99" s="8">
        <f>X99*Z99</f>
        <v/>
      </c>
      <c r="AB99" s="9">
        <f>W99*AA99</f>
        <v/>
      </c>
      <c r="AC99" s="9" t="n">
        <v>0</v>
      </c>
      <c r="AD99" s="8" t="n">
        <v>0</v>
      </c>
      <c r="AE99" s="8" t="n">
        <v>0</v>
      </c>
      <c r="AF99" s="8">
        <f>IF(AD99&gt;0,IFERROR(VALUE(LEFT($D99,1)),1),0)</f>
        <v/>
      </c>
      <c r="AG99" s="8">
        <f>AD99*AF99</f>
        <v/>
      </c>
      <c r="AH99" s="9">
        <f>AC99*AG99</f>
        <v/>
      </c>
      <c r="AI99" s="9" t="n">
        <v>0</v>
      </c>
      <c r="AJ99" s="8" t="n">
        <v>0</v>
      </c>
      <c r="AK99" s="8" t="n">
        <v>0</v>
      </c>
      <c r="AL99" s="8">
        <f>IF(AJ99&gt;0,IFERROR(VALUE(LEFT($D99,1)),1),0)</f>
        <v/>
      </c>
      <c r="AM99" s="8">
        <f>AJ99*AL99</f>
        <v/>
      </c>
      <c r="AN99" s="9">
        <f>AI99*AM99</f>
        <v/>
      </c>
    </row>
    <row r="100">
      <c r="A100" s="8" t="inlineStr">
        <is>
          <t>TK</t>
        </is>
      </c>
      <c r="B100" s="8" t="inlineStr">
        <is>
          <t>Angio-TK, głowa</t>
        </is>
      </c>
      <c r="C100" s="8" t="inlineStr">
        <is>
          <t>TK Angiografia</t>
        </is>
      </c>
      <c r="D100" s="8" t="inlineStr">
        <is>
          <t>2 okolice anatomiczne</t>
        </is>
      </c>
      <c r="E100" s="9" t="n">
        <v>0</v>
      </c>
      <c r="F100" s="8" t="n">
        <v>0</v>
      </c>
      <c r="G100" s="8" t="n">
        <v>0</v>
      </c>
      <c r="H100" s="8">
        <f>IF(F100&gt;0,IFERROR(VALUE(LEFT($D100,1)),1),0)</f>
        <v/>
      </c>
      <c r="I100" s="8">
        <f>F100*H100</f>
        <v/>
      </c>
      <c r="J100" s="9">
        <f>E100*I100</f>
        <v/>
      </c>
      <c r="K100" s="9" t="n">
        <v>0</v>
      </c>
      <c r="L100" s="8" t="n">
        <v>0</v>
      </c>
      <c r="M100" s="8" t="n">
        <v>0</v>
      </c>
      <c r="N100" s="8">
        <f>IF(L100&gt;0,IFERROR(VALUE(LEFT($D100,1)),1),0)</f>
        <v/>
      </c>
      <c r="O100" s="8">
        <f>L100*N100</f>
        <v/>
      </c>
      <c r="P100" s="9">
        <f>K100*O100</f>
        <v/>
      </c>
      <c r="Q100" s="9" t="n">
        <v>0</v>
      </c>
      <c r="R100" s="8" t="n">
        <v>0</v>
      </c>
      <c r="S100" s="8" t="n">
        <v>0</v>
      </c>
      <c r="T100" s="8">
        <f>IF(R100&gt;0,IFERROR(VALUE(LEFT($D100,1)),1),0)</f>
        <v/>
      </c>
      <c r="U100" s="8">
        <f>R100*T100</f>
        <v/>
      </c>
      <c r="V100" s="9">
        <f>Q100*U100</f>
        <v/>
      </c>
      <c r="W100" s="9" t="n">
        <v>0</v>
      </c>
      <c r="X100" s="8" t="n">
        <v>0</v>
      </c>
      <c r="Y100" s="8" t="n">
        <v>0</v>
      </c>
      <c r="Z100" s="8">
        <f>IF(X100&gt;0,IFERROR(VALUE(LEFT($D100,1)),1),0)</f>
        <v/>
      </c>
      <c r="AA100" s="8">
        <f>X100*Z100</f>
        <v/>
      </c>
      <c r="AB100" s="9">
        <f>W100*AA100</f>
        <v/>
      </c>
      <c r="AC100" s="9" t="n">
        <v>140</v>
      </c>
      <c r="AD100" s="8" t="n">
        <v>2</v>
      </c>
      <c r="AE100" s="8" t="n">
        <v>2</v>
      </c>
      <c r="AF100" s="8">
        <f>IF(AD100&gt;0,IFERROR(VALUE(LEFT($D100,1)),1),0)</f>
        <v/>
      </c>
      <c r="AG100" s="8">
        <f>AD100*AF100</f>
        <v/>
      </c>
      <c r="AH100" s="9">
        <f>AC100*AG100</f>
        <v/>
      </c>
      <c r="AI100" s="9" t="n">
        <v>0</v>
      </c>
      <c r="AJ100" s="8" t="n">
        <v>0</v>
      </c>
      <c r="AK100" s="8" t="n">
        <v>0</v>
      </c>
      <c r="AL100" s="8">
        <f>IF(AJ100&gt;0,IFERROR(VALUE(LEFT($D100,1)),1),0)</f>
        <v/>
      </c>
      <c r="AM100" s="8">
        <f>AJ100*AL100</f>
        <v/>
      </c>
      <c r="AN100" s="9">
        <f>AI100*AM100</f>
        <v/>
      </c>
    </row>
    <row r="101">
      <c r="A101" s="8" t="inlineStr">
        <is>
          <t>TK</t>
        </is>
      </c>
      <c r="B101" s="8" t="inlineStr">
        <is>
          <t>Angio-TK, tętnice szyjne</t>
        </is>
      </c>
      <c r="C101" s="8" t="inlineStr">
        <is>
          <t>TK Angiografia</t>
        </is>
      </c>
      <c r="D101" s="8" t="inlineStr">
        <is>
          <t>1 okolica anatomiczna</t>
        </is>
      </c>
      <c r="E101" s="9" t="n">
        <v>0</v>
      </c>
      <c r="F101" s="8" t="n">
        <v>0</v>
      </c>
      <c r="G101" s="8" t="n">
        <v>0</v>
      </c>
      <c r="H101" s="8">
        <f>IF(F101&gt;0,IFERROR(VALUE(LEFT($D101,1)),1),0)</f>
        <v/>
      </c>
      <c r="I101" s="8">
        <f>F101*H101</f>
        <v/>
      </c>
      <c r="J101" s="9">
        <f>E101*I101</f>
        <v/>
      </c>
      <c r="K101" s="9" t="n">
        <v>0</v>
      </c>
      <c r="L101" s="8" t="n">
        <v>0</v>
      </c>
      <c r="M101" s="8" t="n">
        <v>0</v>
      </c>
      <c r="N101" s="8">
        <f>IF(L101&gt;0,IFERROR(VALUE(LEFT($D101,1)),1),0)</f>
        <v/>
      </c>
      <c r="O101" s="8">
        <f>L101*N101</f>
        <v/>
      </c>
      <c r="P101" s="9">
        <f>K101*O101</f>
        <v/>
      </c>
      <c r="Q101" s="9" t="n">
        <v>0</v>
      </c>
      <c r="R101" s="8" t="n">
        <v>0</v>
      </c>
      <c r="S101" s="8" t="n">
        <v>0</v>
      </c>
      <c r="T101" s="8">
        <f>IF(R101&gt;0,IFERROR(VALUE(LEFT($D101,1)),1),0)</f>
        <v/>
      </c>
      <c r="U101" s="8">
        <f>R101*T101</f>
        <v/>
      </c>
      <c r="V101" s="9">
        <f>Q101*U101</f>
        <v/>
      </c>
      <c r="W101" s="9" t="n">
        <v>0</v>
      </c>
      <c r="X101" s="8" t="n">
        <v>0</v>
      </c>
      <c r="Y101" s="8" t="n">
        <v>0</v>
      </c>
      <c r="Z101" s="8">
        <f>IF(X101&gt;0,IFERROR(VALUE(LEFT($D101,1)),1),0)</f>
        <v/>
      </c>
      <c r="AA101" s="8">
        <f>X101*Z101</f>
        <v/>
      </c>
      <c r="AB101" s="9">
        <f>W101*AA101</f>
        <v/>
      </c>
      <c r="AC101" s="9" t="n">
        <v>140</v>
      </c>
      <c r="AD101" s="8" t="n">
        <v>1</v>
      </c>
      <c r="AE101" s="8" t="n">
        <v>0</v>
      </c>
      <c r="AF101" s="8">
        <f>IF(AD101&gt;0,IFERROR(VALUE(LEFT($D101,1)),1),0)</f>
        <v/>
      </c>
      <c r="AG101" s="8">
        <f>AD101*AF101</f>
        <v/>
      </c>
      <c r="AH101" s="9">
        <f>AC101*AG101</f>
        <v/>
      </c>
      <c r="AI101" s="9" t="n">
        <v>0</v>
      </c>
      <c r="AJ101" s="8" t="n">
        <v>0</v>
      </c>
      <c r="AK101" s="8" t="n">
        <v>0</v>
      </c>
      <c r="AL101" s="8">
        <f>IF(AJ101&gt;0,IFERROR(VALUE(LEFT($D101,1)),1),0)</f>
        <v/>
      </c>
      <c r="AM101" s="8">
        <f>AJ101*AL101</f>
        <v/>
      </c>
      <c r="AN101" s="9">
        <f>AI101*AM101</f>
        <v/>
      </c>
    </row>
    <row r="102">
      <c r="A102" s="8" t="inlineStr">
        <is>
          <t>TK</t>
        </is>
      </c>
      <c r="B102" s="8" t="inlineStr">
        <is>
          <t>Badanie TK klatki piersiowej dwufazowe z kontrastem</t>
        </is>
      </c>
      <c r="C102" s="8" t="inlineStr">
        <is>
          <t>TK Angiografia</t>
        </is>
      </c>
      <c r="D102" s="8" t="inlineStr">
        <is>
          <t>1 okolica anatomiczna</t>
        </is>
      </c>
      <c r="E102" s="9" t="n">
        <v>0</v>
      </c>
      <c r="F102" s="8" t="n">
        <v>0</v>
      </c>
      <c r="G102" s="8" t="n">
        <v>0</v>
      </c>
      <c r="H102" s="8">
        <f>IF(F102&gt;0,IFERROR(VALUE(LEFT($D102,1)),1),0)</f>
        <v/>
      </c>
      <c r="I102" s="8">
        <f>F102*H102</f>
        <v/>
      </c>
      <c r="J102" s="9">
        <f>E102*I102</f>
        <v/>
      </c>
      <c r="K102" s="9" t="n">
        <v>0</v>
      </c>
      <c r="L102" s="8" t="n">
        <v>0</v>
      </c>
      <c r="M102" s="8" t="n">
        <v>0</v>
      </c>
      <c r="N102" s="8">
        <f>IF(L102&gt;0,IFERROR(VALUE(LEFT($D102,1)),1),0)</f>
        <v/>
      </c>
      <c r="O102" s="8">
        <f>L102*N102</f>
        <v/>
      </c>
      <c r="P102" s="9">
        <f>K102*O102</f>
        <v/>
      </c>
      <c r="Q102" s="9" t="n">
        <v>0</v>
      </c>
      <c r="R102" s="8" t="n">
        <v>0</v>
      </c>
      <c r="S102" s="8" t="n">
        <v>0</v>
      </c>
      <c r="T102" s="8">
        <f>IF(R102&gt;0,IFERROR(VALUE(LEFT($D102,1)),1),0)</f>
        <v/>
      </c>
      <c r="U102" s="8">
        <f>R102*T102</f>
        <v/>
      </c>
      <c r="V102" s="9">
        <f>Q102*U102</f>
        <v/>
      </c>
      <c r="W102" s="9" t="n">
        <v>0</v>
      </c>
      <c r="X102" s="8" t="n">
        <v>0</v>
      </c>
      <c r="Y102" s="8" t="n">
        <v>0</v>
      </c>
      <c r="Z102" s="8">
        <f>IF(X102&gt;0,IFERROR(VALUE(LEFT($D102,1)),1),0)</f>
        <v/>
      </c>
      <c r="AA102" s="8">
        <f>X102*Z102</f>
        <v/>
      </c>
      <c r="AB102" s="9">
        <f>W102*AA102</f>
        <v/>
      </c>
      <c r="AC102" s="9" t="n">
        <v>140</v>
      </c>
      <c r="AD102" s="8" t="n">
        <v>2</v>
      </c>
      <c r="AE102" s="8" t="n">
        <v>0</v>
      </c>
      <c r="AF102" s="8">
        <f>IF(AD102&gt;0,IFERROR(VALUE(LEFT($D102,1)),1),0)</f>
        <v/>
      </c>
      <c r="AG102" s="8">
        <f>AD102*AF102</f>
        <v/>
      </c>
      <c r="AH102" s="9">
        <f>AC102*AG102</f>
        <v/>
      </c>
      <c r="AI102" s="9" t="n">
        <v>0</v>
      </c>
      <c r="AJ102" s="8" t="n">
        <v>0</v>
      </c>
      <c r="AK102" s="8" t="n">
        <v>0</v>
      </c>
      <c r="AL102" s="8">
        <f>IF(AJ102&gt;0,IFERROR(VALUE(LEFT($D102,1)),1),0)</f>
        <v/>
      </c>
      <c r="AM102" s="8">
        <f>AJ102*AL102</f>
        <v/>
      </c>
      <c r="AN102" s="9">
        <f>AI102*AM102</f>
        <v/>
      </c>
    </row>
    <row r="103">
      <c r="A103" s="8" t="inlineStr">
        <is>
          <t>TK</t>
        </is>
      </c>
      <c r="B103" s="8" t="inlineStr">
        <is>
          <t>TK Angio TK j.brzusznej</t>
        </is>
      </c>
      <c r="C103" s="8" t="inlineStr">
        <is>
          <t>TK Angiografia</t>
        </is>
      </c>
      <c r="D103" s="8" t="inlineStr">
        <is>
          <t>2 okolice anatomiczne</t>
        </is>
      </c>
      <c r="E103" s="9" t="n">
        <v>0</v>
      </c>
      <c r="F103" s="8" t="n">
        <v>0</v>
      </c>
      <c r="G103" s="8" t="n">
        <v>0</v>
      </c>
      <c r="H103" s="8">
        <f>IF(F103&gt;0,IFERROR(VALUE(LEFT($D103,1)),1),0)</f>
        <v/>
      </c>
      <c r="I103" s="8">
        <f>F103*H103</f>
        <v/>
      </c>
      <c r="J103" s="9">
        <f>E103*I103</f>
        <v/>
      </c>
      <c r="K103" s="9" t="n">
        <v>0</v>
      </c>
      <c r="L103" s="8" t="n">
        <v>0</v>
      </c>
      <c r="M103" s="8" t="n">
        <v>0</v>
      </c>
      <c r="N103" s="8">
        <f>IF(L103&gt;0,IFERROR(VALUE(LEFT($D103,1)),1),0)</f>
        <v/>
      </c>
      <c r="O103" s="8">
        <f>L103*N103</f>
        <v/>
      </c>
      <c r="P103" s="9">
        <f>K103*O103</f>
        <v/>
      </c>
      <c r="Q103" s="9" t="n">
        <v>0</v>
      </c>
      <c r="R103" s="8" t="n">
        <v>0</v>
      </c>
      <c r="S103" s="8" t="n">
        <v>0</v>
      </c>
      <c r="T103" s="8">
        <f>IF(R103&gt;0,IFERROR(VALUE(LEFT($D103,1)),1),0)</f>
        <v/>
      </c>
      <c r="U103" s="8">
        <f>R103*T103</f>
        <v/>
      </c>
      <c r="V103" s="9">
        <f>Q103*U103</f>
        <v/>
      </c>
      <c r="W103" s="9" t="n">
        <v>0</v>
      </c>
      <c r="X103" s="8" t="n">
        <v>0</v>
      </c>
      <c r="Y103" s="8" t="n">
        <v>0</v>
      </c>
      <c r="Z103" s="8">
        <f>IF(X103&gt;0,IFERROR(VALUE(LEFT($D103,1)),1),0)</f>
        <v/>
      </c>
      <c r="AA103" s="8">
        <f>X103*Z103</f>
        <v/>
      </c>
      <c r="AB103" s="9">
        <f>W103*AA103</f>
        <v/>
      </c>
      <c r="AC103" s="9" t="n">
        <v>140</v>
      </c>
      <c r="AD103" s="8" t="n">
        <v>1</v>
      </c>
      <c r="AE103" s="8" t="n">
        <v>2</v>
      </c>
      <c r="AF103" s="8">
        <f>IF(AD103&gt;0,IFERROR(VALUE(LEFT($D103,1)),1),0)</f>
        <v/>
      </c>
      <c r="AG103" s="8">
        <f>AD103*AF103</f>
        <v/>
      </c>
      <c r="AH103" s="9">
        <f>AC103*AG103</f>
        <v/>
      </c>
      <c r="AI103" s="9" t="n">
        <v>0</v>
      </c>
      <c r="AJ103" s="8" t="n">
        <v>0</v>
      </c>
      <c r="AK103" s="8" t="n">
        <v>0</v>
      </c>
      <c r="AL103" s="8">
        <f>IF(AJ103&gt;0,IFERROR(VALUE(LEFT($D103,1)),1),0)</f>
        <v/>
      </c>
      <c r="AM103" s="8">
        <f>AJ103*AL103</f>
        <v/>
      </c>
      <c r="AN103" s="9">
        <f>AI103*AM103</f>
        <v/>
      </c>
    </row>
    <row r="104">
      <c r="A104" s="8" t="inlineStr">
        <is>
          <t>TK</t>
        </is>
      </c>
      <c r="B104" s="8" t="inlineStr">
        <is>
          <t>TK angio aorta piersiowa</t>
        </is>
      </c>
      <c r="C104" s="8" t="inlineStr">
        <is>
          <t>TK Angiografia</t>
        </is>
      </c>
      <c r="D104" s="8" t="inlineStr">
        <is>
          <t>1 okolica anatomiczna</t>
        </is>
      </c>
      <c r="E104" s="9" t="n">
        <v>0</v>
      </c>
      <c r="F104" s="8" t="n">
        <v>0</v>
      </c>
      <c r="G104" s="8" t="n">
        <v>0</v>
      </c>
      <c r="H104" s="8">
        <f>IF(F104&gt;0,IFERROR(VALUE(LEFT($D104,1)),1),0)</f>
        <v/>
      </c>
      <c r="I104" s="8">
        <f>F104*H104</f>
        <v/>
      </c>
      <c r="J104" s="9">
        <f>E104*I104</f>
        <v/>
      </c>
      <c r="K104" s="9" t="n">
        <v>0</v>
      </c>
      <c r="L104" s="8" t="n">
        <v>0</v>
      </c>
      <c r="M104" s="8" t="n">
        <v>0</v>
      </c>
      <c r="N104" s="8">
        <f>IF(L104&gt;0,IFERROR(VALUE(LEFT($D104,1)),1),0)</f>
        <v/>
      </c>
      <c r="O104" s="8">
        <f>L104*N104</f>
        <v/>
      </c>
      <c r="P104" s="9">
        <f>K104*O104</f>
        <v/>
      </c>
      <c r="Q104" s="9" t="n">
        <v>0</v>
      </c>
      <c r="R104" s="8" t="n">
        <v>0</v>
      </c>
      <c r="S104" s="8" t="n">
        <v>0</v>
      </c>
      <c r="T104" s="8">
        <f>IF(R104&gt;0,IFERROR(VALUE(LEFT($D104,1)),1),0)</f>
        <v/>
      </c>
      <c r="U104" s="8">
        <f>R104*T104</f>
        <v/>
      </c>
      <c r="V104" s="9">
        <f>Q104*U104</f>
        <v/>
      </c>
      <c r="W104" s="9" t="n">
        <v>0</v>
      </c>
      <c r="X104" s="8" t="n">
        <v>0</v>
      </c>
      <c r="Y104" s="8" t="n">
        <v>0</v>
      </c>
      <c r="Z104" s="8">
        <f>IF(X104&gt;0,IFERROR(VALUE(LEFT($D104,1)),1),0)</f>
        <v/>
      </c>
      <c r="AA104" s="8">
        <f>X104*Z104</f>
        <v/>
      </c>
      <c r="AB104" s="9">
        <f>W104*AA104</f>
        <v/>
      </c>
      <c r="AC104" s="9" t="n">
        <v>140</v>
      </c>
      <c r="AD104" s="8" t="n">
        <v>1</v>
      </c>
      <c r="AE104" s="8" t="n">
        <v>0</v>
      </c>
      <c r="AF104" s="8">
        <f>IF(AD104&gt;0,IFERROR(VALUE(LEFT($D104,1)),1),0)</f>
        <v/>
      </c>
      <c r="AG104" s="8">
        <f>AD104*AF104</f>
        <v/>
      </c>
      <c r="AH104" s="9">
        <f>AC104*AG104</f>
        <v/>
      </c>
      <c r="AI104" s="9" t="n">
        <v>0</v>
      </c>
      <c r="AJ104" s="8" t="n">
        <v>0</v>
      </c>
      <c r="AK104" s="8" t="n">
        <v>0</v>
      </c>
      <c r="AL104" s="8">
        <f>IF(AJ104&gt;0,IFERROR(VALUE(LEFT($D104,1)),1),0)</f>
        <v/>
      </c>
      <c r="AM104" s="8">
        <f>AJ104*AL104</f>
        <v/>
      </c>
      <c r="AN104" s="9">
        <f>AI104*AM104</f>
        <v/>
      </c>
    </row>
    <row r="105">
      <c r="A105" s="8" t="inlineStr">
        <is>
          <t>TK</t>
        </is>
      </c>
      <c r="B105" s="8" t="inlineStr">
        <is>
          <t>TK, angio, tętnice szyjne, bez i z wzmocnieniem kontrastowym (6.221)</t>
        </is>
      </c>
      <c r="C105" s="8" t="inlineStr">
        <is>
          <t>TK Angiografia</t>
        </is>
      </c>
      <c r="D105" s="8" t="inlineStr">
        <is>
          <t>1 okolica anatomiczna</t>
        </is>
      </c>
      <c r="E105" s="9" t="n">
        <v>0</v>
      </c>
      <c r="F105" s="8" t="n">
        <v>0</v>
      </c>
      <c r="G105" s="8" t="n">
        <v>0</v>
      </c>
      <c r="H105" s="8">
        <f>IF(F105&gt;0,IFERROR(VALUE(LEFT($D105,1)),1),0)</f>
        <v/>
      </c>
      <c r="I105" s="8">
        <f>F105*H105</f>
        <v/>
      </c>
      <c r="J105" s="9">
        <f>E105*I105</f>
        <v/>
      </c>
      <c r="K105" s="9" t="n">
        <v>0</v>
      </c>
      <c r="L105" s="8" t="n">
        <v>0</v>
      </c>
      <c r="M105" s="8" t="n">
        <v>0</v>
      </c>
      <c r="N105" s="8">
        <f>IF(L105&gt;0,IFERROR(VALUE(LEFT($D105,1)),1),0)</f>
        <v/>
      </c>
      <c r="O105" s="8">
        <f>L105*N105</f>
        <v/>
      </c>
      <c r="P105" s="9">
        <f>K105*O105</f>
        <v/>
      </c>
      <c r="Q105" s="9" t="n">
        <v>0</v>
      </c>
      <c r="R105" s="8" t="n">
        <v>0</v>
      </c>
      <c r="S105" s="8" t="n">
        <v>0</v>
      </c>
      <c r="T105" s="8">
        <f>IF(R105&gt;0,IFERROR(VALUE(LEFT($D105,1)),1),0)</f>
        <v/>
      </c>
      <c r="U105" s="8">
        <f>R105*T105</f>
        <v/>
      </c>
      <c r="V105" s="9">
        <f>Q105*U105</f>
        <v/>
      </c>
      <c r="W105" s="9" t="n">
        <v>0</v>
      </c>
      <c r="X105" s="8" t="n">
        <v>0</v>
      </c>
      <c r="Y105" s="8" t="n">
        <v>0</v>
      </c>
      <c r="Z105" s="8">
        <f>IF(X105&gt;0,IFERROR(VALUE(LEFT($D105,1)),1),0)</f>
        <v/>
      </c>
      <c r="AA105" s="8">
        <f>X105*Z105</f>
        <v/>
      </c>
      <c r="AB105" s="9">
        <f>W105*AA105</f>
        <v/>
      </c>
      <c r="AC105" s="9" t="n">
        <v>140</v>
      </c>
      <c r="AD105" s="8" t="n">
        <v>1</v>
      </c>
      <c r="AE105" s="8" t="n">
        <v>0</v>
      </c>
      <c r="AF105" s="8">
        <f>IF(AD105&gt;0,IFERROR(VALUE(LEFT($D105,1)),1),0)</f>
        <v/>
      </c>
      <c r="AG105" s="8">
        <f>AD105*AF105</f>
        <v/>
      </c>
      <c r="AH105" s="9">
        <f>AC105*AG105</f>
        <v/>
      </c>
      <c r="AI105" s="9" t="n">
        <v>0</v>
      </c>
      <c r="AJ105" s="8" t="n">
        <v>0</v>
      </c>
      <c r="AK105" s="8" t="n">
        <v>0</v>
      </c>
      <c r="AL105" s="8">
        <f>IF(AJ105&gt;0,IFERROR(VALUE(LEFT($D105,1)),1),0)</f>
        <v/>
      </c>
      <c r="AM105" s="8">
        <f>AJ105*AL105</f>
        <v/>
      </c>
      <c r="AN105" s="9">
        <f>AI105*AM105</f>
        <v/>
      </c>
    </row>
    <row r="106">
      <c r="A106" s="8" t="inlineStr">
        <is>
          <t>TK</t>
        </is>
      </c>
      <c r="B106" s="8" t="inlineStr">
        <is>
          <t>TK, angio, tętnice szyjne, bez i z wzmocnieniem kontrastowym (6.221)</t>
        </is>
      </c>
      <c r="C106" s="8" t="inlineStr">
        <is>
          <t>TK Angiografia</t>
        </is>
      </c>
      <c r="D106" s="8" t="inlineStr">
        <is>
          <t>2 okolice anatomiczne</t>
        </is>
      </c>
      <c r="E106" s="9" t="n">
        <v>0</v>
      </c>
      <c r="F106" s="8" t="n">
        <v>0</v>
      </c>
      <c r="G106" s="8" t="n">
        <v>0</v>
      </c>
      <c r="H106" s="8">
        <f>IF(F106&gt;0,IFERROR(VALUE(LEFT($D106,1)),1),0)</f>
        <v/>
      </c>
      <c r="I106" s="8">
        <f>F106*H106</f>
        <v/>
      </c>
      <c r="J106" s="9">
        <f>E106*I106</f>
        <v/>
      </c>
      <c r="K106" s="9" t="n">
        <v>0</v>
      </c>
      <c r="L106" s="8" t="n">
        <v>0</v>
      </c>
      <c r="M106" s="8" t="n">
        <v>0</v>
      </c>
      <c r="N106" s="8">
        <f>IF(L106&gt;0,IFERROR(VALUE(LEFT($D106,1)),1),0)</f>
        <v/>
      </c>
      <c r="O106" s="8">
        <f>L106*N106</f>
        <v/>
      </c>
      <c r="P106" s="9">
        <f>K106*O106</f>
        <v/>
      </c>
      <c r="Q106" s="9" t="n">
        <v>0</v>
      </c>
      <c r="R106" s="8" t="n">
        <v>0</v>
      </c>
      <c r="S106" s="8" t="n">
        <v>0</v>
      </c>
      <c r="T106" s="8">
        <f>IF(R106&gt;0,IFERROR(VALUE(LEFT($D106,1)),1),0)</f>
        <v/>
      </c>
      <c r="U106" s="8">
        <f>R106*T106</f>
        <v/>
      </c>
      <c r="V106" s="9">
        <f>Q106*U106</f>
        <v/>
      </c>
      <c r="W106" s="9" t="n">
        <v>0</v>
      </c>
      <c r="X106" s="8" t="n">
        <v>0</v>
      </c>
      <c r="Y106" s="8" t="n">
        <v>0</v>
      </c>
      <c r="Z106" s="8">
        <f>IF(X106&gt;0,IFERROR(VALUE(LEFT($D106,1)),1),0)</f>
        <v/>
      </c>
      <c r="AA106" s="8">
        <f>X106*Z106</f>
        <v/>
      </c>
      <c r="AB106" s="9">
        <f>W106*AA106</f>
        <v/>
      </c>
      <c r="AC106" s="9" t="n">
        <v>140</v>
      </c>
      <c r="AD106" s="8" t="n">
        <v>1</v>
      </c>
      <c r="AE106" s="8" t="n">
        <v>0</v>
      </c>
      <c r="AF106" s="8">
        <f>IF(AD106&gt;0,IFERROR(VALUE(LEFT($D106,1)),1),0)</f>
        <v/>
      </c>
      <c r="AG106" s="8">
        <f>AD106*AF106</f>
        <v/>
      </c>
      <c r="AH106" s="9">
        <f>AC106*AG106</f>
        <v/>
      </c>
      <c r="AI106" s="9" t="n">
        <v>0</v>
      </c>
      <c r="AJ106" s="8" t="n">
        <v>0</v>
      </c>
      <c r="AK106" s="8" t="n">
        <v>0</v>
      </c>
      <c r="AL106" s="8">
        <f>IF(AJ106&gt;0,IFERROR(VALUE(LEFT($D106,1)),1),0)</f>
        <v/>
      </c>
      <c r="AM106" s="8">
        <f>AJ106*AL106</f>
        <v/>
      </c>
      <c r="AN106" s="9">
        <f>AI106*AM106</f>
        <v/>
      </c>
    </row>
    <row r="107">
      <c r="A107" s="8" t="inlineStr">
        <is>
          <t>TK</t>
        </is>
      </c>
      <c r="B107" s="8" t="inlineStr">
        <is>
          <t>TK, angio, łuk aorty i tętnice dogłowowe (6.222)</t>
        </is>
      </c>
      <c r="C107" s="8" t="inlineStr">
        <is>
          <t>TK Angiografia</t>
        </is>
      </c>
      <c r="D107" s="8" t="inlineStr">
        <is>
          <t>2 okolice anatomiczne</t>
        </is>
      </c>
      <c r="E107" s="9" t="n">
        <v>0</v>
      </c>
      <c r="F107" s="8" t="n">
        <v>0</v>
      </c>
      <c r="G107" s="8" t="n">
        <v>0</v>
      </c>
      <c r="H107" s="8">
        <f>IF(F107&gt;0,IFERROR(VALUE(LEFT($D107,1)),1),0)</f>
        <v/>
      </c>
      <c r="I107" s="8">
        <f>F107*H107</f>
        <v/>
      </c>
      <c r="J107" s="9">
        <f>E107*I107</f>
        <v/>
      </c>
      <c r="K107" s="9" t="n">
        <v>0</v>
      </c>
      <c r="L107" s="8" t="n">
        <v>0</v>
      </c>
      <c r="M107" s="8" t="n">
        <v>0</v>
      </c>
      <c r="N107" s="8">
        <f>IF(L107&gt;0,IFERROR(VALUE(LEFT($D107,1)),1),0)</f>
        <v/>
      </c>
      <c r="O107" s="8">
        <f>L107*N107</f>
        <v/>
      </c>
      <c r="P107" s="9">
        <f>K107*O107</f>
        <v/>
      </c>
      <c r="Q107" s="9" t="n">
        <v>0</v>
      </c>
      <c r="R107" s="8" t="n">
        <v>0</v>
      </c>
      <c r="S107" s="8" t="n">
        <v>0</v>
      </c>
      <c r="T107" s="8">
        <f>IF(R107&gt;0,IFERROR(VALUE(LEFT($D107,1)),1),0)</f>
        <v/>
      </c>
      <c r="U107" s="8">
        <f>R107*T107</f>
        <v/>
      </c>
      <c r="V107" s="9">
        <f>Q107*U107</f>
        <v/>
      </c>
      <c r="W107" s="9" t="n">
        <v>0</v>
      </c>
      <c r="X107" s="8" t="n">
        <v>0</v>
      </c>
      <c r="Y107" s="8" t="n">
        <v>0</v>
      </c>
      <c r="Z107" s="8">
        <f>IF(X107&gt;0,IFERROR(VALUE(LEFT($D107,1)),1),0)</f>
        <v/>
      </c>
      <c r="AA107" s="8">
        <f>X107*Z107</f>
        <v/>
      </c>
      <c r="AB107" s="9">
        <f>W107*AA107</f>
        <v/>
      </c>
      <c r="AC107" s="9" t="n">
        <v>140</v>
      </c>
      <c r="AD107" s="8" t="n">
        <v>1</v>
      </c>
      <c r="AE107" s="8" t="n">
        <v>0</v>
      </c>
      <c r="AF107" s="8">
        <f>IF(AD107&gt;0,IFERROR(VALUE(LEFT($D107,1)),1),0)</f>
        <v/>
      </c>
      <c r="AG107" s="8">
        <f>AD107*AF107</f>
        <v/>
      </c>
      <c r="AH107" s="9">
        <f>AC107*AG107</f>
        <v/>
      </c>
      <c r="AI107" s="9" t="n">
        <v>0</v>
      </c>
      <c r="AJ107" s="8" t="n">
        <v>0</v>
      </c>
      <c r="AK107" s="8" t="n">
        <v>0</v>
      </c>
      <c r="AL107" s="8">
        <f>IF(AJ107&gt;0,IFERROR(VALUE(LEFT($D107,1)),1),0)</f>
        <v/>
      </c>
      <c r="AM107" s="8">
        <f>AJ107*AL107</f>
        <v/>
      </c>
      <c r="AN107" s="9">
        <f>AI107*AM107</f>
        <v/>
      </c>
    </row>
    <row r="108">
      <c r="A108" s="8" t="inlineStr">
        <is>
          <t>TK</t>
        </is>
      </c>
      <c r="B108" s="8" t="inlineStr">
        <is>
          <t>Angio TK tt. mózgowia</t>
        </is>
      </c>
      <c r="C108" s="8" t="inlineStr">
        <is>
          <t>TK Angiografia</t>
        </is>
      </c>
      <c r="D108" s="8" t="inlineStr">
        <is>
          <t>1 okolica anatomiczna</t>
        </is>
      </c>
      <c r="E108" s="9" t="n">
        <v>0</v>
      </c>
      <c r="F108" s="8" t="n">
        <v>0</v>
      </c>
      <c r="G108" s="8" t="n">
        <v>0</v>
      </c>
      <c r="H108" s="8">
        <f>IF(F108&gt;0,IFERROR(VALUE(LEFT($D108,1)),1),0)</f>
        <v/>
      </c>
      <c r="I108" s="8">
        <f>F108*H108</f>
        <v/>
      </c>
      <c r="J108" s="9">
        <f>E108*I108</f>
        <v/>
      </c>
      <c r="K108" s="9" t="n">
        <v>0</v>
      </c>
      <c r="L108" s="8" t="n">
        <v>0</v>
      </c>
      <c r="M108" s="8" t="n">
        <v>0</v>
      </c>
      <c r="N108" s="8">
        <f>IF(L108&gt;0,IFERROR(VALUE(LEFT($D108,1)),1),0)</f>
        <v/>
      </c>
      <c r="O108" s="8">
        <f>L108*N108</f>
        <v/>
      </c>
      <c r="P108" s="9">
        <f>K108*O108</f>
        <v/>
      </c>
      <c r="Q108" s="9" t="n">
        <v>0</v>
      </c>
      <c r="R108" s="8" t="n">
        <v>0</v>
      </c>
      <c r="S108" s="8" t="n">
        <v>0</v>
      </c>
      <c r="T108" s="8">
        <f>IF(R108&gt;0,IFERROR(VALUE(LEFT($D108,1)),1),0)</f>
        <v/>
      </c>
      <c r="U108" s="8">
        <f>R108*T108</f>
        <v/>
      </c>
      <c r="V108" s="9">
        <f>Q108*U108</f>
        <v/>
      </c>
      <c r="W108" s="9" t="n">
        <v>0</v>
      </c>
      <c r="X108" s="8" t="n">
        <v>0</v>
      </c>
      <c r="Y108" s="8" t="n">
        <v>0</v>
      </c>
      <c r="Z108" s="8">
        <f>IF(X108&gt;0,IFERROR(VALUE(LEFT($D108,1)),1),0)</f>
        <v/>
      </c>
      <c r="AA108" s="8">
        <f>X108*Z108</f>
        <v/>
      </c>
      <c r="AB108" s="9">
        <f>W108*AA108</f>
        <v/>
      </c>
      <c r="AC108" s="9" t="n">
        <v>0</v>
      </c>
      <c r="AD108" s="8" t="n">
        <v>0</v>
      </c>
      <c r="AE108" s="8" t="n">
        <v>0</v>
      </c>
      <c r="AF108" s="8">
        <f>IF(AD108&gt;0,IFERROR(VALUE(LEFT($D108,1)),1),0)</f>
        <v/>
      </c>
      <c r="AG108" s="8">
        <f>AD108*AF108</f>
        <v/>
      </c>
      <c r="AH108" s="9">
        <f>AC108*AG108</f>
        <v/>
      </c>
      <c r="AI108" s="9" t="n">
        <v>135</v>
      </c>
      <c r="AJ108" s="8" t="n">
        <v>1</v>
      </c>
      <c r="AK108" s="8" t="n">
        <v>0</v>
      </c>
      <c r="AL108" s="8">
        <f>IF(AJ108&gt;0,IFERROR(VALUE(LEFT($D108,1)),1),0)</f>
        <v/>
      </c>
      <c r="AM108" s="8">
        <f>AJ108*AL108</f>
        <v/>
      </c>
      <c r="AN108" s="9">
        <f>AI108*AM108</f>
        <v/>
      </c>
    </row>
    <row r="109">
      <c r="A109" s="8" t="inlineStr">
        <is>
          <t>TK</t>
        </is>
      </c>
      <c r="B109" s="8" t="inlineStr">
        <is>
          <t>Angio TK tt. szyjne</t>
        </is>
      </c>
      <c r="C109" s="8" t="inlineStr">
        <is>
          <t>TK Angiografia</t>
        </is>
      </c>
      <c r="D109" s="8" t="inlineStr">
        <is>
          <t>1 okolica anatomiczna</t>
        </is>
      </c>
      <c r="E109" s="9" t="n">
        <v>0</v>
      </c>
      <c r="F109" s="8" t="n">
        <v>0</v>
      </c>
      <c r="G109" s="8" t="n">
        <v>0</v>
      </c>
      <c r="H109" s="8">
        <f>IF(F109&gt;0,IFERROR(VALUE(LEFT($D109,1)),1),0)</f>
        <v/>
      </c>
      <c r="I109" s="8">
        <f>F109*H109</f>
        <v/>
      </c>
      <c r="J109" s="9">
        <f>E109*I109</f>
        <v/>
      </c>
      <c r="K109" s="9" t="n">
        <v>0</v>
      </c>
      <c r="L109" s="8" t="n">
        <v>0</v>
      </c>
      <c r="M109" s="8" t="n">
        <v>0</v>
      </c>
      <c r="N109" s="8">
        <f>IF(L109&gt;0,IFERROR(VALUE(LEFT($D109,1)),1),0)</f>
        <v/>
      </c>
      <c r="O109" s="8">
        <f>L109*N109</f>
        <v/>
      </c>
      <c r="P109" s="9">
        <f>K109*O109</f>
        <v/>
      </c>
      <c r="Q109" s="9" t="n">
        <v>0</v>
      </c>
      <c r="R109" s="8" t="n">
        <v>0</v>
      </c>
      <c r="S109" s="8" t="n">
        <v>0</v>
      </c>
      <c r="T109" s="8">
        <f>IF(R109&gt;0,IFERROR(VALUE(LEFT($D109,1)),1),0)</f>
        <v/>
      </c>
      <c r="U109" s="8">
        <f>R109*T109</f>
        <v/>
      </c>
      <c r="V109" s="9">
        <f>Q109*U109</f>
        <v/>
      </c>
      <c r="W109" s="9" t="n">
        <v>0</v>
      </c>
      <c r="X109" s="8" t="n">
        <v>0</v>
      </c>
      <c r="Y109" s="8" t="n">
        <v>0</v>
      </c>
      <c r="Z109" s="8">
        <f>IF(X109&gt;0,IFERROR(VALUE(LEFT($D109,1)),1),0)</f>
        <v/>
      </c>
      <c r="AA109" s="8">
        <f>X109*Z109</f>
        <v/>
      </c>
      <c r="AB109" s="9">
        <f>W109*AA109</f>
        <v/>
      </c>
      <c r="AC109" s="9" t="n">
        <v>0</v>
      </c>
      <c r="AD109" s="8" t="n">
        <v>0</v>
      </c>
      <c r="AE109" s="8" t="n">
        <v>0</v>
      </c>
      <c r="AF109" s="8">
        <f>IF(AD109&gt;0,IFERROR(VALUE(LEFT($D109,1)),1),0)</f>
        <v/>
      </c>
      <c r="AG109" s="8">
        <f>AD109*AF109</f>
        <v/>
      </c>
      <c r="AH109" s="9">
        <f>AC109*AG109</f>
        <v/>
      </c>
      <c r="AI109" s="9" t="n">
        <v>135</v>
      </c>
      <c r="AJ109" s="8" t="n">
        <v>1</v>
      </c>
      <c r="AK109" s="8" t="n">
        <v>0</v>
      </c>
      <c r="AL109" s="8">
        <f>IF(AJ109&gt;0,IFERROR(VALUE(LEFT($D109,1)),1),0)</f>
        <v/>
      </c>
      <c r="AM109" s="8">
        <f>AJ109*AL109</f>
        <v/>
      </c>
      <c r="AN109" s="9">
        <f>AI109*AM109</f>
        <v/>
      </c>
    </row>
    <row r="110">
      <c r="A110" s="8" t="inlineStr">
        <is>
          <t>TK</t>
        </is>
      </c>
      <c r="B110" s="8" t="inlineStr">
        <is>
          <t>Angiografia TK, głowy</t>
        </is>
      </c>
      <c r="C110" s="8" t="inlineStr">
        <is>
          <t>TK Angiografia</t>
        </is>
      </c>
      <c r="D110" s="8" t="inlineStr">
        <is>
          <t>2 okolice anatomiczne</t>
        </is>
      </c>
      <c r="E110" s="9" t="n">
        <v>0</v>
      </c>
      <c r="F110" s="8" t="n">
        <v>0</v>
      </c>
      <c r="G110" s="8" t="n">
        <v>0</v>
      </c>
      <c r="H110" s="8">
        <f>IF(F110&gt;0,IFERROR(VALUE(LEFT($D110,1)),1),0)</f>
        <v/>
      </c>
      <c r="I110" s="8">
        <f>F110*H110</f>
        <v/>
      </c>
      <c r="J110" s="9">
        <f>E110*I110</f>
        <v/>
      </c>
      <c r="K110" s="9" t="n">
        <v>0</v>
      </c>
      <c r="L110" s="8" t="n">
        <v>0</v>
      </c>
      <c r="M110" s="8" t="n">
        <v>0</v>
      </c>
      <c r="N110" s="8">
        <f>IF(L110&gt;0,IFERROR(VALUE(LEFT($D110,1)),1),0)</f>
        <v/>
      </c>
      <c r="O110" s="8">
        <f>L110*N110</f>
        <v/>
      </c>
      <c r="P110" s="9">
        <f>K110*O110</f>
        <v/>
      </c>
      <c r="Q110" s="9" t="n">
        <v>0</v>
      </c>
      <c r="R110" s="8" t="n">
        <v>0</v>
      </c>
      <c r="S110" s="8" t="n">
        <v>0</v>
      </c>
      <c r="T110" s="8">
        <f>IF(R110&gt;0,IFERROR(VALUE(LEFT($D110,1)),1),0)</f>
        <v/>
      </c>
      <c r="U110" s="8">
        <f>R110*T110</f>
        <v/>
      </c>
      <c r="V110" s="9">
        <f>Q110*U110</f>
        <v/>
      </c>
      <c r="W110" s="9" t="n">
        <v>0</v>
      </c>
      <c r="X110" s="8" t="n">
        <v>0</v>
      </c>
      <c r="Y110" s="8" t="n">
        <v>0</v>
      </c>
      <c r="Z110" s="8">
        <f>IF(X110&gt;0,IFERROR(VALUE(LEFT($D110,1)),1),0)</f>
        <v/>
      </c>
      <c r="AA110" s="8">
        <f>X110*Z110</f>
        <v/>
      </c>
      <c r="AB110" s="9">
        <f>W110*AA110</f>
        <v/>
      </c>
      <c r="AC110" s="9" t="n">
        <v>0</v>
      </c>
      <c r="AD110" s="8" t="n">
        <v>0</v>
      </c>
      <c r="AE110" s="8" t="n">
        <v>0</v>
      </c>
      <c r="AF110" s="8">
        <f>IF(AD110&gt;0,IFERROR(VALUE(LEFT($D110,1)),1),0)</f>
        <v/>
      </c>
      <c r="AG110" s="8">
        <f>AD110*AF110</f>
        <v/>
      </c>
      <c r="AH110" s="9">
        <f>AC110*AG110</f>
        <v/>
      </c>
      <c r="AI110" s="9" t="n">
        <v>135</v>
      </c>
      <c r="AJ110" s="8" t="n">
        <v>1</v>
      </c>
      <c r="AK110" s="8" t="n">
        <v>0</v>
      </c>
      <c r="AL110" s="8">
        <f>IF(AJ110&gt;0,IFERROR(VALUE(LEFT($D110,1)),1),0)</f>
        <v/>
      </c>
      <c r="AM110" s="8">
        <f>AJ110*AL110</f>
        <v/>
      </c>
      <c r="AN110" s="9">
        <f>AI110*AM110</f>
        <v/>
      </c>
    </row>
    <row r="111">
      <c r="A111" s="12" t="inlineStr">
        <is>
          <t>TK</t>
        </is>
      </c>
      <c r="B111" s="12" t="inlineStr">
        <is>
          <t>TK - klatki piersiowej</t>
        </is>
      </c>
      <c r="C111" s="12" t="inlineStr">
        <is>
          <t>TK Onkologia</t>
        </is>
      </c>
      <c r="D111" s="12" t="inlineStr">
        <is>
          <t>1 okolica anatomiczna</t>
        </is>
      </c>
      <c r="E111" s="9" t="n">
        <v>0</v>
      </c>
      <c r="F111" s="12" t="n">
        <v>0</v>
      </c>
      <c r="G111" s="12" t="n">
        <v>0</v>
      </c>
      <c r="H111" s="12">
        <f>IF(F111&gt;0,IFERROR(VALUE(LEFT($D111,1)),1),0)</f>
        <v/>
      </c>
      <c r="I111" s="12">
        <f>F111*H111</f>
        <v/>
      </c>
      <c r="J111" s="9">
        <f>E111*I111</f>
        <v/>
      </c>
      <c r="K111" s="9" t="n">
        <v>0</v>
      </c>
      <c r="L111" s="12" t="n">
        <v>0</v>
      </c>
      <c r="M111" s="12" t="n">
        <v>0</v>
      </c>
      <c r="N111" s="12">
        <f>IF(L111&gt;0,IFERROR(VALUE(LEFT($D111,1)),1),0)</f>
        <v/>
      </c>
      <c r="O111" s="12">
        <f>L111*N111</f>
        <v/>
      </c>
      <c r="P111" s="9">
        <f>K111*O111</f>
        <v/>
      </c>
      <c r="Q111" s="9" t="n">
        <v>140</v>
      </c>
      <c r="R111" s="12" t="n">
        <v>1</v>
      </c>
      <c r="S111" s="12" t="n">
        <v>0</v>
      </c>
      <c r="T111" s="12">
        <f>IF(R111&gt;0,IFERROR(VALUE(LEFT($D111,1)),1),0)</f>
        <v/>
      </c>
      <c r="U111" s="12">
        <f>R111*T111</f>
        <v/>
      </c>
      <c r="V111" s="9">
        <f>Q111*U111</f>
        <v/>
      </c>
      <c r="W111" s="9" t="n">
        <v>0</v>
      </c>
      <c r="X111" s="12" t="n">
        <v>0</v>
      </c>
      <c r="Y111" s="12" t="n">
        <v>0</v>
      </c>
      <c r="Z111" s="12">
        <f>IF(X111&gt;0,IFERROR(VALUE(LEFT($D111,1)),1),0)</f>
        <v/>
      </c>
      <c r="AA111" s="12">
        <f>X111*Z111</f>
        <v/>
      </c>
      <c r="AB111" s="9">
        <f>W111*AA111</f>
        <v/>
      </c>
      <c r="AC111" s="9" t="n">
        <v>140</v>
      </c>
      <c r="AD111" s="12" t="n">
        <v>1</v>
      </c>
      <c r="AE111" s="12" t="n">
        <v>0</v>
      </c>
      <c r="AF111" s="12">
        <f>IF(AD111&gt;0,IFERROR(VALUE(LEFT($D111,1)),1),0)</f>
        <v/>
      </c>
      <c r="AG111" s="12">
        <f>AD111*AF111</f>
        <v/>
      </c>
      <c r="AH111" s="9">
        <f>AC111*AG111</f>
        <v/>
      </c>
      <c r="AI111" s="9" t="n">
        <v>0</v>
      </c>
      <c r="AJ111" s="12" t="n">
        <v>0</v>
      </c>
      <c r="AK111" s="12" t="n">
        <v>0</v>
      </c>
      <c r="AL111" s="12">
        <f>IF(AJ111&gt;0,IFERROR(VALUE(LEFT($D111,1)),1),0)</f>
        <v/>
      </c>
      <c r="AM111" s="12">
        <f>AJ111*AL111</f>
        <v/>
      </c>
      <c r="AN111" s="9">
        <f>AI111*AM111</f>
        <v/>
      </c>
    </row>
    <row r="112">
      <c r="A112" s="12" t="inlineStr">
        <is>
          <t>TK</t>
        </is>
      </c>
      <c r="B112" s="12" t="inlineStr">
        <is>
          <t>TK głowy</t>
        </is>
      </c>
      <c r="C112" s="12" t="inlineStr">
        <is>
          <t>TK Onkologia</t>
        </is>
      </c>
      <c r="D112" s="12" t="inlineStr">
        <is>
          <t>1 okolica anatomiczna</t>
        </is>
      </c>
      <c r="E112" s="9" t="n">
        <v>140</v>
      </c>
      <c r="F112" s="12" t="n">
        <v>1</v>
      </c>
      <c r="G112" s="12" t="n">
        <v>0</v>
      </c>
      <c r="H112" s="12">
        <f>IF(F112&gt;0,IFERROR(VALUE(LEFT($D112,1)),1),0)</f>
        <v/>
      </c>
      <c r="I112" s="12">
        <f>F112*H112</f>
        <v/>
      </c>
      <c r="J112" s="9">
        <f>E112*I112</f>
        <v/>
      </c>
      <c r="K112" s="9" t="n">
        <v>140</v>
      </c>
      <c r="L112" s="12" t="n">
        <v>6</v>
      </c>
      <c r="M112" s="12" t="n">
        <v>0</v>
      </c>
      <c r="N112" s="12">
        <f>IF(L112&gt;0,IFERROR(VALUE(LEFT($D112,1)),1),0)</f>
        <v/>
      </c>
      <c r="O112" s="12">
        <f>L112*N112</f>
        <v/>
      </c>
      <c r="P112" s="9">
        <f>K112*O112</f>
        <v/>
      </c>
      <c r="Q112" s="9" t="n">
        <v>0</v>
      </c>
      <c r="R112" s="12" t="n">
        <v>0</v>
      </c>
      <c r="S112" s="12" t="n">
        <v>0</v>
      </c>
      <c r="T112" s="12">
        <f>IF(R112&gt;0,IFERROR(VALUE(LEFT($D112,1)),1),0)</f>
        <v/>
      </c>
      <c r="U112" s="12">
        <f>R112*T112</f>
        <v/>
      </c>
      <c r="V112" s="9">
        <f>Q112*U112</f>
        <v/>
      </c>
      <c r="W112" s="9" t="n">
        <v>140</v>
      </c>
      <c r="X112" s="12" t="n">
        <v>59</v>
      </c>
      <c r="Y112" s="12" t="n">
        <v>1</v>
      </c>
      <c r="Z112" s="12">
        <f>IF(X112&gt;0,IFERROR(VALUE(LEFT($D112,1)),1),0)</f>
        <v/>
      </c>
      <c r="AA112" s="12">
        <f>X112*Z112</f>
        <v/>
      </c>
      <c r="AB112" s="9">
        <f>W112*AA112</f>
        <v/>
      </c>
      <c r="AC112" s="9" t="n">
        <v>140</v>
      </c>
      <c r="AD112" s="12" t="n">
        <v>3</v>
      </c>
      <c r="AE112" s="12" t="n">
        <v>1</v>
      </c>
      <c r="AF112" s="12">
        <f>IF(AD112&gt;0,IFERROR(VALUE(LEFT($D112,1)),1),0)</f>
        <v/>
      </c>
      <c r="AG112" s="12">
        <f>AD112*AF112</f>
        <v/>
      </c>
      <c r="AH112" s="9">
        <f>AC112*AG112</f>
        <v/>
      </c>
      <c r="AI112" s="9" t="n">
        <v>0</v>
      </c>
      <c r="AJ112" s="12" t="n">
        <v>0</v>
      </c>
      <c r="AK112" s="12" t="n">
        <v>0</v>
      </c>
      <c r="AL112" s="12">
        <f>IF(AJ112&gt;0,IFERROR(VALUE(LEFT($D112,1)),1),0)</f>
        <v/>
      </c>
      <c r="AM112" s="12">
        <f>AJ112*AL112</f>
        <v/>
      </c>
      <c r="AN112" s="9">
        <f>AI112*AM112</f>
        <v/>
      </c>
    </row>
    <row r="113">
      <c r="A113" s="12" t="inlineStr">
        <is>
          <t>TK</t>
        </is>
      </c>
      <c r="B113" s="12" t="inlineStr">
        <is>
          <t>Angio-TK, jama brzuszna, miednica mniejsza</t>
        </is>
      </c>
      <c r="C113" s="12" t="inlineStr">
        <is>
          <t>TK Onkologia</t>
        </is>
      </c>
      <c r="D113" s="12" t="inlineStr">
        <is>
          <t>2 okolice anatomiczne</t>
        </is>
      </c>
      <c r="E113" s="9" t="n">
        <v>0</v>
      </c>
      <c r="F113" s="12" t="n">
        <v>0</v>
      </c>
      <c r="G113" s="12" t="n">
        <v>0</v>
      </c>
      <c r="H113" s="12">
        <f>IF(F113&gt;0,IFERROR(VALUE(LEFT($D113,1)),1),0)</f>
        <v/>
      </c>
      <c r="I113" s="12">
        <f>F113*H113</f>
        <v/>
      </c>
      <c r="J113" s="9">
        <f>E113*I113</f>
        <v/>
      </c>
      <c r="K113" s="9" t="n">
        <v>0</v>
      </c>
      <c r="L113" s="12" t="n">
        <v>0</v>
      </c>
      <c r="M113" s="12" t="n">
        <v>0</v>
      </c>
      <c r="N113" s="12">
        <f>IF(L113&gt;0,IFERROR(VALUE(LEFT($D113,1)),1),0)</f>
        <v/>
      </c>
      <c r="O113" s="12">
        <f>L113*N113</f>
        <v/>
      </c>
      <c r="P113" s="9">
        <f>K113*O113</f>
        <v/>
      </c>
      <c r="Q113" s="9" t="n">
        <v>0</v>
      </c>
      <c r="R113" s="12" t="n">
        <v>0</v>
      </c>
      <c r="S113" s="12" t="n">
        <v>0</v>
      </c>
      <c r="T113" s="12">
        <f>IF(R113&gt;0,IFERROR(VALUE(LEFT($D113,1)),1),0)</f>
        <v/>
      </c>
      <c r="U113" s="12">
        <f>R113*T113</f>
        <v/>
      </c>
      <c r="V113" s="9">
        <f>Q113*U113</f>
        <v/>
      </c>
      <c r="W113" s="9" t="n">
        <v>140</v>
      </c>
      <c r="X113" s="12" t="n">
        <v>1</v>
      </c>
      <c r="Y113" s="12" t="n">
        <v>0</v>
      </c>
      <c r="Z113" s="12">
        <f>IF(X113&gt;0,IFERROR(VALUE(LEFT($D113,1)),1),0)</f>
        <v/>
      </c>
      <c r="AA113" s="12">
        <f>X113*Z113</f>
        <v/>
      </c>
      <c r="AB113" s="9">
        <f>W113*AA113</f>
        <v/>
      </c>
      <c r="AC113" s="9" t="n">
        <v>0</v>
      </c>
      <c r="AD113" s="12" t="n">
        <v>0</v>
      </c>
      <c r="AE113" s="12" t="n">
        <v>0</v>
      </c>
      <c r="AF113" s="12">
        <f>IF(AD113&gt;0,IFERROR(VALUE(LEFT($D113,1)),1),0)</f>
        <v/>
      </c>
      <c r="AG113" s="12">
        <f>AD113*AF113</f>
        <v/>
      </c>
      <c r="AH113" s="9">
        <f>AC113*AG113</f>
        <v/>
      </c>
      <c r="AI113" s="9" t="n">
        <v>0</v>
      </c>
      <c r="AJ113" s="12" t="n">
        <v>0</v>
      </c>
      <c r="AK113" s="12" t="n">
        <v>0</v>
      </c>
      <c r="AL113" s="12">
        <f>IF(AJ113&gt;0,IFERROR(VALUE(LEFT($D113,1)),1),0)</f>
        <v/>
      </c>
      <c r="AM113" s="12">
        <f>AJ113*AL113</f>
        <v/>
      </c>
      <c r="AN113" s="9">
        <f>AI113*AM113</f>
        <v/>
      </c>
    </row>
    <row r="114">
      <c r="A114" s="12" t="inlineStr">
        <is>
          <t>TK</t>
        </is>
      </c>
      <c r="B114" s="12" t="inlineStr">
        <is>
          <t>HRCT - (tryb PILNY)</t>
        </is>
      </c>
      <c r="C114" s="12" t="inlineStr">
        <is>
          <t>TK Onkologia</t>
        </is>
      </c>
      <c r="D114" s="12" t="inlineStr">
        <is>
          <t>1 okolica anatomiczna</t>
        </is>
      </c>
      <c r="E114" s="9" t="n">
        <v>0</v>
      </c>
      <c r="F114" s="12" t="n">
        <v>0</v>
      </c>
      <c r="G114" s="12" t="n">
        <v>0</v>
      </c>
      <c r="H114" s="12">
        <f>IF(F114&gt;0,IFERROR(VALUE(LEFT($D114,1)),1),0)</f>
        <v/>
      </c>
      <c r="I114" s="12">
        <f>F114*H114</f>
        <v/>
      </c>
      <c r="J114" s="9">
        <f>E114*I114</f>
        <v/>
      </c>
      <c r="K114" s="9" t="n">
        <v>0</v>
      </c>
      <c r="L114" s="12" t="n">
        <v>0</v>
      </c>
      <c r="M114" s="12" t="n">
        <v>0</v>
      </c>
      <c r="N114" s="12">
        <f>IF(L114&gt;0,IFERROR(VALUE(LEFT($D114,1)),1),0)</f>
        <v/>
      </c>
      <c r="O114" s="12">
        <f>L114*N114</f>
        <v/>
      </c>
      <c r="P114" s="9">
        <f>K114*O114</f>
        <v/>
      </c>
      <c r="Q114" s="9" t="n">
        <v>0</v>
      </c>
      <c r="R114" s="12" t="n">
        <v>0</v>
      </c>
      <c r="S114" s="12" t="n">
        <v>0</v>
      </c>
      <c r="T114" s="12">
        <f>IF(R114&gt;0,IFERROR(VALUE(LEFT($D114,1)),1),0)</f>
        <v/>
      </c>
      <c r="U114" s="12">
        <f>R114*T114</f>
        <v/>
      </c>
      <c r="V114" s="9">
        <f>Q114*U114</f>
        <v/>
      </c>
      <c r="W114" s="9" t="n">
        <v>140</v>
      </c>
      <c r="X114" s="12" t="n">
        <v>2</v>
      </c>
      <c r="Y114" s="12" t="n">
        <v>0</v>
      </c>
      <c r="Z114" s="12">
        <f>IF(X114&gt;0,IFERROR(VALUE(LEFT($D114,1)),1),0)</f>
        <v/>
      </c>
      <c r="AA114" s="12">
        <f>X114*Z114</f>
        <v/>
      </c>
      <c r="AB114" s="9">
        <f>W114*AA114</f>
        <v/>
      </c>
      <c r="AC114" s="9" t="n">
        <v>0</v>
      </c>
      <c r="AD114" s="12" t="n">
        <v>0</v>
      </c>
      <c r="AE114" s="12" t="n">
        <v>0</v>
      </c>
      <c r="AF114" s="12">
        <f>IF(AD114&gt;0,IFERROR(VALUE(LEFT($D114,1)),1),0)</f>
        <v/>
      </c>
      <c r="AG114" s="12">
        <f>AD114*AF114</f>
        <v/>
      </c>
      <c r="AH114" s="9">
        <f>AC114*AG114</f>
        <v/>
      </c>
      <c r="AI114" s="9" t="n">
        <v>0</v>
      </c>
      <c r="AJ114" s="12" t="n">
        <v>0</v>
      </c>
      <c r="AK114" s="12" t="n">
        <v>0</v>
      </c>
      <c r="AL114" s="12">
        <f>IF(AJ114&gt;0,IFERROR(VALUE(LEFT($D114,1)),1),0)</f>
        <v/>
      </c>
      <c r="AM114" s="12">
        <f>AJ114*AL114</f>
        <v/>
      </c>
      <c r="AN114" s="9">
        <f>AI114*AM114</f>
        <v/>
      </c>
    </row>
    <row r="115">
      <c r="A115" s="12" t="inlineStr">
        <is>
          <t>TK</t>
        </is>
      </c>
      <c r="B115" s="12" t="inlineStr">
        <is>
          <t>K.TK JAMY BRZUSZNEJ I MIEDNICY MNIEJSZEJ</t>
        </is>
      </c>
      <c r="C115" s="12" t="inlineStr">
        <is>
          <t>TK Onkologia</t>
        </is>
      </c>
      <c r="D115" s="12" t="inlineStr">
        <is>
          <t>2 okolice anatomiczne</t>
        </is>
      </c>
      <c r="E115" s="9" t="n">
        <v>0</v>
      </c>
      <c r="F115" s="12" t="n">
        <v>0</v>
      </c>
      <c r="G115" s="12" t="n">
        <v>0</v>
      </c>
      <c r="H115" s="12">
        <f>IF(F115&gt;0,IFERROR(VALUE(LEFT($D115,1)),1),0)</f>
        <v/>
      </c>
      <c r="I115" s="12">
        <f>F115*H115</f>
        <v/>
      </c>
      <c r="J115" s="9">
        <f>E115*I115</f>
        <v/>
      </c>
      <c r="K115" s="9" t="n">
        <v>0</v>
      </c>
      <c r="L115" s="12" t="n">
        <v>0</v>
      </c>
      <c r="M115" s="12" t="n">
        <v>0</v>
      </c>
      <c r="N115" s="12">
        <f>IF(L115&gt;0,IFERROR(VALUE(LEFT($D115,1)),1),0)</f>
        <v/>
      </c>
      <c r="O115" s="12">
        <f>L115*N115</f>
        <v/>
      </c>
      <c r="P115" s="9">
        <f>K115*O115</f>
        <v/>
      </c>
      <c r="Q115" s="9" t="n">
        <v>0</v>
      </c>
      <c r="R115" s="12" t="n">
        <v>0</v>
      </c>
      <c r="S115" s="12" t="n">
        <v>0</v>
      </c>
      <c r="T115" s="12">
        <f>IF(R115&gt;0,IFERROR(VALUE(LEFT($D115,1)),1),0)</f>
        <v/>
      </c>
      <c r="U115" s="12">
        <f>R115*T115</f>
        <v/>
      </c>
      <c r="V115" s="9">
        <f>Q115*U115</f>
        <v/>
      </c>
      <c r="W115" s="9" t="n">
        <v>140</v>
      </c>
      <c r="X115" s="12" t="n">
        <v>1</v>
      </c>
      <c r="Y115" s="12" t="n">
        <v>0</v>
      </c>
      <c r="Z115" s="12">
        <f>IF(X115&gt;0,IFERROR(VALUE(LEFT($D115,1)),1),0)</f>
        <v/>
      </c>
      <c r="AA115" s="12">
        <f>X115*Z115</f>
        <v/>
      </c>
      <c r="AB115" s="9">
        <f>W115*AA115</f>
        <v/>
      </c>
      <c r="AC115" s="9" t="n">
        <v>0</v>
      </c>
      <c r="AD115" s="12" t="n">
        <v>0</v>
      </c>
      <c r="AE115" s="12" t="n">
        <v>0</v>
      </c>
      <c r="AF115" s="12">
        <f>IF(AD115&gt;0,IFERROR(VALUE(LEFT($D115,1)),1),0)</f>
        <v/>
      </c>
      <c r="AG115" s="12">
        <f>AD115*AF115</f>
        <v/>
      </c>
      <c r="AH115" s="9">
        <f>AC115*AG115</f>
        <v/>
      </c>
      <c r="AI115" s="9" t="n">
        <v>0</v>
      </c>
      <c r="AJ115" s="12" t="n">
        <v>0</v>
      </c>
      <c r="AK115" s="12" t="n">
        <v>0</v>
      </c>
      <c r="AL115" s="12">
        <f>IF(AJ115&gt;0,IFERROR(VALUE(LEFT($D115,1)),1),0)</f>
        <v/>
      </c>
      <c r="AM115" s="12">
        <f>AJ115*AL115</f>
        <v/>
      </c>
      <c r="AN115" s="9">
        <f>AI115*AM115</f>
        <v/>
      </c>
    </row>
    <row r="116">
      <c r="A116" s="12" t="inlineStr">
        <is>
          <t>TK</t>
        </is>
      </c>
      <c r="B116" s="12" t="inlineStr">
        <is>
          <t>TK - głowa bez kontrastu</t>
        </is>
      </c>
      <c r="C116" s="12" t="inlineStr">
        <is>
          <t>TK Onkologia</t>
        </is>
      </c>
      <c r="D116" s="12" t="inlineStr">
        <is>
          <t>1 okolica anatomiczna</t>
        </is>
      </c>
      <c r="E116" s="9" t="n">
        <v>0</v>
      </c>
      <c r="F116" s="12" t="n">
        <v>0</v>
      </c>
      <c r="G116" s="12" t="n">
        <v>0</v>
      </c>
      <c r="H116" s="12">
        <f>IF(F116&gt;0,IFERROR(VALUE(LEFT($D116,1)),1),0)</f>
        <v/>
      </c>
      <c r="I116" s="12">
        <f>F116*H116</f>
        <v/>
      </c>
      <c r="J116" s="9">
        <f>E116*I116</f>
        <v/>
      </c>
      <c r="K116" s="9" t="n">
        <v>0</v>
      </c>
      <c r="L116" s="12" t="n">
        <v>0</v>
      </c>
      <c r="M116" s="12" t="n">
        <v>0</v>
      </c>
      <c r="N116" s="12">
        <f>IF(L116&gt;0,IFERROR(VALUE(LEFT($D116,1)),1),0)</f>
        <v/>
      </c>
      <c r="O116" s="12">
        <f>L116*N116</f>
        <v/>
      </c>
      <c r="P116" s="9">
        <f>K116*O116</f>
        <v/>
      </c>
      <c r="Q116" s="9" t="n">
        <v>0</v>
      </c>
      <c r="R116" s="12" t="n">
        <v>0</v>
      </c>
      <c r="S116" s="12" t="n">
        <v>0</v>
      </c>
      <c r="T116" s="12">
        <f>IF(R116&gt;0,IFERROR(VALUE(LEFT($D116,1)),1),0)</f>
        <v/>
      </c>
      <c r="U116" s="12">
        <f>R116*T116</f>
        <v/>
      </c>
      <c r="V116" s="9">
        <f>Q116*U116</f>
        <v/>
      </c>
      <c r="W116" s="9" t="n">
        <v>140</v>
      </c>
      <c r="X116" s="12" t="n">
        <v>4</v>
      </c>
      <c r="Y116" s="12" t="n">
        <v>0</v>
      </c>
      <c r="Z116" s="12">
        <f>IF(X116&gt;0,IFERROR(VALUE(LEFT($D116,1)),1),0)</f>
        <v/>
      </c>
      <c r="AA116" s="12">
        <f>X116*Z116</f>
        <v/>
      </c>
      <c r="AB116" s="9">
        <f>W116*AA116</f>
        <v/>
      </c>
      <c r="AC116" s="9" t="n">
        <v>0</v>
      </c>
      <c r="AD116" s="12" t="n">
        <v>0</v>
      </c>
      <c r="AE116" s="12" t="n">
        <v>0</v>
      </c>
      <c r="AF116" s="12">
        <f>IF(AD116&gt;0,IFERROR(VALUE(LEFT($D116,1)),1),0)</f>
        <v/>
      </c>
      <c r="AG116" s="12">
        <f>AD116*AF116</f>
        <v/>
      </c>
      <c r="AH116" s="9">
        <f>AC116*AG116</f>
        <v/>
      </c>
      <c r="AI116" s="9" t="n">
        <v>0</v>
      </c>
      <c r="AJ116" s="12" t="n">
        <v>0</v>
      </c>
      <c r="AK116" s="12" t="n">
        <v>0</v>
      </c>
      <c r="AL116" s="12">
        <f>IF(AJ116&gt;0,IFERROR(VALUE(LEFT($D116,1)),1),0)</f>
        <v/>
      </c>
      <c r="AM116" s="12">
        <f>AJ116*AL116</f>
        <v/>
      </c>
      <c r="AN116" s="9">
        <f>AI116*AM116</f>
        <v/>
      </c>
    </row>
    <row r="117">
      <c r="A117" s="12" t="inlineStr">
        <is>
          <t>TK</t>
        </is>
      </c>
      <c r="B117" s="12" t="inlineStr">
        <is>
          <t>TK - klatki piersiowej i jamy brzusznej bez K</t>
        </is>
      </c>
      <c r="C117" s="12" t="inlineStr">
        <is>
          <t>TK Onkologia</t>
        </is>
      </c>
      <c r="D117" s="12" t="inlineStr">
        <is>
          <t>3 okolice anatomiczne</t>
        </is>
      </c>
      <c r="E117" s="9" t="n">
        <v>0</v>
      </c>
      <c r="F117" s="12" t="n">
        <v>0</v>
      </c>
      <c r="G117" s="12" t="n">
        <v>0</v>
      </c>
      <c r="H117" s="12">
        <f>IF(F117&gt;0,IFERROR(VALUE(LEFT($D117,1)),1),0)</f>
        <v/>
      </c>
      <c r="I117" s="12">
        <f>F117*H117</f>
        <v/>
      </c>
      <c r="J117" s="9">
        <f>E117*I117</f>
        <v/>
      </c>
      <c r="K117" s="9" t="n">
        <v>0</v>
      </c>
      <c r="L117" s="12" t="n">
        <v>0</v>
      </c>
      <c r="M117" s="12" t="n">
        <v>0</v>
      </c>
      <c r="N117" s="12">
        <f>IF(L117&gt;0,IFERROR(VALUE(LEFT($D117,1)),1),0)</f>
        <v/>
      </c>
      <c r="O117" s="12">
        <f>L117*N117</f>
        <v/>
      </c>
      <c r="P117" s="9">
        <f>K117*O117</f>
        <v/>
      </c>
      <c r="Q117" s="9" t="n">
        <v>0</v>
      </c>
      <c r="R117" s="12" t="n">
        <v>0</v>
      </c>
      <c r="S117" s="12" t="n">
        <v>0</v>
      </c>
      <c r="T117" s="12">
        <f>IF(R117&gt;0,IFERROR(VALUE(LEFT($D117,1)),1),0)</f>
        <v/>
      </c>
      <c r="U117" s="12">
        <f>R117*T117</f>
        <v/>
      </c>
      <c r="V117" s="9">
        <f>Q117*U117</f>
        <v/>
      </c>
      <c r="W117" s="9" t="n">
        <v>120</v>
      </c>
      <c r="X117" s="12" t="n">
        <v>1</v>
      </c>
      <c r="Y117" s="12" t="n">
        <v>0</v>
      </c>
      <c r="Z117" s="12">
        <f>IF(X117&gt;0,IFERROR(VALUE(LEFT($D117,1)),1),0)</f>
        <v/>
      </c>
      <c r="AA117" s="12">
        <f>X117*Z117</f>
        <v/>
      </c>
      <c r="AB117" s="9">
        <f>W117*AA117</f>
        <v/>
      </c>
      <c r="AC117" s="9" t="n">
        <v>0</v>
      </c>
      <c r="AD117" s="12" t="n">
        <v>0</v>
      </c>
      <c r="AE117" s="12" t="n">
        <v>0</v>
      </c>
      <c r="AF117" s="12">
        <f>IF(AD117&gt;0,IFERROR(VALUE(LEFT($D117,1)),1),0)</f>
        <v/>
      </c>
      <c r="AG117" s="12">
        <f>AD117*AF117</f>
        <v/>
      </c>
      <c r="AH117" s="9">
        <f>AC117*AG117</f>
        <v/>
      </c>
      <c r="AI117" s="9" t="n">
        <v>0</v>
      </c>
      <c r="AJ117" s="12" t="n">
        <v>0</v>
      </c>
      <c r="AK117" s="12" t="n">
        <v>0</v>
      </c>
      <c r="AL117" s="12">
        <f>IF(AJ117&gt;0,IFERROR(VALUE(LEFT($D117,1)),1),0)</f>
        <v/>
      </c>
      <c r="AM117" s="12">
        <f>AJ117*AL117</f>
        <v/>
      </c>
      <c r="AN117" s="9">
        <f>AI117*AM117</f>
        <v/>
      </c>
    </row>
    <row r="118">
      <c r="A118" s="12" t="inlineStr">
        <is>
          <t>TK</t>
        </is>
      </c>
      <c r="B118" s="12" t="inlineStr">
        <is>
          <t>TK - klatki piersiowej z kontrastem</t>
        </is>
      </c>
      <c r="C118" s="12" t="inlineStr">
        <is>
          <t>TK Onkologia</t>
        </is>
      </c>
      <c r="D118" s="12" t="inlineStr">
        <is>
          <t>1 okolica anatomiczna</t>
        </is>
      </c>
      <c r="E118" s="9" t="n">
        <v>0</v>
      </c>
      <c r="F118" s="12" t="n">
        <v>0</v>
      </c>
      <c r="G118" s="12" t="n">
        <v>0</v>
      </c>
      <c r="H118" s="12">
        <f>IF(F118&gt;0,IFERROR(VALUE(LEFT($D118,1)),1),0)</f>
        <v/>
      </c>
      <c r="I118" s="12">
        <f>F118*H118</f>
        <v/>
      </c>
      <c r="J118" s="9">
        <f>E118*I118</f>
        <v/>
      </c>
      <c r="K118" s="9" t="n">
        <v>0</v>
      </c>
      <c r="L118" s="12" t="n">
        <v>0</v>
      </c>
      <c r="M118" s="12" t="n">
        <v>0</v>
      </c>
      <c r="N118" s="12">
        <f>IF(L118&gt;0,IFERROR(VALUE(LEFT($D118,1)),1),0)</f>
        <v/>
      </c>
      <c r="O118" s="12">
        <f>L118*N118</f>
        <v/>
      </c>
      <c r="P118" s="9">
        <f>K118*O118</f>
        <v/>
      </c>
      <c r="Q118" s="9" t="n">
        <v>0</v>
      </c>
      <c r="R118" s="12" t="n">
        <v>0</v>
      </c>
      <c r="S118" s="12" t="n">
        <v>0</v>
      </c>
      <c r="T118" s="12">
        <f>IF(R118&gt;0,IFERROR(VALUE(LEFT($D118,1)),1),0)</f>
        <v/>
      </c>
      <c r="U118" s="12">
        <f>R118*T118</f>
        <v/>
      </c>
      <c r="V118" s="9">
        <f>Q118*U118</f>
        <v/>
      </c>
      <c r="W118" s="9" t="n">
        <v>140</v>
      </c>
      <c r="X118" s="12" t="n">
        <v>1</v>
      </c>
      <c r="Y118" s="12" t="n">
        <v>0</v>
      </c>
      <c r="Z118" s="12">
        <f>IF(X118&gt;0,IFERROR(VALUE(LEFT($D118,1)),1),0)</f>
        <v/>
      </c>
      <c r="AA118" s="12">
        <f>X118*Z118</f>
        <v/>
      </c>
      <c r="AB118" s="9">
        <f>W118*AA118</f>
        <v/>
      </c>
      <c r="AC118" s="9" t="n">
        <v>0</v>
      </c>
      <c r="AD118" s="12" t="n">
        <v>0</v>
      </c>
      <c r="AE118" s="12" t="n">
        <v>0</v>
      </c>
      <c r="AF118" s="12">
        <f>IF(AD118&gt;0,IFERROR(VALUE(LEFT($D118,1)),1),0)</f>
        <v/>
      </c>
      <c r="AG118" s="12">
        <f>AD118*AF118</f>
        <v/>
      </c>
      <c r="AH118" s="9">
        <f>AC118*AG118</f>
        <v/>
      </c>
      <c r="AI118" s="9" t="n">
        <v>0</v>
      </c>
      <c r="AJ118" s="12" t="n">
        <v>0</v>
      </c>
      <c r="AK118" s="12" t="n">
        <v>0</v>
      </c>
      <c r="AL118" s="12">
        <f>IF(AJ118&gt;0,IFERROR(VALUE(LEFT($D118,1)),1),0)</f>
        <v/>
      </c>
      <c r="AM118" s="12">
        <f>AJ118*AL118</f>
        <v/>
      </c>
      <c r="AN118" s="9">
        <f>AI118*AM118</f>
        <v/>
      </c>
    </row>
    <row r="119">
      <c r="A119" s="12" t="inlineStr">
        <is>
          <t>TK</t>
        </is>
      </c>
      <c r="B119" s="12" t="inlineStr">
        <is>
          <t>TK - trzech procedur anatomicznych</t>
        </is>
      </c>
      <c r="C119" s="12" t="inlineStr">
        <is>
          <t>TK Onkologia</t>
        </is>
      </c>
      <c r="D119" s="12" t="inlineStr">
        <is>
          <t>3 okolice anatomiczne</t>
        </is>
      </c>
      <c r="E119" s="9" t="n">
        <v>0</v>
      </c>
      <c r="F119" s="12" t="n">
        <v>0</v>
      </c>
      <c r="G119" s="12" t="n">
        <v>0</v>
      </c>
      <c r="H119" s="12">
        <f>IF(F119&gt;0,IFERROR(VALUE(LEFT($D119,1)),1),0)</f>
        <v/>
      </c>
      <c r="I119" s="12">
        <f>F119*H119</f>
        <v/>
      </c>
      <c r="J119" s="9">
        <f>E119*I119</f>
        <v/>
      </c>
      <c r="K119" s="9" t="n">
        <v>0</v>
      </c>
      <c r="L119" s="12" t="n">
        <v>0</v>
      </c>
      <c r="M119" s="12" t="n">
        <v>0</v>
      </c>
      <c r="N119" s="12">
        <f>IF(L119&gt;0,IFERROR(VALUE(LEFT($D119,1)),1),0)</f>
        <v/>
      </c>
      <c r="O119" s="12">
        <f>L119*N119</f>
        <v/>
      </c>
      <c r="P119" s="9">
        <f>K119*O119</f>
        <v/>
      </c>
      <c r="Q119" s="9" t="n">
        <v>0</v>
      </c>
      <c r="R119" s="12" t="n">
        <v>0</v>
      </c>
      <c r="S119" s="12" t="n">
        <v>0</v>
      </c>
      <c r="T119" s="12">
        <f>IF(R119&gt;0,IFERROR(VALUE(LEFT($D119,1)),1),0)</f>
        <v/>
      </c>
      <c r="U119" s="12">
        <f>R119*T119</f>
        <v/>
      </c>
      <c r="V119" s="9">
        <f>Q119*U119</f>
        <v/>
      </c>
      <c r="W119" s="9" t="n">
        <v>120</v>
      </c>
      <c r="X119" s="12" t="n">
        <v>1</v>
      </c>
      <c r="Y119" s="12" t="n">
        <v>0</v>
      </c>
      <c r="Z119" s="12">
        <f>IF(X119&gt;0,IFERROR(VALUE(LEFT($D119,1)),1),0)</f>
        <v/>
      </c>
      <c r="AA119" s="12">
        <f>X119*Z119</f>
        <v/>
      </c>
      <c r="AB119" s="9">
        <f>W119*AA119</f>
        <v/>
      </c>
      <c r="AC119" s="9" t="n">
        <v>120</v>
      </c>
      <c r="AD119" s="12" t="n">
        <v>1</v>
      </c>
      <c r="AE119" s="12" t="n">
        <v>0</v>
      </c>
      <c r="AF119" s="12">
        <f>IF(AD119&gt;0,IFERROR(VALUE(LEFT($D119,1)),1),0)</f>
        <v/>
      </c>
      <c r="AG119" s="12">
        <f>AD119*AF119</f>
        <v/>
      </c>
      <c r="AH119" s="9">
        <f>AC119*AG119</f>
        <v/>
      </c>
      <c r="AI119" s="9" t="n">
        <v>0</v>
      </c>
      <c r="AJ119" s="12" t="n">
        <v>0</v>
      </c>
      <c r="AK119" s="12" t="n">
        <v>0</v>
      </c>
      <c r="AL119" s="12">
        <f>IF(AJ119&gt;0,IFERROR(VALUE(LEFT($D119,1)),1),0)</f>
        <v/>
      </c>
      <c r="AM119" s="12">
        <f>AJ119*AL119</f>
        <v/>
      </c>
      <c r="AN119" s="9">
        <f>AI119*AM119</f>
        <v/>
      </c>
    </row>
    <row r="120">
      <c r="A120" s="12" t="inlineStr">
        <is>
          <t>TK</t>
        </is>
      </c>
      <c r="B120" s="12" t="inlineStr">
        <is>
          <t>TK HRCT</t>
        </is>
      </c>
      <c r="C120" s="12" t="inlineStr">
        <is>
          <t>TK Onkologia</t>
        </is>
      </c>
      <c r="D120" s="12" t="inlineStr">
        <is>
          <t>1 okolica anatomiczna</t>
        </is>
      </c>
      <c r="E120" s="9" t="n">
        <v>0</v>
      </c>
      <c r="F120" s="12" t="n">
        <v>0</v>
      </c>
      <c r="G120" s="12" t="n">
        <v>0</v>
      </c>
      <c r="H120" s="12">
        <f>IF(F120&gt;0,IFERROR(VALUE(LEFT($D120,1)),1),0)</f>
        <v/>
      </c>
      <c r="I120" s="12">
        <f>F120*H120</f>
        <v/>
      </c>
      <c r="J120" s="9">
        <f>E120*I120</f>
        <v/>
      </c>
      <c r="K120" s="9" t="n">
        <v>0</v>
      </c>
      <c r="L120" s="12" t="n">
        <v>0</v>
      </c>
      <c r="M120" s="12" t="n">
        <v>0</v>
      </c>
      <c r="N120" s="12">
        <f>IF(L120&gt;0,IFERROR(VALUE(LEFT($D120,1)),1),0)</f>
        <v/>
      </c>
      <c r="O120" s="12">
        <f>L120*N120</f>
        <v/>
      </c>
      <c r="P120" s="9">
        <f>K120*O120</f>
        <v/>
      </c>
      <c r="Q120" s="9" t="n">
        <v>0</v>
      </c>
      <c r="R120" s="12" t="n">
        <v>0</v>
      </c>
      <c r="S120" s="12" t="n">
        <v>0</v>
      </c>
      <c r="T120" s="12">
        <f>IF(R120&gt;0,IFERROR(VALUE(LEFT($D120,1)),1),0)</f>
        <v/>
      </c>
      <c r="U120" s="12">
        <f>R120*T120</f>
        <v/>
      </c>
      <c r="V120" s="9">
        <f>Q120*U120</f>
        <v/>
      </c>
      <c r="W120" s="9" t="n">
        <v>120</v>
      </c>
      <c r="X120" s="12" t="n">
        <v>1</v>
      </c>
      <c r="Y120" s="12" t="n">
        <v>1</v>
      </c>
      <c r="Z120" s="12">
        <f>IF(X120&gt;0,IFERROR(VALUE(LEFT($D120,1)),1),0)</f>
        <v/>
      </c>
      <c r="AA120" s="12">
        <f>X120*Z120</f>
        <v/>
      </c>
      <c r="AB120" s="9">
        <f>W120*AA120</f>
        <v/>
      </c>
      <c r="AC120" s="9" t="n">
        <v>0</v>
      </c>
      <c r="AD120" s="12" t="n">
        <v>0</v>
      </c>
      <c r="AE120" s="12" t="n">
        <v>0</v>
      </c>
      <c r="AF120" s="12">
        <f>IF(AD120&gt;0,IFERROR(VALUE(LEFT($D120,1)),1),0)</f>
        <v/>
      </c>
      <c r="AG120" s="12">
        <f>AD120*AF120</f>
        <v/>
      </c>
      <c r="AH120" s="9">
        <f>AC120*AG120</f>
        <v/>
      </c>
      <c r="AI120" s="9" t="n">
        <v>0</v>
      </c>
      <c r="AJ120" s="12" t="n">
        <v>0</v>
      </c>
      <c r="AK120" s="12" t="n">
        <v>0</v>
      </c>
      <c r="AL120" s="12">
        <f>IF(AJ120&gt;0,IFERROR(VALUE(LEFT($D120,1)),1),0)</f>
        <v/>
      </c>
      <c r="AM120" s="12">
        <f>AJ120*AL120</f>
        <v/>
      </c>
      <c r="AN120" s="9">
        <f>AI120*AM120</f>
        <v/>
      </c>
    </row>
    <row r="121">
      <c r="A121" s="12" t="inlineStr">
        <is>
          <t>TK</t>
        </is>
      </c>
      <c r="B121" s="12" t="inlineStr">
        <is>
          <t>TK głowy podstawowe</t>
        </is>
      </c>
      <c r="C121" s="12" t="inlineStr">
        <is>
          <t>TK Onkologia</t>
        </is>
      </c>
      <c r="D121" s="12" t="inlineStr">
        <is>
          <t>1 okolica anatomiczna</t>
        </is>
      </c>
      <c r="E121" s="9" t="n">
        <v>0</v>
      </c>
      <c r="F121" s="12" t="n">
        <v>0</v>
      </c>
      <c r="G121" s="12" t="n">
        <v>0</v>
      </c>
      <c r="H121" s="12">
        <f>IF(F121&gt;0,IFERROR(VALUE(LEFT($D121,1)),1),0)</f>
        <v/>
      </c>
      <c r="I121" s="12">
        <f>F121*H121</f>
        <v/>
      </c>
      <c r="J121" s="9">
        <f>E121*I121</f>
        <v/>
      </c>
      <c r="K121" s="9" t="n">
        <v>0</v>
      </c>
      <c r="L121" s="12" t="n">
        <v>0</v>
      </c>
      <c r="M121" s="12" t="n">
        <v>0</v>
      </c>
      <c r="N121" s="12">
        <f>IF(L121&gt;0,IFERROR(VALUE(LEFT($D121,1)),1),0)</f>
        <v/>
      </c>
      <c r="O121" s="12">
        <f>L121*N121</f>
        <v/>
      </c>
      <c r="P121" s="9">
        <f>K121*O121</f>
        <v/>
      </c>
      <c r="Q121" s="9" t="n">
        <v>0</v>
      </c>
      <c r="R121" s="12" t="n">
        <v>0</v>
      </c>
      <c r="S121" s="12" t="n">
        <v>0</v>
      </c>
      <c r="T121" s="12">
        <f>IF(R121&gt;0,IFERROR(VALUE(LEFT($D121,1)),1),0)</f>
        <v/>
      </c>
      <c r="U121" s="12">
        <f>R121*T121</f>
        <v/>
      </c>
      <c r="V121" s="9">
        <f>Q121*U121</f>
        <v/>
      </c>
      <c r="W121" s="9" t="n">
        <v>140</v>
      </c>
      <c r="X121" s="12" t="n">
        <v>18</v>
      </c>
      <c r="Y121" s="12" t="n">
        <v>2</v>
      </c>
      <c r="Z121" s="12">
        <f>IF(X121&gt;0,IFERROR(VALUE(LEFT($D121,1)),1),0)</f>
        <v/>
      </c>
      <c r="AA121" s="12">
        <f>X121*Z121</f>
        <v/>
      </c>
      <c r="AB121" s="9">
        <f>W121*AA121</f>
        <v/>
      </c>
      <c r="AC121" s="9" t="n">
        <v>0</v>
      </c>
      <c r="AD121" s="12" t="n">
        <v>0</v>
      </c>
      <c r="AE121" s="12" t="n">
        <v>0</v>
      </c>
      <c r="AF121" s="12">
        <f>IF(AD121&gt;0,IFERROR(VALUE(LEFT($D121,1)),1),0)</f>
        <v/>
      </c>
      <c r="AG121" s="12">
        <f>AD121*AF121</f>
        <v/>
      </c>
      <c r="AH121" s="9">
        <f>AC121*AG121</f>
        <v/>
      </c>
      <c r="AI121" s="9" t="n">
        <v>0</v>
      </c>
      <c r="AJ121" s="12" t="n">
        <v>0</v>
      </c>
      <c r="AK121" s="12" t="n">
        <v>0</v>
      </c>
      <c r="AL121" s="12">
        <f>IF(AJ121&gt;0,IFERROR(VALUE(LEFT($D121,1)),1),0)</f>
        <v/>
      </c>
      <c r="AM121" s="12">
        <f>AJ121*AL121</f>
        <v/>
      </c>
      <c r="AN121" s="9">
        <f>AI121*AM121</f>
        <v/>
      </c>
    </row>
    <row r="122">
      <c r="A122" s="12" t="inlineStr">
        <is>
          <t>TK</t>
        </is>
      </c>
      <c r="B122" s="12" t="inlineStr">
        <is>
          <t>TK głowy z kontrastem</t>
        </is>
      </c>
      <c r="C122" s="12" t="inlineStr">
        <is>
          <t>TK Onkologia</t>
        </is>
      </c>
      <c r="D122" s="12" t="inlineStr">
        <is>
          <t>1 okolica anatomiczna</t>
        </is>
      </c>
      <c r="E122" s="9" t="n">
        <v>0</v>
      </c>
      <c r="F122" s="12" t="n">
        <v>0</v>
      </c>
      <c r="G122" s="12" t="n">
        <v>0</v>
      </c>
      <c r="H122" s="12">
        <f>IF(F122&gt;0,IFERROR(VALUE(LEFT($D122,1)),1),0)</f>
        <v/>
      </c>
      <c r="I122" s="12">
        <f>F122*H122</f>
        <v/>
      </c>
      <c r="J122" s="9">
        <f>E122*I122</f>
        <v/>
      </c>
      <c r="K122" s="9" t="n">
        <v>0</v>
      </c>
      <c r="L122" s="12" t="n">
        <v>0</v>
      </c>
      <c r="M122" s="12" t="n">
        <v>0</v>
      </c>
      <c r="N122" s="12">
        <f>IF(L122&gt;0,IFERROR(VALUE(LEFT($D122,1)),1),0)</f>
        <v/>
      </c>
      <c r="O122" s="12">
        <f>L122*N122</f>
        <v/>
      </c>
      <c r="P122" s="9">
        <f>K122*O122</f>
        <v/>
      </c>
      <c r="Q122" s="9" t="n">
        <v>0</v>
      </c>
      <c r="R122" s="12" t="n">
        <v>0</v>
      </c>
      <c r="S122" s="12" t="n">
        <v>0</v>
      </c>
      <c r="T122" s="12">
        <f>IF(R122&gt;0,IFERROR(VALUE(LEFT($D122,1)),1),0)</f>
        <v/>
      </c>
      <c r="U122" s="12">
        <f>R122*T122</f>
        <v/>
      </c>
      <c r="V122" s="9">
        <f>Q122*U122</f>
        <v/>
      </c>
      <c r="W122" s="9" t="n">
        <v>140</v>
      </c>
      <c r="X122" s="12" t="n">
        <v>1</v>
      </c>
      <c r="Y122" s="12" t="n">
        <v>0</v>
      </c>
      <c r="Z122" s="12">
        <f>IF(X122&gt;0,IFERROR(VALUE(LEFT($D122,1)),1),0)</f>
        <v/>
      </c>
      <c r="AA122" s="12">
        <f>X122*Z122</f>
        <v/>
      </c>
      <c r="AB122" s="9">
        <f>W122*AA122</f>
        <v/>
      </c>
      <c r="AC122" s="9" t="n">
        <v>140</v>
      </c>
      <c r="AD122" s="12" t="n">
        <v>1</v>
      </c>
      <c r="AE122" s="12" t="n">
        <v>0</v>
      </c>
      <c r="AF122" s="12">
        <f>IF(AD122&gt;0,IFERROR(VALUE(LEFT($D122,1)),1),0)</f>
        <v/>
      </c>
      <c r="AG122" s="12">
        <f>AD122*AF122</f>
        <v/>
      </c>
      <c r="AH122" s="9">
        <f>AC122*AG122</f>
        <v/>
      </c>
      <c r="AI122" s="9" t="n">
        <v>0</v>
      </c>
      <c r="AJ122" s="12" t="n">
        <v>0</v>
      </c>
      <c r="AK122" s="12" t="n">
        <v>0</v>
      </c>
      <c r="AL122" s="12">
        <f>IF(AJ122&gt;0,IFERROR(VALUE(LEFT($D122,1)),1),0)</f>
        <v/>
      </c>
      <c r="AM122" s="12">
        <f>AJ122*AL122</f>
        <v/>
      </c>
      <c r="AN122" s="9">
        <f>AI122*AM122</f>
        <v/>
      </c>
    </row>
    <row r="123">
      <c r="A123" s="12" t="inlineStr">
        <is>
          <t>TK</t>
        </is>
      </c>
      <c r="B123" s="12" t="inlineStr">
        <is>
          <t>TK j.brzusznej i miednicy</t>
        </is>
      </c>
      <c r="C123" s="12" t="inlineStr">
        <is>
          <t>TK Onkologia</t>
        </is>
      </c>
      <c r="D123" s="12" t="inlineStr">
        <is>
          <t>2 okolice anatomiczne</t>
        </is>
      </c>
      <c r="E123" s="9" t="n">
        <v>0</v>
      </c>
      <c r="F123" s="12" t="n">
        <v>0</v>
      </c>
      <c r="G123" s="12" t="n">
        <v>0</v>
      </c>
      <c r="H123" s="12">
        <f>IF(F123&gt;0,IFERROR(VALUE(LEFT($D123,1)),1),0)</f>
        <v/>
      </c>
      <c r="I123" s="12">
        <f>F123*H123</f>
        <v/>
      </c>
      <c r="J123" s="9">
        <f>E123*I123</f>
        <v/>
      </c>
      <c r="K123" s="9" t="n">
        <v>0</v>
      </c>
      <c r="L123" s="12" t="n">
        <v>0</v>
      </c>
      <c r="M123" s="12" t="n">
        <v>0</v>
      </c>
      <c r="N123" s="12">
        <f>IF(L123&gt;0,IFERROR(VALUE(LEFT($D123,1)),1),0)</f>
        <v/>
      </c>
      <c r="O123" s="12">
        <f>L123*N123</f>
        <v/>
      </c>
      <c r="P123" s="9">
        <f>K123*O123</f>
        <v/>
      </c>
      <c r="Q123" s="9" t="n">
        <v>0</v>
      </c>
      <c r="R123" s="12" t="n">
        <v>0</v>
      </c>
      <c r="S123" s="12" t="n">
        <v>0</v>
      </c>
      <c r="T123" s="12">
        <f>IF(R123&gt;0,IFERROR(VALUE(LEFT($D123,1)),1),0)</f>
        <v/>
      </c>
      <c r="U123" s="12">
        <f>R123*T123</f>
        <v/>
      </c>
      <c r="V123" s="9">
        <f>Q123*U123</f>
        <v/>
      </c>
      <c r="W123" s="9" t="n">
        <v>120</v>
      </c>
      <c r="X123" s="12" t="n">
        <v>1</v>
      </c>
      <c r="Y123" s="12" t="n">
        <v>0</v>
      </c>
      <c r="Z123" s="12">
        <f>IF(X123&gt;0,IFERROR(VALUE(LEFT($D123,1)),1),0)</f>
        <v/>
      </c>
      <c r="AA123" s="12">
        <f>X123*Z123</f>
        <v/>
      </c>
      <c r="AB123" s="9">
        <f>W123*AA123</f>
        <v/>
      </c>
      <c r="AC123" s="9" t="n">
        <v>0</v>
      </c>
      <c r="AD123" s="12" t="n">
        <v>0</v>
      </c>
      <c r="AE123" s="12" t="n">
        <v>0</v>
      </c>
      <c r="AF123" s="12">
        <f>IF(AD123&gt;0,IFERROR(VALUE(LEFT($D123,1)),1),0)</f>
        <v/>
      </c>
      <c r="AG123" s="12">
        <f>AD123*AF123</f>
        <v/>
      </c>
      <c r="AH123" s="9">
        <f>AC123*AG123</f>
        <v/>
      </c>
      <c r="AI123" s="9" t="n">
        <v>0</v>
      </c>
      <c r="AJ123" s="12" t="n">
        <v>0</v>
      </c>
      <c r="AK123" s="12" t="n">
        <v>0</v>
      </c>
      <c r="AL123" s="12">
        <f>IF(AJ123&gt;0,IFERROR(VALUE(LEFT($D123,1)),1),0)</f>
        <v/>
      </c>
      <c r="AM123" s="12">
        <f>AJ123*AL123</f>
        <v/>
      </c>
      <c r="AN123" s="9">
        <f>AI123*AM123</f>
        <v/>
      </c>
    </row>
    <row r="124">
      <c r="A124" s="12" t="inlineStr">
        <is>
          <t>TK</t>
        </is>
      </c>
      <c r="B124" s="12" t="inlineStr">
        <is>
          <t>TK jamy brzusznej bez kontrastu</t>
        </is>
      </c>
      <c r="C124" s="12" t="inlineStr">
        <is>
          <t>TK Onkologia</t>
        </is>
      </c>
      <c r="D124" s="12" t="inlineStr">
        <is>
          <t>2 okolice anatomiczne</t>
        </is>
      </c>
      <c r="E124" s="9" t="n">
        <v>0</v>
      </c>
      <c r="F124" s="12" t="n">
        <v>0</v>
      </c>
      <c r="G124" s="12" t="n">
        <v>0</v>
      </c>
      <c r="H124" s="12">
        <f>IF(F124&gt;0,IFERROR(VALUE(LEFT($D124,1)),1),0)</f>
        <v/>
      </c>
      <c r="I124" s="12">
        <f>F124*H124</f>
        <v/>
      </c>
      <c r="J124" s="9">
        <f>E124*I124</f>
        <v/>
      </c>
      <c r="K124" s="9" t="n">
        <v>0</v>
      </c>
      <c r="L124" s="12" t="n">
        <v>0</v>
      </c>
      <c r="M124" s="12" t="n">
        <v>0</v>
      </c>
      <c r="N124" s="12">
        <f>IF(L124&gt;0,IFERROR(VALUE(LEFT($D124,1)),1),0)</f>
        <v/>
      </c>
      <c r="O124" s="12">
        <f>L124*N124</f>
        <v/>
      </c>
      <c r="P124" s="9">
        <f>K124*O124</f>
        <v/>
      </c>
      <c r="Q124" s="9" t="n">
        <v>0</v>
      </c>
      <c r="R124" s="12" t="n">
        <v>0</v>
      </c>
      <c r="S124" s="12" t="n">
        <v>0</v>
      </c>
      <c r="T124" s="12">
        <f>IF(R124&gt;0,IFERROR(VALUE(LEFT($D124,1)),1),0)</f>
        <v/>
      </c>
      <c r="U124" s="12">
        <f>R124*T124</f>
        <v/>
      </c>
      <c r="V124" s="9">
        <f>Q124*U124</f>
        <v/>
      </c>
      <c r="W124" s="9" t="n">
        <v>140</v>
      </c>
      <c r="X124" s="12" t="n">
        <v>2</v>
      </c>
      <c r="Y124" s="12" t="n">
        <v>0</v>
      </c>
      <c r="Z124" s="12">
        <f>IF(X124&gt;0,IFERROR(VALUE(LEFT($D124,1)),1),0)</f>
        <v/>
      </c>
      <c r="AA124" s="12">
        <f>X124*Z124</f>
        <v/>
      </c>
      <c r="AB124" s="9">
        <f>W124*AA124</f>
        <v/>
      </c>
      <c r="AC124" s="9" t="n">
        <v>0</v>
      </c>
      <c r="AD124" s="12" t="n">
        <v>0</v>
      </c>
      <c r="AE124" s="12" t="n">
        <v>0</v>
      </c>
      <c r="AF124" s="12">
        <f>IF(AD124&gt;0,IFERROR(VALUE(LEFT($D124,1)),1),0)</f>
        <v/>
      </c>
      <c r="AG124" s="12">
        <f>AD124*AF124</f>
        <v/>
      </c>
      <c r="AH124" s="9">
        <f>AC124*AG124</f>
        <v/>
      </c>
      <c r="AI124" s="9" t="n">
        <v>0</v>
      </c>
      <c r="AJ124" s="12" t="n">
        <v>0</v>
      </c>
      <c r="AK124" s="12" t="n">
        <v>0</v>
      </c>
      <c r="AL124" s="12">
        <f>IF(AJ124&gt;0,IFERROR(VALUE(LEFT($D124,1)),1),0)</f>
        <v/>
      </c>
      <c r="AM124" s="12">
        <f>AJ124*AL124</f>
        <v/>
      </c>
      <c r="AN124" s="9">
        <f>AI124*AM124</f>
        <v/>
      </c>
    </row>
    <row r="125">
      <c r="A125" s="12" t="inlineStr">
        <is>
          <t>TK</t>
        </is>
      </c>
      <c r="B125" s="12" t="inlineStr">
        <is>
          <t>TK jamy brzusznej lub miednicy małej bez wzmocnienia kontrastowego</t>
        </is>
      </c>
      <c r="C125" s="12" t="inlineStr">
        <is>
          <t>TK Onkologia</t>
        </is>
      </c>
      <c r="D125" s="12" t="inlineStr">
        <is>
          <t>2 okolice anatomiczne</t>
        </is>
      </c>
      <c r="E125" s="9" t="n">
        <v>0</v>
      </c>
      <c r="F125" s="12" t="n">
        <v>0</v>
      </c>
      <c r="G125" s="12" t="n">
        <v>0</v>
      </c>
      <c r="H125" s="12">
        <f>IF(F125&gt;0,IFERROR(VALUE(LEFT($D125,1)),1),0)</f>
        <v/>
      </c>
      <c r="I125" s="12">
        <f>F125*H125</f>
        <v/>
      </c>
      <c r="J125" s="9">
        <f>E125*I125</f>
        <v/>
      </c>
      <c r="K125" s="9" t="n">
        <v>0</v>
      </c>
      <c r="L125" s="12" t="n">
        <v>0</v>
      </c>
      <c r="M125" s="12" t="n">
        <v>0</v>
      </c>
      <c r="N125" s="12">
        <f>IF(L125&gt;0,IFERROR(VALUE(LEFT($D125,1)),1),0)</f>
        <v/>
      </c>
      <c r="O125" s="12">
        <f>L125*N125</f>
        <v/>
      </c>
      <c r="P125" s="9">
        <f>K125*O125</f>
        <v/>
      </c>
      <c r="Q125" s="9" t="n">
        <v>0</v>
      </c>
      <c r="R125" s="12" t="n">
        <v>0</v>
      </c>
      <c r="S125" s="12" t="n">
        <v>0</v>
      </c>
      <c r="T125" s="12">
        <f>IF(R125&gt;0,IFERROR(VALUE(LEFT($D125,1)),1),0)</f>
        <v/>
      </c>
      <c r="U125" s="12">
        <f>R125*T125</f>
        <v/>
      </c>
      <c r="V125" s="9">
        <f>Q125*U125</f>
        <v/>
      </c>
      <c r="W125" s="9" t="n">
        <v>120</v>
      </c>
      <c r="X125" s="12" t="n">
        <v>1</v>
      </c>
      <c r="Y125" s="12" t="n">
        <v>0</v>
      </c>
      <c r="Z125" s="12">
        <f>IF(X125&gt;0,IFERROR(VALUE(LEFT($D125,1)),1),0)</f>
        <v/>
      </c>
      <c r="AA125" s="12">
        <f>X125*Z125</f>
        <v/>
      </c>
      <c r="AB125" s="9">
        <f>W125*AA125</f>
        <v/>
      </c>
      <c r="AC125" s="9" t="n">
        <v>0</v>
      </c>
      <c r="AD125" s="12" t="n">
        <v>0</v>
      </c>
      <c r="AE125" s="12" t="n">
        <v>0</v>
      </c>
      <c r="AF125" s="12">
        <f>IF(AD125&gt;0,IFERROR(VALUE(LEFT($D125,1)),1),0)</f>
        <v/>
      </c>
      <c r="AG125" s="12">
        <f>AD125*AF125</f>
        <v/>
      </c>
      <c r="AH125" s="9">
        <f>AC125*AG125</f>
        <v/>
      </c>
      <c r="AI125" s="9" t="n">
        <v>0</v>
      </c>
      <c r="AJ125" s="12" t="n">
        <v>0</v>
      </c>
      <c r="AK125" s="12" t="n">
        <v>0</v>
      </c>
      <c r="AL125" s="12">
        <f>IF(AJ125&gt;0,IFERROR(VALUE(LEFT($D125,1)),1),0)</f>
        <v/>
      </c>
      <c r="AM125" s="12">
        <f>AJ125*AL125</f>
        <v/>
      </c>
      <c r="AN125" s="9">
        <f>AI125*AM125</f>
        <v/>
      </c>
    </row>
    <row r="126">
      <c r="A126" s="12" t="inlineStr">
        <is>
          <t>TK</t>
        </is>
      </c>
      <c r="B126" s="12" t="inlineStr">
        <is>
          <t>TK klatki piersiowej</t>
        </is>
      </c>
      <c r="C126" s="12" t="inlineStr">
        <is>
          <t>TK Onkologia</t>
        </is>
      </c>
      <c r="D126" s="12" t="inlineStr">
        <is>
          <t>1 okolica anatomiczna</t>
        </is>
      </c>
      <c r="E126" s="9" t="n">
        <v>0</v>
      </c>
      <c r="F126" s="12" t="n">
        <v>0</v>
      </c>
      <c r="G126" s="12" t="n">
        <v>0</v>
      </c>
      <c r="H126" s="12">
        <f>IF(F126&gt;0,IFERROR(VALUE(LEFT($D126,1)),1),0)</f>
        <v/>
      </c>
      <c r="I126" s="12">
        <f>F126*H126</f>
        <v/>
      </c>
      <c r="J126" s="9">
        <f>E126*I126</f>
        <v/>
      </c>
      <c r="K126" s="9" t="n">
        <v>0</v>
      </c>
      <c r="L126" s="12" t="n">
        <v>0</v>
      </c>
      <c r="M126" s="12" t="n">
        <v>0</v>
      </c>
      <c r="N126" s="12">
        <f>IF(L126&gt;0,IFERROR(VALUE(LEFT($D126,1)),1),0)</f>
        <v/>
      </c>
      <c r="O126" s="12">
        <f>L126*N126</f>
        <v/>
      </c>
      <c r="P126" s="9">
        <f>K126*O126</f>
        <v/>
      </c>
      <c r="Q126" s="9" t="n">
        <v>0</v>
      </c>
      <c r="R126" s="12" t="n">
        <v>0</v>
      </c>
      <c r="S126" s="12" t="n">
        <v>0</v>
      </c>
      <c r="T126" s="12">
        <f>IF(R126&gt;0,IFERROR(VALUE(LEFT($D126,1)),1),0)</f>
        <v/>
      </c>
      <c r="U126" s="12">
        <f>R126*T126</f>
        <v/>
      </c>
      <c r="V126" s="9">
        <f>Q126*U126</f>
        <v/>
      </c>
      <c r="W126" s="9" t="n">
        <v>120</v>
      </c>
      <c r="X126" s="12" t="n">
        <v>1</v>
      </c>
      <c r="Y126" s="12" t="n">
        <v>0</v>
      </c>
      <c r="Z126" s="12">
        <f>IF(X126&gt;0,IFERROR(VALUE(LEFT($D126,1)),1),0)</f>
        <v/>
      </c>
      <c r="AA126" s="12">
        <f>X126*Z126</f>
        <v/>
      </c>
      <c r="AB126" s="9">
        <f>W126*AA126</f>
        <v/>
      </c>
      <c r="AC126" s="9" t="n">
        <v>120</v>
      </c>
      <c r="AD126" s="12" t="n">
        <v>1</v>
      </c>
      <c r="AE126" s="12" t="n">
        <v>0</v>
      </c>
      <c r="AF126" s="12">
        <f>IF(AD126&gt;0,IFERROR(VALUE(LEFT($D126,1)),1),0)</f>
        <v/>
      </c>
      <c r="AG126" s="12">
        <f>AD126*AF126</f>
        <v/>
      </c>
      <c r="AH126" s="9">
        <f>AC126*AG126</f>
        <v/>
      </c>
      <c r="AI126" s="9" t="n">
        <v>0</v>
      </c>
      <c r="AJ126" s="12" t="n">
        <v>0</v>
      </c>
      <c r="AK126" s="12" t="n">
        <v>0</v>
      </c>
      <c r="AL126" s="12">
        <f>IF(AJ126&gt;0,IFERROR(VALUE(LEFT($D126,1)),1),0)</f>
        <v/>
      </c>
      <c r="AM126" s="12">
        <f>AJ126*AL126</f>
        <v/>
      </c>
      <c r="AN126" s="9">
        <f>AI126*AM126</f>
        <v/>
      </c>
    </row>
    <row r="127">
      <c r="A127" s="12" t="inlineStr">
        <is>
          <t>TK</t>
        </is>
      </c>
      <c r="B127" s="12" t="inlineStr">
        <is>
          <t>TK klatki piersiowej bez i ze wzmocnieniem kontrastowym</t>
        </is>
      </c>
      <c r="C127" s="12" t="inlineStr">
        <is>
          <t>TK Onkologia</t>
        </is>
      </c>
      <c r="D127" s="12" t="inlineStr">
        <is>
          <t>1 okolica anatomiczna</t>
        </is>
      </c>
      <c r="E127" s="9" t="n">
        <v>0</v>
      </c>
      <c r="F127" s="12" t="n">
        <v>0</v>
      </c>
      <c r="G127" s="12" t="n">
        <v>0</v>
      </c>
      <c r="H127" s="12">
        <f>IF(F127&gt;0,IFERROR(VALUE(LEFT($D127,1)),1),0)</f>
        <v/>
      </c>
      <c r="I127" s="12">
        <f>F127*H127</f>
        <v/>
      </c>
      <c r="J127" s="9">
        <f>E127*I127</f>
        <v/>
      </c>
      <c r="K127" s="9" t="n">
        <v>0</v>
      </c>
      <c r="L127" s="12" t="n">
        <v>0</v>
      </c>
      <c r="M127" s="12" t="n">
        <v>0</v>
      </c>
      <c r="N127" s="12">
        <f>IF(L127&gt;0,IFERROR(VALUE(LEFT($D127,1)),1),0)</f>
        <v/>
      </c>
      <c r="O127" s="12">
        <f>L127*N127</f>
        <v/>
      </c>
      <c r="P127" s="9">
        <f>K127*O127</f>
        <v/>
      </c>
      <c r="Q127" s="9" t="n">
        <v>0</v>
      </c>
      <c r="R127" s="12" t="n">
        <v>0</v>
      </c>
      <c r="S127" s="12" t="n">
        <v>0</v>
      </c>
      <c r="T127" s="12">
        <f>IF(R127&gt;0,IFERROR(VALUE(LEFT($D127,1)),1),0)</f>
        <v/>
      </c>
      <c r="U127" s="12">
        <f>R127*T127</f>
        <v/>
      </c>
      <c r="V127" s="9">
        <f>Q127*U127</f>
        <v/>
      </c>
      <c r="W127" s="9" t="n">
        <v>140</v>
      </c>
      <c r="X127" s="12" t="n">
        <v>1</v>
      </c>
      <c r="Y127" s="12" t="n">
        <v>0</v>
      </c>
      <c r="Z127" s="12">
        <f>IF(X127&gt;0,IFERROR(VALUE(LEFT($D127,1)),1),0)</f>
        <v/>
      </c>
      <c r="AA127" s="12">
        <f>X127*Z127</f>
        <v/>
      </c>
      <c r="AB127" s="9">
        <f>W127*AA127</f>
        <v/>
      </c>
      <c r="AC127" s="9" t="n">
        <v>140</v>
      </c>
      <c r="AD127" s="12" t="n">
        <v>2</v>
      </c>
      <c r="AE127" s="12" t="n">
        <v>0</v>
      </c>
      <c r="AF127" s="12">
        <f>IF(AD127&gt;0,IFERROR(VALUE(LEFT($D127,1)),1),0)</f>
        <v/>
      </c>
      <c r="AG127" s="12">
        <f>AD127*AF127</f>
        <v/>
      </c>
      <c r="AH127" s="9">
        <f>AC127*AG127</f>
        <v/>
      </c>
      <c r="AI127" s="9" t="n">
        <v>0</v>
      </c>
      <c r="AJ127" s="12" t="n">
        <v>0</v>
      </c>
      <c r="AK127" s="12" t="n">
        <v>0</v>
      </c>
      <c r="AL127" s="12">
        <f>IF(AJ127&gt;0,IFERROR(VALUE(LEFT($D127,1)),1),0)</f>
        <v/>
      </c>
      <c r="AM127" s="12">
        <f>AJ127*AL127</f>
        <v/>
      </c>
      <c r="AN127" s="9">
        <f>AI127*AM127</f>
        <v/>
      </c>
    </row>
    <row r="128">
      <c r="A128" s="12" t="inlineStr">
        <is>
          <t>TK</t>
        </is>
      </c>
      <c r="B128" s="12" t="inlineStr">
        <is>
          <t>TK klatki piersiowej, j.brzusznej i miednicy z kontrastem</t>
        </is>
      </c>
      <c r="C128" s="12" t="inlineStr">
        <is>
          <t>TK Onkologia</t>
        </is>
      </c>
      <c r="D128" s="12" t="inlineStr">
        <is>
          <t>3 okolice anatomiczne</t>
        </is>
      </c>
      <c r="E128" s="9" t="n">
        <v>0</v>
      </c>
      <c r="F128" s="12" t="n">
        <v>0</v>
      </c>
      <c r="G128" s="12" t="n">
        <v>0</v>
      </c>
      <c r="H128" s="12">
        <f>IF(F128&gt;0,IFERROR(VALUE(LEFT($D128,1)),1),0)</f>
        <v/>
      </c>
      <c r="I128" s="12">
        <f>F128*H128</f>
        <v/>
      </c>
      <c r="J128" s="9">
        <f>E128*I128</f>
        <v/>
      </c>
      <c r="K128" s="9" t="n">
        <v>0</v>
      </c>
      <c r="L128" s="12" t="n">
        <v>0</v>
      </c>
      <c r="M128" s="12" t="n">
        <v>0</v>
      </c>
      <c r="N128" s="12">
        <f>IF(L128&gt;0,IFERROR(VALUE(LEFT($D128,1)),1),0)</f>
        <v/>
      </c>
      <c r="O128" s="12">
        <f>L128*N128</f>
        <v/>
      </c>
      <c r="P128" s="9">
        <f>K128*O128</f>
        <v/>
      </c>
      <c r="Q128" s="9" t="n">
        <v>0</v>
      </c>
      <c r="R128" s="12" t="n">
        <v>0</v>
      </c>
      <c r="S128" s="12" t="n">
        <v>0</v>
      </c>
      <c r="T128" s="12">
        <f>IF(R128&gt;0,IFERROR(VALUE(LEFT($D128,1)),1),0)</f>
        <v/>
      </c>
      <c r="U128" s="12">
        <f>R128*T128</f>
        <v/>
      </c>
      <c r="V128" s="9">
        <f>Q128*U128</f>
        <v/>
      </c>
      <c r="W128" s="9" t="n">
        <v>120</v>
      </c>
      <c r="X128" s="12" t="n">
        <v>1</v>
      </c>
      <c r="Y128" s="12" t="n">
        <v>3</v>
      </c>
      <c r="Z128" s="12">
        <f>IF(X128&gt;0,IFERROR(VALUE(LEFT($D128,1)),1),0)</f>
        <v/>
      </c>
      <c r="AA128" s="12">
        <f>X128*Z128</f>
        <v/>
      </c>
      <c r="AB128" s="9">
        <f>W128*AA128</f>
        <v/>
      </c>
      <c r="AC128" s="9" t="n">
        <v>120</v>
      </c>
      <c r="AD128" s="12" t="n">
        <v>2</v>
      </c>
      <c r="AE128" s="12" t="n">
        <v>3</v>
      </c>
      <c r="AF128" s="12">
        <f>IF(AD128&gt;0,IFERROR(VALUE(LEFT($D128,1)),1),0)</f>
        <v/>
      </c>
      <c r="AG128" s="12">
        <f>AD128*AF128</f>
        <v/>
      </c>
      <c r="AH128" s="9">
        <f>AC128*AG128</f>
        <v/>
      </c>
      <c r="AI128" s="9" t="n">
        <v>110</v>
      </c>
      <c r="AJ128" s="12" t="n">
        <v>1</v>
      </c>
      <c r="AK128" s="12" t="n">
        <v>0</v>
      </c>
      <c r="AL128" s="12">
        <f>IF(AJ128&gt;0,IFERROR(VALUE(LEFT($D128,1)),1),0)</f>
        <v/>
      </c>
      <c r="AM128" s="12">
        <f>AJ128*AL128</f>
        <v/>
      </c>
      <c r="AN128" s="9">
        <f>AI128*AM128</f>
        <v/>
      </c>
    </row>
    <row r="129">
      <c r="A129" s="12" t="inlineStr">
        <is>
          <t>TK</t>
        </is>
      </c>
      <c r="B129" s="12" t="inlineStr">
        <is>
          <t>TK szyi</t>
        </is>
      </c>
      <c r="C129" s="12" t="inlineStr">
        <is>
          <t>TK Onkologia</t>
        </is>
      </c>
      <c r="D129" s="12" t="inlineStr">
        <is>
          <t>1 okolica anatomiczna</t>
        </is>
      </c>
      <c r="E129" s="9" t="n">
        <v>0</v>
      </c>
      <c r="F129" s="12" t="n">
        <v>0</v>
      </c>
      <c r="G129" s="12" t="n">
        <v>0</v>
      </c>
      <c r="H129" s="12">
        <f>IF(F129&gt;0,IFERROR(VALUE(LEFT($D129,1)),1),0)</f>
        <v/>
      </c>
      <c r="I129" s="12">
        <f>F129*H129</f>
        <v/>
      </c>
      <c r="J129" s="9">
        <f>E129*I129</f>
        <v/>
      </c>
      <c r="K129" s="9" t="n">
        <v>0</v>
      </c>
      <c r="L129" s="12" t="n">
        <v>0</v>
      </c>
      <c r="M129" s="12" t="n">
        <v>0</v>
      </c>
      <c r="N129" s="12">
        <f>IF(L129&gt;0,IFERROR(VALUE(LEFT($D129,1)),1),0)</f>
        <v/>
      </c>
      <c r="O129" s="12">
        <f>L129*N129</f>
        <v/>
      </c>
      <c r="P129" s="9">
        <f>K129*O129</f>
        <v/>
      </c>
      <c r="Q129" s="9" t="n">
        <v>0</v>
      </c>
      <c r="R129" s="12" t="n">
        <v>0</v>
      </c>
      <c r="S129" s="12" t="n">
        <v>0</v>
      </c>
      <c r="T129" s="12">
        <f>IF(R129&gt;0,IFERROR(VALUE(LEFT($D129,1)),1),0)</f>
        <v/>
      </c>
      <c r="U129" s="12">
        <f>R129*T129</f>
        <v/>
      </c>
      <c r="V129" s="9">
        <f>Q129*U129</f>
        <v/>
      </c>
      <c r="W129" s="9" t="n">
        <v>140</v>
      </c>
      <c r="X129" s="12" t="n">
        <v>1</v>
      </c>
      <c r="Y129" s="12" t="n">
        <v>0</v>
      </c>
      <c r="Z129" s="12">
        <f>IF(X129&gt;0,IFERROR(VALUE(LEFT($D129,1)),1),0)</f>
        <v/>
      </c>
      <c r="AA129" s="12">
        <f>X129*Z129</f>
        <v/>
      </c>
      <c r="AB129" s="9">
        <f>W129*AA129</f>
        <v/>
      </c>
      <c r="AC129" s="9" t="n">
        <v>0</v>
      </c>
      <c r="AD129" s="12" t="n">
        <v>0</v>
      </c>
      <c r="AE129" s="12" t="n">
        <v>0</v>
      </c>
      <c r="AF129" s="12">
        <f>IF(AD129&gt;0,IFERROR(VALUE(LEFT($D129,1)),1),0)</f>
        <v/>
      </c>
      <c r="AG129" s="12">
        <f>AD129*AF129</f>
        <v/>
      </c>
      <c r="AH129" s="9">
        <f>AC129*AG129</f>
        <v/>
      </c>
      <c r="AI129" s="9" t="n">
        <v>0</v>
      </c>
      <c r="AJ129" s="12" t="n">
        <v>0</v>
      </c>
      <c r="AK129" s="12" t="n">
        <v>0</v>
      </c>
      <c r="AL129" s="12">
        <f>IF(AJ129&gt;0,IFERROR(VALUE(LEFT($D129,1)),1),0)</f>
        <v/>
      </c>
      <c r="AM129" s="12">
        <f>AJ129*AL129</f>
        <v/>
      </c>
      <c r="AN129" s="9">
        <f>AI129*AM129</f>
        <v/>
      </c>
    </row>
    <row r="130">
      <c r="A130" s="12" t="inlineStr">
        <is>
          <t>TK</t>
        </is>
      </c>
      <c r="B130" s="12" t="inlineStr">
        <is>
          <t>TK szyi bez i z kontrastem</t>
        </is>
      </c>
      <c r="C130" s="12" t="inlineStr">
        <is>
          <t>TK Onkologia</t>
        </is>
      </c>
      <c r="D130" s="12" t="inlineStr">
        <is>
          <t>1 okolica anatomiczna</t>
        </is>
      </c>
      <c r="E130" s="9" t="n">
        <v>0</v>
      </c>
      <c r="F130" s="12" t="n">
        <v>0</v>
      </c>
      <c r="G130" s="12" t="n">
        <v>0</v>
      </c>
      <c r="H130" s="12">
        <f>IF(F130&gt;0,IFERROR(VALUE(LEFT($D130,1)),1),0)</f>
        <v/>
      </c>
      <c r="I130" s="12">
        <f>F130*H130</f>
        <v/>
      </c>
      <c r="J130" s="9">
        <f>E130*I130</f>
        <v/>
      </c>
      <c r="K130" s="9" t="n">
        <v>0</v>
      </c>
      <c r="L130" s="12" t="n">
        <v>0</v>
      </c>
      <c r="M130" s="12" t="n">
        <v>0</v>
      </c>
      <c r="N130" s="12">
        <f>IF(L130&gt;0,IFERROR(VALUE(LEFT($D130,1)),1),0)</f>
        <v/>
      </c>
      <c r="O130" s="12">
        <f>L130*N130</f>
        <v/>
      </c>
      <c r="P130" s="9">
        <f>K130*O130</f>
        <v/>
      </c>
      <c r="Q130" s="9" t="n">
        <v>0</v>
      </c>
      <c r="R130" s="12" t="n">
        <v>0</v>
      </c>
      <c r="S130" s="12" t="n">
        <v>0</v>
      </c>
      <c r="T130" s="12">
        <f>IF(R130&gt;0,IFERROR(VALUE(LEFT($D130,1)),1),0)</f>
        <v/>
      </c>
      <c r="U130" s="12">
        <f>R130*T130</f>
        <v/>
      </c>
      <c r="V130" s="9">
        <f>Q130*U130</f>
        <v/>
      </c>
      <c r="W130" s="9" t="n">
        <v>140</v>
      </c>
      <c r="X130" s="12" t="n">
        <v>1</v>
      </c>
      <c r="Y130" s="12" t="n">
        <v>0</v>
      </c>
      <c r="Z130" s="12">
        <f>IF(X130&gt;0,IFERROR(VALUE(LEFT($D130,1)),1),0)</f>
        <v/>
      </c>
      <c r="AA130" s="12">
        <f>X130*Z130</f>
        <v/>
      </c>
      <c r="AB130" s="9">
        <f>W130*AA130</f>
        <v/>
      </c>
      <c r="AC130" s="9" t="n">
        <v>0</v>
      </c>
      <c r="AD130" s="12" t="n">
        <v>0</v>
      </c>
      <c r="AE130" s="12" t="n">
        <v>0</v>
      </c>
      <c r="AF130" s="12">
        <f>IF(AD130&gt;0,IFERROR(VALUE(LEFT($D130,1)),1),0)</f>
        <v/>
      </c>
      <c r="AG130" s="12">
        <f>AD130*AF130</f>
        <v/>
      </c>
      <c r="AH130" s="9">
        <f>AC130*AG130</f>
        <v/>
      </c>
      <c r="AI130" s="9" t="n">
        <v>0</v>
      </c>
      <c r="AJ130" s="12" t="n">
        <v>0</v>
      </c>
      <c r="AK130" s="12" t="n">
        <v>0</v>
      </c>
      <c r="AL130" s="12">
        <f>IF(AJ130&gt;0,IFERROR(VALUE(LEFT($D130,1)),1),0)</f>
        <v/>
      </c>
      <c r="AM130" s="12">
        <f>AJ130*AL130</f>
        <v/>
      </c>
      <c r="AN130" s="9">
        <f>AI130*AM130</f>
        <v/>
      </c>
    </row>
    <row r="131">
      <c r="A131" s="12" t="inlineStr">
        <is>
          <t>TK</t>
        </is>
      </c>
      <c r="B131" s="12" t="inlineStr">
        <is>
          <t>TK szyi z kontrastem</t>
        </is>
      </c>
      <c r="C131" s="12" t="inlineStr">
        <is>
          <t>TK Onkologia</t>
        </is>
      </c>
      <c r="D131" s="12" t="inlineStr">
        <is>
          <t>1 okolica anatomiczna</t>
        </is>
      </c>
      <c r="E131" s="9" t="n">
        <v>0</v>
      </c>
      <c r="F131" s="12" t="n">
        <v>0</v>
      </c>
      <c r="G131" s="12" t="n">
        <v>0</v>
      </c>
      <c r="H131" s="12">
        <f>IF(F131&gt;0,IFERROR(VALUE(LEFT($D131,1)),1),0)</f>
        <v/>
      </c>
      <c r="I131" s="12">
        <f>F131*H131</f>
        <v/>
      </c>
      <c r="J131" s="9">
        <f>E131*I131</f>
        <v/>
      </c>
      <c r="K131" s="9" t="n">
        <v>0</v>
      </c>
      <c r="L131" s="12" t="n">
        <v>0</v>
      </c>
      <c r="M131" s="12" t="n">
        <v>0</v>
      </c>
      <c r="N131" s="12">
        <f>IF(L131&gt;0,IFERROR(VALUE(LEFT($D131,1)),1),0)</f>
        <v/>
      </c>
      <c r="O131" s="12">
        <f>L131*N131</f>
        <v/>
      </c>
      <c r="P131" s="9">
        <f>K131*O131</f>
        <v/>
      </c>
      <c r="Q131" s="9" t="n">
        <v>0</v>
      </c>
      <c r="R131" s="12" t="n">
        <v>0</v>
      </c>
      <c r="S131" s="12" t="n">
        <v>0</v>
      </c>
      <c r="T131" s="12">
        <f>IF(R131&gt;0,IFERROR(VALUE(LEFT($D131,1)),1),0)</f>
        <v/>
      </c>
      <c r="U131" s="12">
        <f>R131*T131</f>
        <v/>
      </c>
      <c r="V131" s="9">
        <f>Q131*U131</f>
        <v/>
      </c>
      <c r="W131" s="9" t="n">
        <v>120</v>
      </c>
      <c r="X131" s="12" t="n">
        <v>1</v>
      </c>
      <c r="Y131" s="12" t="n">
        <v>1</v>
      </c>
      <c r="Z131" s="12">
        <f>IF(X131&gt;0,IFERROR(VALUE(LEFT($D131,1)),1),0)</f>
        <v/>
      </c>
      <c r="AA131" s="12">
        <f>X131*Z131</f>
        <v/>
      </c>
      <c r="AB131" s="9">
        <f>W131*AA131</f>
        <v/>
      </c>
      <c r="AC131" s="9" t="n">
        <v>0</v>
      </c>
      <c r="AD131" s="12" t="n">
        <v>0</v>
      </c>
      <c r="AE131" s="12" t="n">
        <v>0</v>
      </c>
      <c r="AF131" s="12">
        <f>IF(AD131&gt;0,IFERROR(VALUE(LEFT($D131,1)),1),0)</f>
        <v/>
      </c>
      <c r="AG131" s="12">
        <f>AD131*AF131</f>
        <v/>
      </c>
      <c r="AH131" s="9">
        <f>AC131*AG131</f>
        <v/>
      </c>
      <c r="AI131" s="9" t="n">
        <v>0</v>
      </c>
      <c r="AJ131" s="12" t="n">
        <v>0</v>
      </c>
      <c r="AK131" s="12" t="n">
        <v>0</v>
      </c>
      <c r="AL131" s="12">
        <f>IF(AJ131&gt;0,IFERROR(VALUE(LEFT($D131,1)),1),0)</f>
        <v/>
      </c>
      <c r="AM131" s="12">
        <f>AJ131*AL131</f>
        <v/>
      </c>
      <c r="AN131" s="9">
        <f>AI131*AM131</f>
        <v/>
      </c>
    </row>
    <row r="132">
      <c r="A132" s="12" t="inlineStr">
        <is>
          <t>TK</t>
        </is>
      </c>
      <c r="B132" s="12" t="inlineStr">
        <is>
          <t>TK twarzoczaszki</t>
        </is>
      </c>
      <c r="C132" s="12" t="inlineStr">
        <is>
          <t>TK Onkologia</t>
        </is>
      </c>
      <c r="D132" s="12" t="inlineStr">
        <is>
          <t>1 okolica anatomiczna</t>
        </is>
      </c>
      <c r="E132" s="9" t="n">
        <v>0</v>
      </c>
      <c r="F132" s="12" t="n">
        <v>0</v>
      </c>
      <c r="G132" s="12" t="n">
        <v>0</v>
      </c>
      <c r="H132" s="12">
        <f>IF(F132&gt;0,IFERROR(VALUE(LEFT($D132,1)),1),0)</f>
        <v/>
      </c>
      <c r="I132" s="12">
        <f>F132*H132</f>
        <v/>
      </c>
      <c r="J132" s="9">
        <f>E132*I132</f>
        <v/>
      </c>
      <c r="K132" s="9" t="n">
        <v>0</v>
      </c>
      <c r="L132" s="12" t="n">
        <v>0</v>
      </c>
      <c r="M132" s="12" t="n">
        <v>0</v>
      </c>
      <c r="N132" s="12">
        <f>IF(L132&gt;0,IFERROR(VALUE(LEFT($D132,1)),1),0)</f>
        <v/>
      </c>
      <c r="O132" s="12">
        <f>L132*N132</f>
        <v/>
      </c>
      <c r="P132" s="9">
        <f>K132*O132</f>
        <v/>
      </c>
      <c r="Q132" s="9" t="n">
        <v>0</v>
      </c>
      <c r="R132" s="12" t="n">
        <v>0</v>
      </c>
      <c r="S132" s="12" t="n">
        <v>0</v>
      </c>
      <c r="T132" s="12">
        <f>IF(R132&gt;0,IFERROR(VALUE(LEFT($D132,1)),1),0)</f>
        <v/>
      </c>
      <c r="U132" s="12">
        <f>R132*T132</f>
        <v/>
      </c>
      <c r="V132" s="9">
        <f>Q132*U132</f>
        <v/>
      </c>
      <c r="W132" s="9" t="n">
        <v>140</v>
      </c>
      <c r="X132" s="12" t="n">
        <v>7</v>
      </c>
      <c r="Y132" s="12" t="n">
        <v>0</v>
      </c>
      <c r="Z132" s="12">
        <f>IF(X132&gt;0,IFERROR(VALUE(LEFT($D132,1)),1),0)</f>
        <v/>
      </c>
      <c r="AA132" s="12">
        <f>X132*Z132</f>
        <v/>
      </c>
      <c r="AB132" s="9">
        <f>W132*AA132</f>
        <v/>
      </c>
      <c r="AC132" s="9" t="n">
        <v>0</v>
      </c>
      <c r="AD132" s="12" t="n">
        <v>0</v>
      </c>
      <c r="AE132" s="12" t="n">
        <v>0</v>
      </c>
      <c r="AF132" s="12">
        <f>IF(AD132&gt;0,IFERROR(VALUE(LEFT($D132,1)),1),0)</f>
        <v/>
      </c>
      <c r="AG132" s="12">
        <f>AD132*AF132</f>
        <v/>
      </c>
      <c r="AH132" s="9">
        <f>AC132*AG132</f>
        <v/>
      </c>
      <c r="AI132" s="9" t="n">
        <v>0</v>
      </c>
      <c r="AJ132" s="12" t="n">
        <v>0</v>
      </c>
      <c r="AK132" s="12" t="n">
        <v>0</v>
      </c>
      <c r="AL132" s="12">
        <f>IF(AJ132&gt;0,IFERROR(VALUE(LEFT($D132,1)),1),0)</f>
        <v/>
      </c>
      <c r="AM132" s="12">
        <f>AJ132*AL132</f>
        <v/>
      </c>
      <c r="AN132" s="9">
        <f>AI132*AM132</f>
        <v/>
      </c>
    </row>
    <row r="133">
      <c r="A133" s="12" t="inlineStr">
        <is>
          <t>TK</t>
        </is>
      </c>
      <c r="B133" s="12" t="inlineStr">
        <is>
          <t>TK, klatka piersiowa, bez wzmocnienia kontrastowego</t>
        </is>
      </c>
      <c r="C133" s="12" t="inlineStr">
        <is>
          <t>TK Onkologia</t>
        </is>
      </c>
      <c r="D133" s="12" t="inlineStr">
        <is>
          <t>1 okolica anatomiczna</t>
        </is>
      </c>
      <c r="E133" s="9" t="n">
        <v>0</v>
      </c>
      <c r="F133" s="12" t="n">
        <v>0</v>
      </c>
      <c r="G133" s="12" t="n">
        <v>0</v>
      </c>
      <c r="H133" s="12">
        <f>IF(F133&gt;0,IFERROR(VALUE(LEFT($D133,1)),1),0)</f>
        <v/>
      </c>
      <c r="I133" s="12">
        <f>F133*H133</f>
        <v/>
      </c>
      <c r="J133" s="9">
        <f>E133*I133</f>
        <v/>
      </c>
      <c r="K133" s="9" t="n">
        <v>0</v>
      </c>
      <c r="L133" s="12" t="n">
        <v>0</v>
      </c>
      <c r="M133" s="12" t="n">
        <v>0</v>
      </c>
      <c r="N133" s="12">
        <f>IF(L133&gt;0,IFERROR(VALUE(LEFT($D133,1)),1),0)</f>
        <v/>
      </c>
      <c r="O133" s="12">
        <f>L133*N133</f>
        <v/>
      </c>
      <c r="P133" s="9">
        <f>K133*O133</f>
        <v/>
      </c>
      <c r="Q133" s="9" t="n">
        <v>0</v>
      </c>
      <c r="R133" s="12" t="n">
        <v>0</v>
      </c>
      <c r="S133" s="12" t="n">
        <v>0</v>
      </c>
      <c r="T133" s="12">
        <f>IF(R133&gt;0,IFERROR(VALUE(LEFT($D133,1)),1),0)</f>
        <v/>
      </c>
      <c r="U133" s="12">
        <f>R133*T133</f>
        <v/>
      </c>
      <c r="V133" s="9">
        <f>Q133*U133</f>
        <v/>
      </c>
      <c r="W133" s="9" t="n">
        <v>140</v>
      </c>
      <c r="X133" s="12" t="n">
        <v>1</v>
      </c>
      <c r="Y133" s="12" t="n">
        <v>0</v>
      </c>
      <c r="Z133" s="12">
        <f>IF(X133&gt;0,IFERROR(VALUE(LEFT($D133,1)),1),0)</f>
        <v/>
      </c>
      <c r="AA133" s="12">
        <f>X133*Z133</f>
        <v/>
      </c>
      <c r="AB133" s="9">
        <f>W133*AA133</f>
        <v/>
      </c>
      <c r="AC133" s="9" t="n">
        <v>0</v>
      </c>
      <c r="AD133" s="12" t="n">
        <v>0</v>
      </c>
      <c r="AE133" s="12" t="n">
        <v>0</v>
      </c>
      <c r="AF133" s="12">
        <f>IF(AD133&gt;0,IFERROR(VALUE(LEFT($D133,1)),1),0)</f>
        <v/>
      </c>
      <c r="AG133" s="12">
        <f>AD133*AF133</f>
        <v/>
      </c>
      <c r="AH133" s="9">
        <f>AC133*AG133</f>
        <v/>
      </c>
      <c r="AI133" s="9" t="n">
        <v>0</v>
      </c>
      <c r="AJ133" s="12" t="n">
        <v>0</v>
      </c>
      <c r="AK133" s="12" t="n">
        <v>0</v>
      </c>
      <c r="AL133" s="12">
        <f>IF(AJ133&gt;0,IFERROR(VALUE(LEFT($D133,1)),1),0)</f>
        <v/>
      </c>
      <c r="AM133" s="12">
        <f>AJ133*AL133</f>
        <v/>
      </c>
      <c r="AN133" s="9">
        <f>AI133*AM133</f>
        <v/>
      </c>
    </row>
    <row r="134">
      <c r="A134" s="12" t="inlineStr">
        <is>
          <t>TK</t>
        </is>
      </c>
      <c r="B134" s="12" t="inlineStr">
        <is>
          <t>Tomografia Komputerowa głowy</t>
        </is>
      </c>
      <c r="C134" s="12" t="inlineStr">
        <is>
          <t>TK Onkologia</t>
        </is>
      </c>
      <c r="D134" s="12" t="inlineStr">
        <is>
          <t>1 okolica anatomiczna</t>
        </is>
      </c>
      <c r="E134" s="9" t="n">
        <v>0</v>
      </c>
      <c r="F134" s="12" t="n">
        <v>0</v>
      </c>
      <c r="G134" s="12" t="n">
        <v>0</v>
      </c>
      <c r="H134" s="12">
        <f>IF(F134&gt;0,IFERROR(VALUE(LEFT($D134,1)),1),0)</f>
        <v/>
      </c>
      <c r="I134" s="12">
        <f>F134*H134</f>
        <v/>
      </c>
      <c r="J134" s="9">
        <f>E134*I134</f>
        <v/>
      </c>
      <c r="K134" s="9" t="n">
        <v>0</v>
      </c>
      <c r="L134" s="12" t="n">
        <v>0</v>
      </c>
      <c r="M134" s="12" t="n">
        <v>0</v>
      </c>
      <c r="N134" s="12">
        <f>IF(L134&gt;0,IFERROR(VALUE(LEFT($D134,1)),1),0)</f>
        <v/>
      </c>
      <c r="O134" s="12">
        <f>L134*N134</f>
        <v/>
      </c>
      <c r="P134" s="9">
        <f>K134*O134</f>
        <v/>
      </c>
      <c r="Q134" s="9" t="n">
        <v>0</v>
      </c>
      <c r="R134" s="12" t="n">
        <v>0</v>
      </c>
      <c r="S134" s="12" t="n">
        <v>0</v>
      </c>
      <c r="T134" s="12">
        <f>IF(R134&gt;0,IFERROR(VALUE(LEFT($D134,1)),1),0)</f>
        <v/>
      </c>
      <c r="U134" s="12">
        <f>R134*T134</f>
        <v/>
      </c>
      <c r="V134" s="9">
        <f>Q134*U134</f>
        <v/>
      </c>
      <c r="W134" s="9" t="n">
        <v>140</v>
      </c>
      <c r="X134" s="12" t="n">
        <v>4</v>
      </c>
      <c r="Y134" s="12" t="n">
        <v>3</v>
      </c>
      <c r="Z134" s="12">
        <f>IF(X134&gt;0,IFERROR(VALUE(LEFT($D134,1)),1),0)</f>
        <v/>
      </c>
      <c r="AA134" s="12">
        <f>X134*Z134</f>
        <v/>
      </c>
      <c r="AB134" s="9">
        <f>W134*AA134</f>
        <v/>
      </c>
      <c r="AC134" s="9" t="n">
        <v>0</v>
      </c>
      <c r="AD134" s="12" t="n">
        <v>0</v>
      </c>
      <c r="AE134" s="12" t="n">
        <v>0</v>
      </c>
      <c r="AF134" s="12">
        <f>IF(AD134&gt;0,IFERROR(VALUE(LEFT($D134,1)),1),0)</f>
        <v/>
      </c>
      <c r="AG134" s="12">
        <f>AD134*AF134</f>
        <v/>
      </c>
      <c r="AH134" s="9">
        <f>AC134*AG134</f>
        <v/>
      </c>
      <c r="AI134" s="9" t="n">
        <v>0</v>
      </c>
      <c r="AJ134" s="12" t="n">
        <v>0</v>
      </c>
      <c r="AK134" s="12" t="n">
        <v>0</v>
      </c>
      <c r="AL134" s="12">
        <f>IF(AJ134&gt;0,IFERROR(VALUE(LEFT($D134,1)),1),0)</f>
        <v/>
      </c>
      <c r="AM134" s="12">
        <f>AJ134*AL134</f>
        <v/>
      </c>
      <c r="AN134" s="9">
        <f>AI134*AM134</f>
        <v/>
      </c>
    </row>
    <row r="135">
      <c r="A135" s="12" t="inlineStr">
        <is>
          <t>TK</t>
        </is>
      </c>
      <c r="B135" s="12" t="inlineStr">
        <is>
          <t>Tomografia Komputerowa głowy</t>
        </is>
      </c>
      <c r="C135" s="12" t="inlineStr">
        <is>
          <t>TK Onkologia</t>
        </is>
      </c>
      <c r="D135" s="12" t="inlineStr">
        <is>
          <t>2 okolice anatomiczne</t>
        </is>
      </c>
      <c r="E135" s="9" t="n">
        <v>0</v>
      </c>
      <c r="F135" s="12" t="n">
        <v>0</v>
      </c>
      <c r="G135" s="12" t="n">
        <v>0</v>
      </c>
      <c r="H135" s="12">
        <f>IF(F135&gt;0,IFERROR(VALUE(LEFT($D135,1)),1),0)</f>
        <v/>
      </c>
      <c r="I135" s="12">
        <f>F135*H135</f>
        <v/>
      </c>
      <c r="J135" s="9">
        <f>E135*I135</f>
        <v/>
      </c>
      <c r="K135" s="9" t="n">
        <v>0</v>
      </c>
      <c r="L135" s="12" t="n">
        <v>0</v>
      </c>
      <c r="M135" s="12" t="n">
        <v>0</v>
      </c>
      <c r="N135" s="12">
        <f>IF(L135&gt;0,IFERROR(VALUE(LEFT($D135,1)),1),0)</f>
        <v/>
      </c>
      <c r="O135" s="12">
        <f>L135*N135</f>
        <v/>
      </c>
      <c r="P135" s="9">
        <f>K135*O135</f>
        <v/>
      </c>
      <c r="Q135" s="9" t="n">
        <v>0</v>
      </c>
      <c r="R135" s="12" t="n">
        <v>0</v>
      </c>
      <c r="S135" s="12" t="n">
        <v>0</v>
      </c>
      <c r="T135" s="12">
        <f>IF(R135&gt;0,IFERROR(VALUE(LEFT($D135,1)),1),0)</f>
        <v/>
      </c>
      <c r="U135" s="12">
        <f>R135*T135</f>
        <v/>
      </c>
      <c r="V135" s="9">
        <f>Q135*U135</f>
        <v/>
      </c>
      <c r="W135" s="9" t="n">
        <v>140</v>
      </c>
      <c r="X135" s="12" t="n">
        <v>1</v>
      </c>
      <c r="Y135" s="12" t="n">
        <v>0</v>
      </c>
      <c r="Z135" s="12">
        <f>IF(X135&gt;0,IFERROR(VALUE(LEFT($D135,1)),1),0)</f>
        <v/>
      </c>
      <c r="AA135" s="12">
        <f>X135*Z135</f>
        <v/>
      </c>
      <c r="AB135" s="9">
        <f>W135*AA135</f>
        <v/>
      </c>
      <c r="AC135" s="9" t="n">
        <v>0</v>
      </c>
      <c r="AD135" s="12" t="n">
        <v>0</v>
      </c>
      <c r="AE135" s="12" t="n">
        <v>0</v>
      </c>
      <c r="AF135" s="12">
        <f>IF(AD135&gt;0,IFERROR(VALUE(LEFT($D135,1)),1),0)</f>
        <v/>
      </c>
      <c r="AG135" s="12">
        <f>AD135*AF135</f>
        <v/>
      </c>
      <c r="AH135" s="9">
        <f>AC135*AG135</f>
        <v/>
      </c>
      <c r="AI135" s="9" t="n">
        <v>0</v>
      </c>
      <c r="AJ135" s="12" t="n">
        <v>0</v>
      </c>
      <c r="AK135" s="12" t="n">
        <v>0</v>
      </c>
      <c r="AL135" s="12">
        <f>IF(AJ135&gt;0,IFERROR(VALUE(LEFT($D135,1)),1),0)</f>
        <v/>
      </c>
      <c r="AM135" s="12">
        <f>AJ135*AL135</f>
        <v/>
      </c>
      <c r="AN135" s="9">
        <f>AI135*AM135</f>
        <v/>
      </c>
    </row>
    <row r="136">
      <c r="A136" s="12" t="inlineStr">
        <is>
          <t>TK</t>
        </is>
      </c>
      <c r="B136" s="12" t="inlineStr">
        <is>
          <t>Tomografia Komputerowa jamy brzusznej i miednicy bez i z kontrastem</t>
        </is>
      </c>
      <c r="C136" s="12" t="inlineStr">
        <is>
          <t>TK Onkologia</t>
        </is>
      </c>
      <c r="D136" s="12" t="inlineStr">
        <is>
          <t>2 okolice anatomiczne</t>
        </is>
      </c>
      <c r="E136" s="9" t="n">
        <v>0</v>
      </c>
      <c r="F136" s="12" t="n">
        <v>0</v>
      </c>
      <c r="G136" s="12" t="n">
        <v>0</v>
      </c>
      <c r="H136" s="12">
        <f>IF(F136&gt;0,IFERROR(VALUE(LEFT($D136,1)),1),0)</f>
        <v/>
      </c>
      <c r="I136" s="12">
        <f>F136*H136</f>
        <v/>
      </c>
      <c r="J136" s="9">
        <f>E136*I136</f>
        <v/>
      </c>
      <c r="K136" s="9" t="n">
        <v>0</v>
      </c>
      <c r="L136" s="12" t="n">
        <v>0</v>
      </c>
      <c r="M136" s="12" t="n">
        <v>0</v>
      </c>
      <c r="N136" s="12">
        <f>IF(L136&gt;0,IFERROR(VALUE(LEFT($D136,1)),1),0)</f>
        <v/>
      </c>
      <c r="O136" s="12">
        <f>L136*N136</f>
        <v/>
      </c>
      <c r="P136" s="9">
        <f>K136*O136</f>
        <v/>
      </c>
      <c r="Q136" s="9" t="n">
        <v>0</v>
      </c>
      <c r="R136" s="12" t="n">
        <v>0</v>
      </c>
      <c r="S136" s="12" t="n">
        <v>0</v>
      </c>
      <c r="T136" s="12">
        <f>IF(R136&gt;0,IFERROR(VALUE(LEFT($D136,1)),1),0)</f>
        <v/>
      </c>
      <c r="U136" s="12">
        <f>R136*T136</f>
        <v/>
      </c>
      <c r="V136" s="9">
        <f>Q136*U136</f>
        <v/>
      </c>
      <c r="W136" s="9" t="n">
        <v>120</v>
      </c>
      <c r="X136" s="12" t="n">
        <v>2</v>
      </c>
      <c r="Y136" s="12" t="n">
        <v>0</v>
      </c>
      <c r="Z136" s="12">
        <f>IF(X136&gt;0,IFERROR(VALUE(LEFT($D136,1)),1),0)</f>
        <v/>
      </c>
      <c r="AA136" s="12">
        <f>X136*Z136</f>
        <v/>
      </c>
      <c r="AB136" s="9">
        <f>W136*AA136</f>
        <v/>
      </c>
      <c r="AC136" s="9" t="n">
        <v>0</v>
      </c>
      <c r="AD136" s="12" t="n">
        <v>0</v>
      </c>
      <c r="AE136" s="12" t="n">
        <v>0</v>
      </c>
      <c r="AF136" s="12">
        <f>IF(AD136&gt;0,IFERROR(VALUE(LEFT($D136,1)),1),0)</f>
        <v/>
      </c>
      <c r="AG136" s="12">
        <f>AD136*AF136</f>
        <v/>
      </c>
      <c r="AH136" s="9">
        <f>AC136*AG136</f>
        <v/>
      </c>
      <c r="AI136" s="9" t="n">
        <v>0</v>
      </c>
      <c r="AJ136" s="12" t="n">
        <v>0</v>
      </c>
      <c r="AK136" s="12" t="n">
        <v>0</v>
      </c>
      <c r="AL136" s="12">
        <f>IF(AJ136&gt;0,IFERROR(VALUE(LEFT($D136,1)),1),0)</f>
        <v/>
      </c>
      <c r="AM136" s="12">
        <f>AJ136*AL136</f>
        <v/>
      </c>
      <c r="AN136" s="9">
        <f>AI136*AM136</f>
        <v/>
      </c>
    </row>
    <row r="137">
      <c r="A137" s="12" t="inlineStr">
        <is>
          <t>TK</t>
        </is>
      </c>
      <c r="B137" s="12" t="inlineStr">
        <is>
          <t>Tomografia komputerowa - wybrany staw lub stawy porównawczo bez kontrastu dożylnego z wtórnym opracowaniem</t>
        </is>
      </c>
      <c r="C137" s="12" t="inlineStr">
        <is>
          <t>TK Onkologia</t>
        </is>
      </c>
      <c r="D137" s="12" t="inlineStr">
        <is>
          <t>1 okolica anatomiczna</t>
        </is>
      </c>
      <c r="E137" s="9" t="n">
        <v>0</v>
      </c>
      <c r="F137" s="12" t="n">
        <v>0</v>
      </c>
      <c r="G137" s="12" t="n">
        <v>0</v>
      </c>
      <c r="H137" s="12">
        <f>IF(F137&gt;0,IFERROR(VALUE(LEFT($D137,1)),1),0)</f>
        <v/>
      </c>
      <c r="I137" s="12">
        <f>F137*H137</f>
        <v/>
      </c>
      <c r="J137" s="9">
        <f>E137*I137</f>
        <v/>
      </c>
      <c r="K137" s="9" t="n">
        <v>0</v>
      </c>
      <c r="L137" s="12" t="n">
        <v>0</v>
      </c>
      <c r="M137" s="12" t="n">
        <v>0</v>
      </c>
      <c r="N137" s="12">
        <f>IF(L137&gt;0,IFERROR(VALUE(LEFT($D137,1)),1),0)</f>
        <v/>
      </c>
      <c r="O137" s="12">
        <f>L137*N137</f>
        <v/>
      </c>
      <c r="P137" s="9">
        <f>K137*O137</f>
        <v/>
      </c>
      <c r="Q137" s="9" t="n">
        <v>0</v>
      </c>
      <c r="R137" s="12" t="n">
        <v>0</v>
      </c>
      <c r="S137" s="12" t="n">
        <v>0</v>
      </c>
      <c r="T137" s="12">
        <f>IF(R137&gt;0,IFERROR(VALUE(LEFT($D137,1)),1),0)</f>
        <v/>
      </c>
      <c r="U137" s="12">
        <f>R137*T137</f>
        <v/>
      </c>
      <c r="V137" s="9">
        <f>Q137*U137</f>
        <v/>
      </c>
      <c r="W137" s="9" t="n">
        <v>140</v>
      </c>
      <c r="X137" s="12" t="n">
        <v>1</v>
      </c>
      <c r="Y137" s="12" t="n">
        <v>0</v>
      </c>
      <c r="Z137" s="12">
        <f>IF(X137&gt;0,IFERROR(VALUE(LEFT($D137,1)),1),0)</f>
        <v/>
      </c>
      <c r="AA137" s="12">
        <f>X137*Z137</f>
        <v/>
      </c>
      <c r="AB137" s="9">
        <f>W137*AA137</f>
        <v/>
      </c>
      <c r="AC137" s="9" t="n">
        <v>0</v>
      </c>
      <c r="AD137" s="12" t="n">
        <v>0</v>
      </c>
      <c r="AE137" s="12" t="n">
        <v>0</v>
      </c>
      <c r="AF137" s="12">
        <f>IF(AD137&gt;0,IFERROR(VALUE(LEFT($D137,1)),1),0)</f>
        <v/>
      </c>
      <c r="AG137" s="12">
        <f>AD137*AF137</f>
        <v/>
      </c>
      <c r="AH137" s="9">
        <f>AC137*AG137</f>
        <v/>
      </c>
      <c r="AI137" s="9" t="n">
        <v>0</v>
      </c>
      <c r="AJ137" s="12" t="n">
        <v>0</v>
      </c>
      <c r="AK137" s="12" t="n">
        <v>0</v>
      </c>
      <c r="AL137" s="12">
        <f>IF(AJ137&gt;0,IFERROR(VALUE(LEFT($D137,1)),1),0)</f>
        <v/>
      </c>
      <c r="AM137" s="12">
        <f>AJ137*AL137</f>
        <v/>
      </c>
      <c r="AN137" s="9">
        <f>AI137*AM137</f>
        <v/>
      </c>
    </row>
    <row r="138">
      <c r="A138" s="12" t="inlineStr">
        <is>
          <t>TK</t>
        </is>
      </c>
      <c r="B138" s="12" t="inlineStr">
        <is>
          <t>Tomografia komputerowa jamy brzusznej i miednicy małej z kontrastem</t>
        </is>
      </c>
      <c r="C138" s="12" t="inlineStr">
        <is>
          <t>TK Onkologia</t>
        </is>
      </c>
      <c r="D138" s="12" t="inlineStr">
        <is>
          <t>2 okolice anatomiczne</t>
        </is>
      </c>
      <c r="E138" s="9" t="n">
        <v>0</v>
      </c>
      <c r="F138" s="12" t="n">
        <v>0</v>
      </c>
      <c r="G138" s="12" t="n">
        <v>0</v>
      </c>
      <c r="H138" s="12">
        <f>IF(F138&gt;0,IFERROR(VALUE(LEFT($D138,1)),1),0)</f>
        <v/>
      </c>
      <c r="I138" s="12">
        <f>F138*H138</f>
        <v/>
      </c>
      <c r="J138" s="9">
        <f>E138*I138</f>
        <v/>
      </c>
      <c r="K138" s="9" t="n">
        <v>0</v>
      </c>
      <c r="L138" s="12" t="n">
        <v>0</v>
      </c>
      <c r="M138" s="12" t="n">
        <v>0</v>
      </c>
      <c r="N138" s="12">
        <f>IF(L138&gt;0,IFERROR(VALUE(LEFT($D138,1)),1),0)</f>
        <v/>
      </c>
      <c r="O138" s="12">
        <f>L138*N138</f>
        <v/>
      </c>
      <c r="P138" s="9">
        <f>K138*O138</f>
        <v/>
      </c>
      <c r="Q138" s="9" t="n">
        <v>0</v>
      </c>
      <c r="R138" s="12" t="n">
        <v>0</v>
      </c>
      <c r="S138" s="12" t="n">
        <v>0</v>
      </c>
      <c r="T138" s="12">
        <f>IF(R138&gt;0,IFERROR(VALUE(LEFT($D138,1)),1),0)</f>
        <v/>
      </c>
      <c r="U138" s="12">
        <f>R138*T138</f>
        <v/>
      </c>
      <c r="V138" s="9">
        <f>Q138*U138</f>
        <v/>
      </c>
      <c r="W138" s="9" t="n">
        <v>120</v>
      </c>
      <c r="X138" s="12" t="n">
        <v>1</v>
      </c>
      <c r="Y138" s="12" t="n">
        <v>0</v>
      </c>
      <c r="Z138" s="12">
        <f>IF(X138&gt;0,IFERROR(VALUE(LEFT($D138,1)),1),0)</f>
        <v/>
      </c>
      <c r="AA138" s="12">
        <f>X138*Z138</f>
        <v/>
      </c>
      <c r="AB138" s="9">
        <f>W138*AA138</f>
        <v/>
      </c>
      <c r="AC138" s="9" t="n">
        <v>0</v>
      </c>
      <c r="AD138" s="12" t="n">
        <v>0</v>
      </c>
      <c r="AE138" s="12" t="n">
        <v>0</v>
      </c>
      <c r="AF138" s="12">
        <f>IF(AD138&gt;0,IFERROR(VALUE(LEFT($D138,1)),1),0)</f>
        <v/>
      </c>
      <c r="AG138" s="12">
        <f>AD138*AF138</f>
        <v/>
      </c>
      <c r="AH138" s="9">
        <f>AC138*AG138</f>
        <v/>
      </c>
      <c r="AI138" s="9" t="n">
        <v>0</v>
      </c>
      <c r="AJ138" s="12" t="n">
        <v>0</v>
      </c>
      <c r="AK138" s="12" t="n">
        <v>0</v>
      </c>
      <c r="AL138" s="12">
        <f>IF(AJ138&gt;0,IFERROR(VALUE(LEFT($D138,1)),1),0)</f>
        <v/>
      </c>
      <c r="AM138" s="12">
        <f>AJ138*AL138</f>
        <v/>
      </c>
      <c r="AN138" s="9">
        <f>AI138*AM138</f>
        <v/>
      </c>
    </row>
    <row r="139">
      <c r="A139" s="12" t="inlineStr">
        <is>
          <t>TK</t>
        </is>
      </c>
      <c r="B139" s="12" t="inlineStr">
        <is>
          <t>Tomografia trzech okolic anatomicznych</t>
        </is>
      </c>
      <c r="C139" s="12" t="inlineStr">
        <is>
          <t>TK Onkologia</t>
        </is>
      </c>
      <c r="D139" s="12" t="inlineStr">
        <is>
          <t>3 okolice anatomiczne</t>
        </is>
      </c>
      <c r="E139" s="9" t="n">
        <v>0</v>
      </c>
      <c r="F139" s="12" t="n">
        <v>0</v>
      </c>
      <c r="G139" s="12" t="n">
        <v>0</v>
      </c>
      <c r="H139" s="12">
        <f>IF(F139&gt;0,IFERROR(VALUE(LEFT($D139,1)),1),0)</f>
        <v/>
      </c>
      <c r="I139" s="12">
        <f>F139*H139</f>
        <v/>
      </c>
      <c r="J139" s="9">
        <f>E139*I139</f>
        <v/>
      </c>
      <c r="K139" s="9" t="n">
        <v>0</v>
      </c>
      <c r="L139" s="12" t="n">
        <v>0</v>
      </c>
      <c r="M139" s="12" t="n">
        <v>0</v>
      </c>
      <c r="N139" s="12">
        <f>IF(L139&gt;0,IFERROR(VALUE(LEFT($D139,1)),1),0)</f>
        <v/>
      </c>
      <c r="O139" s="12">
        <f>L139*N139</f>
        <v/>
      </c>
      <c r="P139" s="9">
        <f>K139*O139</f>
        <v/>
      </c>
      <c r="Q139" s="9" t="n">
        <v>0</v>
      </c>
      <c r="R139" s="12" t="n">
        <v>0</v>
      </c>
      <c r="S139" s="12" t="n">
        <v>0</v>
      </c>
      <c r="T139" s="12">
        <f>IF(R139&gt;0,IFERROR(VALUE(LEFT($D139,1)),1),0)</f>
        <v/>
      </c>
      <c r="U139" s="12">
        <f>R139*T139</f>
        <v/>
      </c>
      <c r="V139" s="9">
        <f>Q139*U139</f>
        <v/>
      </c>
      <c r="W139" s="9" t="n">
        <v>120</v>
      </c>
      <c r="X139" s="12" t="n">
        <v>1</v>
      </c>
      <c r="Y139" s="12" t="n">
        <v>0</v>
      </c>
      <c r="Z139" s="12">
        <f>IF(X139&gt;0,IFERROR(VALUE(LEFT($D139,1)),1),0)</f>
        <v/>
      </c>
      <c r="AA139" s="12">
        <f>X139*Z139</f>
        <v/>
      </c>
      <c r="AB139" s="9">
        <f>W139*AA139</f>
        <v/>
      </c>
      <c r="AC139" s="9" t="n">
        <v>0</v>
      </c>
      <c r="AD139" s="12" t="n">
        <v>0</v>
      </c>
      <c r="AE139" s="12" t="n">
        <v>0</v>
      </c>
      <c r="AF139" s="12">
        <f>IF(AD139&gt;0,IFERROR(VALUE(LEFT($D139,1)),1),0)</f>
        <v/>
      </c>
      <c r="AG139" s="12">
        <f>AD139*AF139</f>
        <v/>
      </c>
      <c r="AH139" s="9">
        <f>AC139*AG139</f>
        <v/>
      </c>
      <c r="AI139" s="9" t="n">
        <v>0</v>
      </c>
      <c r="AJ139" s="12" t="n">
        <v>0</v>
      </c>
      <c r="AK139" s="12" t="n">
        <v>0</v>
      </c>
      <c r="AL139" s="12">
        <f>IF(AJ139&gt;0,IFERROR(VALUE(LEFT($D139,1)),1),0)</f>
        <v/>
      </c>
      <c r="AM139" s="12">
        <f>AJ139*AL139</f>
        <v/>
      </c>
      <c r="AN139" s="9">
        <f>AI139*AM139</f>
        <v/>
      </c>
    </row>
    <row r="140">
      <c r="A140" s="12" t="inlineStr">
        <is>
          <t>TK</t>
        </is>
      </c>
      <c r="B140" s="12" t="inlineStr">
        <is>
          <t>Badanie TK klatki piersiowej, jamy brzusznej i miednicy dwufazowe z kontrastem</t>
        </is>
      </c>
      <c r="C140" s="12" t="inlineStr">
        <is>
          <t>TK Onkologia</t>
        </is>
      </c>
      <c r="D140" s="12" t="inlineStr">
        <is>
          <t>3 okolice anatomiczne</t>
        </is>
      </c>
      <c r="E140" s="9" t="n">
        <v>0</v>
      </c>
      <c r="F140" s="12" t="n">
        <v>0</v>
      </c>
      <c r="G140" s="12" t="n">
        <v>0</v>
      </c>
      <c r="H140" s="12">
        <f>IF(F140&gt;0,IFERROR(VALUE(LEFT($D140,1)),1),0)</f>
        <v/>
      </c>
      <c r="I140" s="12">
        <f>F140*H140</f>
        <v/>
      </c>
      <c r="J140" s="9">
        <f>E140*I140</f>
        <v/>
      </c>
      <c r="K140" s="9" t="n">
        <v>0</v>
      </c>
      <c r="L140" s="12" t="n">
        <v>0</v>
      </c>
      <c r="M140" s="12" t="n">
        <v>0</v>
      </c>
      <c r="N140" s="12">
        <f>IF(L140&gt;0,IFERROR(VALUE(LEFT($D140,1)),1),0)</f>
        <v/>
      </c>
      <c r="O140" s="12">
        <f>L140*N140</f>
        <v/>
      </c>
      <c r="P140" s="9">
        <f>K140*O140</f>
        <v/>
      </c>
      <c r="Q140" s="9" t="n">
        <v>0</v>
      </c>
      <c r="R140" s="12" t="n">
        <v>0</v>
      </c>
      <c r="S140" s="12" t="n">
        <v>0</v>
      </c>
      <c r="T140" s="12">
        <f>IF(R140&gt;0,IFERROR(VALUE(LEFT($D140,1)),1),0)</f>
        <v/>
      </c>
      <c r="U140" s="12">
        <f>R140*T140</f>
        <v/>
      </c>
      <c r="V140" s="9">
        <f>Q140*U140</f>
        <v/>
      </c>
      <c r="W140" s="9" t="n">
        <v>0</v>
      </c>
      <c r="X140" s="12" t="n">
        <v>0</v>
      </c>
      <c r="Y140" s="12" t="n">
        <v>0</v>
      </c>
      <c r="Z140" s="12">
        <f>IF(X140&gt;0,IFERROR(VALUE(LEFT($D140,1)),1),0)</f>
        <v/>
      </c>
      <c r="AA140" s="12">
        <f>X140*Z140</f>
        <v/>
      </c>
      <c r="AB140" s="9">
        <f>W140*AA140</f>
        <v/>
      </c>
      <c r="AC140" s="9" t="n">
        <v>120</v>
      </c>
      <c r="AD140" s="12" t="n">
        <v>1</v>
      </c>
      <c r="AE140" s="12" t="n">
        <v>0</v>
      </c>
      <c r="AF140" s="12">
        <f>IF(AD140&gt;0,IFERROR(VALUE(LEFT($D140,1)),1),0)</f>
        <v/>
      </c>
      <c r="AG140" s="12">
        <f>AD140*AF140</f>
        <v/>
      </c>
      <c r="AH140" s="9">
        <f>AC140*AG140</f>
        <v/>
      </c>
      <c r="AI140" s="9" t="n">
        <v>0</v>
      </c>
      <c r="AJ140" s="12" t="n">
        <v>0</v>
      </c>
      <c r="AK140" s="12" t="n">
        <v>0</v>
      </c>
      <c r="AL140" s="12">
        <f>IF(AJ140&gt;0,IFERROR(VALUE(LEFT($D140,1)),1),0)</f>
        <v/>
      </c>
      <c r="AM140" s="12">
        <f>AJ140*AL140</f>
        <v/>
      </c>
      <c r="AN140" s="9">
        <f>AI140*AM140</f>
        <v/>
      </c>
    </row>
    <row r="141">
      <c r="A141" s="12" t="inlineStr">
        <is>
          <t>TK</t>
        </is>
      </c>
      <c r="B141" s="12" t="inlineStr">
        <is>
          <t>TK - klatki piersiowej bez i ze środkiem kontrastowym</t>
        </is>
      </c>
      <c r="C141" s="12" t="inlineStr">
        <is>
          <t>TK Onkologia</t>
        </is>
      </c>
      <c r="D141" s="12" t="inlineStr">
        <is>
          <t>1 okolica anatomiczna</t>
        </is>
      </c>
      <c r="E141" s="9" t="n">
        <v>0</v>
      </c>
      <c r="F141" s="12" t="n">
        <v>0</v>
      </c>
      <c r="G141" s="12" t="n">
        <v>0</v>
      </c>
      <c r="H141" s="12">
        <f>IF(F141&gt;0,IFERROR(VALUE(LEFT($D141,1)),1),0)</f>
        <v/>
      </c>
      <c r="I141" s="12">
        <f>F141*H141</f>
        <v/>
      </c>
      <c r="J141" s="9">
        <f>E141*I141</f>
        <v/>
      </c>
      <c r="K141" s="9" t="n">
        <v>0</v>
      </c>
      <c r="L141" s="12" t="n">
        <v>0</v>
      </c>
      <c r="M141" s="12" t="n">
        <v>0</v>
      </c>
      <c r="N141" s="12">
        <f>IF(L141&gt;0,IFERROR(VALUE(LEFT($D141,1)),1),0)</f>
        <v/>
      </c>
      <c r="O141" s="12">
        <f>L141*N141</f>
        <v/>
      </c>
      <c r="P141" s="9">
        <f>K141*O141</f>
        <v/>
      </c>
      <c r="Q141" s="9" t="n">
        <v>0</v>
      </c>
      <c r="R141" s="12" t="n">
        <v>0</v>
      </c>
      <c r="S141" s="12" t="n">
        <v>0</v>
      </c>
      <c r="T141" s="12">
        <f>IF(R141&gt;0,IFERROR(VALUE(LEFT($D141,1)),1),0)</f>
        <v/>
      </c>
      <c r="U141" s="12">
        <f>R141*T141</f>
        <v/>
      </c>
      <c r="V141" s="9">
        <f>Q141*U141</f>
        <v/>
      </c>
      <c r="W141" s="9" t="n">
        <v>0</v>
      </c>
      <c r="X141" s="12" t="n">
        <v>0</v>
      </c>
      <c r="Y141" s="12" t="n">
        <v>0</v>
      </c>
      <c r="Z141" s="12">
        <f>IF(X141&gt;0,IFERROR(VALUE(LEFT($D141,1)),1),0)</f>
        <v/>
      </c>
      <c r="AA141" s="12">
        <f>X141*Z141</f>
        <v/>
      </c>
      <c r="AB141" s="9">
        <f>W141*AA141</f>
        <v/>
      </c>
      <c r="AC141" s="9" t="n">
        <v>120</v>
      </c>
      <c r="AD141" s="12" t="n">
        <v>3</v>
      </c>
      <c r="AE141" s="12" t="n">
        <v>0</v>
      </c>
      <c r="AF141" s="12">
        <f>IF(AD141&gt;0,IFERROR(VALUE(LEFT($D141,1)),1),0)</f>
        <v/>
      </c>
      <c r="AG141" s="12">
        <f>AD141*AF141</f>
        <v/>
      </c>
      <c r="AH141" s="9">
        <f>AC141*AG141</f>
        <v/>
      </c>
      <c r="AI141" s="9" t="n">
        <v>0</v>
      </c>
      <c r="AJ141" s="12" t="n">
        <v>0</v>
      </c>
      <c r="AK141" s="12" t="n">
        <v>0</v>
      </c>
      <c r="AL141" s="12">
        <f>IF(AJ141&gt;0,IFERROR(VALUE(LEFT($D141,1)),1),0)</f>
        <v/>
      </c>
      <c r="AM141" s="12">
        <f>AJ141*AL141</f>
        <v/>
      </c>
      <c r="AN141" s="9">
        <f>AI141*AM141</f>
        <v/>
      </c>
    </row>
    <row r="142">
      <c r="A142" s="12" t="inlineStr">
        <is>
          <t>TK</t>
        </is>
      </c>
      <c r="B142" s="12" t="inlineStr">
        <is>
          <t>TK 4-okolic ciała bez i z kontrastem (szyja, kl.p, jama brzuszna, miednica)</t>
        </is>
      </c>
      <c r="C142" s="12" t="inlineStr">
        <is>
          <t>TK Onkologia</t>
        </is>
      </c>
      <c r="D142" s="12" t="inlineStr">
        <is>
          <t>4 okolice anatomiczne</t>
        </is>
      </c>
      <c r="E142" s="9" t="n">
        <v>0</v>
      </c>
      <c r="F142" s="12" t="n">
        <v>0</v>
      </c>
      <c r="G142" s="12" t="n">
        <v>0</v>
      </c>
      <c r="H142" s="12">
        <f>IF(F142&gt;0,IFERROR(VALUE(LEFT($D142,1)),1),0)</f>
        <v/>
      </c>
      <c r="I142" s="12">
        <f>F142*H142</f>
        <v/>
      </c>
      <c r="J142" s="9">
        <f>E142*I142</f>
        <v/>
      </c>
      <c r="K142" s="9" t="n">
        <v>0</v>
      </c>
      <c r="L142" s="12" t="n">
        <v>0</v>
      </c>
      <c r="M142" s="12" t="n">
        <v>0</v>
      </c>
      <c r="N142" s="12">
        <f>IF(L142&gt;0,IFERROR(VALUE(LEFT($D142,1)),1),0)</f>
        <v/>
      </c>
      <c r="O142" s="12">
        <f>L142*N142</f>
        <v/>
      </c>
      <c r="P142" s="9">
        <f>K142*O142</f>
        <v/>
      </c>
      <c r="Q142" s="9" t="n">
        <v>0</v>
      </c>
      <c r="R142" s="12" t="n">
        <v>0</v>
      </c>
      <c r="S142" s="12" t="n">
        <v>0</v>
      </c>
      <c r="T142" s="12">
        <f>IF(R142&gt;0,IFERROR(VALUE(LEFT($D142,1)),1),0)</f>
        <v/>
      </c>
      <c r="U142" s="12">
        <f>R142*T142</f>
        <v/>
      </c>
      <c r="V142" s="9">
        <f>Q142*U142</f>
        <v/>
      </c>
      <c r="W142" s="9" t="n">
        <v>0</v>
      </c>
      <c r="X142" s="12" t="n">
        <v>0</v>
      </c>
      <c r="Y142" s="12" t="n">
        <v>0</v>
      </c>
      <c r="Z142" s="12">
        <f>IF(X142&gt;0,IFERROR(VALUE(LEFT($D142,1)),1),0)</f>
        <v/>
      </c>
      <c r="AA142" s="12">
        <f>X142*Z142</f>
        <v/>
      </c>
      <c r="AB142" s="9">
        <f>W142*AA142</f>
        <v/>
      </c>
      <c r="AC142" s="9" t="n">
        <v>120</v>
      </c>
      <c r="AD142" s="12" t="n">
        <v>1</v>
      </c>
      <c r="AE142" s="12" t="n">
        <v>0</v>
      </c>
      <c r="AF142" s="12">
        <f>IF(AD142&gt;0,IFERROR(VALUE(LEFT($D142,1)),1),0)</f>
        <v/>
      </c>
      <c r="AG142" s="12">
        <f>AD142*AF142</f>
        <v/>
      </c>
      <c r="AH142" s="9">
        <f>AC142*AG142</f>
        <v/>
      </c>
      <c r="AI142" s="9" t="n">
        <v>0</v>
      </c>
      <c r="AJ142" s="12" t="n">
        <v>0</v>
      </c>
      <c r="AK142" s="12" t="n">
        <v>0</v>
      </c>
      <c r="AL142" s="12">
        <f>IF(AJ142&gt;0,IFERROR(VALUE(LEFT($D142,1)),1),0)</f>
        <v/>
      </c>
      <c r="AM142" s="12">
        <f>AJ142*AL142</f>
        <v/>
      </c>
      <c r="AN142" s="9">
        <f>AI142*AM142</f>
        <v/>
      </c>
    </row>
    <row r="143">
      <c r="A143" s="12" t="inlineStr">
        <is>
          <t>TK</t>
        </is>
      </c>
      <c r="B143" s="12" t="inlineStr">
        <is>
          <t>TK KLATKI PIERSIOWEJ JAMY BRZUSZNEJ I MIEDNICY MNIEJSZEJ BEZ I Z KONTRASTEM</t>
        </is>
      </c>
      <c r="C143" s="12" t="inlineStr">
        <is>
          <t>TK Onkologia</t>
        </is>
      </c>
      <c r="D143" s="12" t="inlineStr">
        <is>
          <t>3 okolice anatomiczne</t>
        </is>
      </c>
      <c r="E143" s="9" t="n">
        <v>0</v>
      </c>
      <c r="F143" s="12" t="n">
        <v>0</v>
      </c>
      <c r="G143" s="12" t="n">
        <v>0</v>
      </c>
      <c r="H143" s="12">
        <f>IF(F143&gt;0,IFERROR(VALUE(LEFT($D143,1)),1),0)</f>
        <v/>
      </c>
      <c r="I143" s="12">
        <f>F143*H143</f>
        <v/>
      </c>
      <c r="J143" s="9">
        <f>E143*I143</f>
        <v/>
      </c>
      <c r="K143" s="9" t="n">
        <v>0</v>
      </c>
      <c r="L143" s="12" t="n">
        <v>0</v>
      </c>
      <c r="M143" s="12" t="n">
        <v>0</v>
      </c>
      <c r="N143" s="12">
        <f>IF(L143&gt;0,IFERROR(VALUE(LEFT($D143,1)),1),0)</f>
        <v/>
      </c>
      <c r="O143" s="12">
        <f>L143*N143</f>
        <v/>
      </c>
      <c r="P143" s="9">
        <f>K143*O143</f>
        <v/>
      </c>
      <c r="Q143" s="9" t="n">
        <v>0</v>
      </c>
      <c r="R143" s="12" t="n">
        <v>0</v>
      </c>
      <c r="S143" s="12" t="n">
        <v>0</v>
      </c>
      <c r="T143" s="12">
        <f>IF(R143&gt;0,IFERROR(VALUE(LEFT($D143,1)),1),0)</f>
        <v/>
      </c>
      <c r="U143" s="12">
        <f>R143*T143</f>
        <v/>
      </c>
      <c r="V143" s="9">
        <f>Q143*U143</f>
        <v/>
      </c>
      <c r="W143" s="9" t="n">
        <v>0</v>
      </c>
      <c r="X143" s="12" t="n">
        <v>0</v>
      </c>
      <c r="Y143" s="12" t="n">
        <v>0</v>
      </c>
      <c r="Z143" s="12">
        <f>IF(X143&gt;0,IFERROR(VALUE(LEFT($D143,1)),1),0)</f>
        <v/>
      </c>
      <c r="AA143" s="12">
        <f>X143*Z143</f>
        <v/>
      </c>
      <c r="AB143" s="9">
        <f>W143*AA143</f>
        <v/>
      </c>
      <c r="AC143" s="9" t="n">
        <v>120</v>
      </c>
      <c r="AD143" s="12" t="n">
        <v>2</v>
      </c>
      <c r="AE143" s="12" t="n">
        <v>0</v>
      </c>
      <c r="AF143" s="12">
        <f>IF(AD143&gt;0,IFERROR(VALUE(LEFT($D143,1)),1),0)</f>
        <v/>
      </c>
      <c r="AG143" s="12">
        <f>AD143*AF143</f>
        <v/>
      </c>
      <c r="AH143" s="9">
        <f>AC143*AG143</f>
        <v/>
      </c>
      <c r="AI143" s="9" t="n">
        <v>0</v>
      </c>
      <c r="AJ143" s="12" t="n">
        <v>0</v>
      </c>
      <c r="AK143" s="12" t="n">
        <v>0</v>
      </c>
      <c r="AL143" s="12">
        <f>IF(AJ143&gt;0,IFERROR(VALUE(LEFT($D143,1)),1),0)</f>
        <v/>
      </c>
      <c r="AM143" s="12">
        <f>AJ143*AL143</f>
        <v/>
      </c>
      <c r="AN143" s="9">
        <f>AI143*AM143</f>
        <v/>
      </c>
    </row>
    <row r="144">
      <c r="A144" s="12" t="inlineStr">
        <is>
          <t>TK</t>
        </is>
      </c>
      <c r="B144" s="12" t="inlineStr">
        <is>
          <t>TK Klatki piersiowej + jamy brzusznej + miednicy wielofazowe</t>
        </is>
      </c>
      <c r="C144" s="12" t="inlineStr">
        <is>
          <t>TK Onkologia</t>
        </is>
      </c>
      <c r="D144" s="12" t="inlineStr">
        <is>
          <t>3 okolice anatomiczne</t>
        </is>
      </c>
      <c r="E144" s="9" t="n">
        <v>0</v>
      </c>
      <c r="F144" s="12" t="n">
        <v>0</v>
      </c>
      <c r="G144" s="12" t="n">
        <v>0</v>
      </c>
      <c r="H144" s="12">
        <f>IF(F144&gt;0,IFERROR(VALUE(LEFT($D144,1)),1),0)</f>
        <v/>
      </c>
      <c r="I144" s="12">
        <f>F144*H144</f>
        <v/>
      </c>
      <c r="J144" s="9">
        <f>E144*I144</f>
        <v/>
      </c>
      <c r="K144" s="9" t="n">
        <v>0</v>
      </c>
      <c r="L144" s="12" t="n">
        <v>0</v>
      </c>
      <c r="M144" s="12" t="n">
        <v>0</v>
      </c>
      <c r="N144" s="12">
        <f>IF(L144&gt;0,IFERROR(VALUE(LEFT($D144,1)),1),0)</f>
        <v/>
      </c>
      <c r="O144" s="12">
        <f>L144*N144</f>
        <v/>
      </c>
      <c r="P144" s="9">
        <f>K144*O144</f>
        <v/>
      </c>
      <c r="Q144" s="9" t="n">
        <v>0</v>
      </c>
      <c r="R144" s="12" t="n">
        <v>0</v>
      </c>
      <c r="S144" s="12" t="n">
        <v>0</v>
      </c>
      <c r="T144" s="12">
        <f>IF(R144&gt;0,IFERROR(VALUE(LEFT($D144,1)),1),0)</f>
        <v/>
      </c>
      <c r="U144" s="12">
        <f>R144*T144</f>
        <v/>
      </c>
      <c r="V144" s="9">
        <f>Q144*U144</f>
        <v/>
      </c>
      <c r="W144" s="9" t="n">
        <v>0</v>
      </c>
      <c r="X144" s="12" t="n">
        <v>0</v>
      </c>
      <c r="Y144" s="12" t="n">
        <v>0</v>
      </c>
      <c r="Z144" s="12">
        <f>IF(X144&gt;0,IFERROR(VALUE(LEFT($D144,1)),1),0)</f>
        <v/>
      </c>
      <c r="AA144" s="12">
        <f>X144*Z144</f>
        <v/>
      </c>
      <c r="AB144" s="9">
        <f>W144*AA144</f>
        <v/>
      </c>
      <c r="AC144" s="9" t="n">
        <v>120</v>
      </c>
      <c r="AD144" s="12" t="n">
        <v>2</v>
      </c>
      <c r="AE144" s="12" t="n">
        <v>0</v>
      </c>
      <c r="AF144" s="12">
        <f>IF(AD144&gt;0,IFERROR(VALUE(LEFT($D144,1)),1),0)</f>
        <v/>
      </c>
      <c r="AG144" s="12">
        <f>AD144*AF144</f>
        <v/>
      </c>
      <c r="AH144" s="9">
        <f>AC144*AG144</f>
        <v/>
      </c>
      <c r="AI144" s="9" t="n">
        <v>0</v>
      </c>
      <c r="AJ144" s="12" t="n">
        <v>0</v>
      </c>
      <c r="AK144" s="12" t="n">
        <v>0</v>
      </c>
      <c r="AL144" s="12">
        <f>IF(AJ144&gt;0,IFERROR(VALUE(LEFT($D144,1)),1),0)</f>
        <v/>
      </c>
      <c r="AM144" s="12">
        <f>AJ144*AL144</f>
        <v/>
      </c>
      <c r="AN144" s="9">
        <f>AI144*AM144</f>
        <v/>
      </c>
    </row>
    <row r="145">
      <c r="A145" s="12" t="inlineStr">
        <is>
          <t>TK</t>
        </is>
      </c>
      <c r="B145" s="12" t="inlineStr">
        <is>
          <t>TK brzucha z miednicą bez i z kontrastem</t>
        </is>
      </c>
      <c r="C145" s="12" t="inlineStr">
        <is>
          <t>TK Onkologia</t>
        </is>
      </c>
      <c r="D145" s="12" t="inlineStr">
        <is>
          <t>2 okolice anatomiczne</t>
        </is>
      </c>
      <c r="E145" s="9" t="n">
        <v>0</v>
      </c>
      <c r="F145" s="12" t="n">
        <v>0</v>
      </c>
      <c r="G145" s="12" t="n">
        <v>0</v>
      </c>
      <c r="H145" s="12">
        <f>IF(F145&gt;0,IFERROR(VALUE(LEFT($D145,1)),1),0)</f>
        <v/>
      </c>
      <c r="I145" s="12">
        <f>F145*H145</f>
        <v/>
      </c>
      <c r="J145" s="9">
        <f>E145*I145</f>
        <v/>
      </c>
      <c r="K145" s="9" t="n">
        <v>0</v>
      </c>
      <c r="L145" s="12" t="n">
        <v>0</v>
      </c>
      <c r="M145" s="12" t="n">
        <v>0</v>
      </c>
      <c r="N145" s="12">
        <f>IF(L145&gt;0,IFERROR(VALUE(LEFT($D145,1)),1),0)</f>
        <v/>
      </c>
      <c r="O145" s="12">
        <f>L145*N145</f>
        <v/>
      </c>
      <c r="P145" s="9">
        <f>K145*O145</f>
        <v/>
      </c>
      <c r="Q145" s="9" t="n">
        <v>0</v>
      </c>
      <c r="R145" s="12" t="n">
        <v>0</v>
      </c>
      <c r="S145" s="12" t="n">
        <v>0</v>
      </c>
      <c r="T145" s="12">
        <f>IF(R145&gt;0,IFERROR(VALUE(LEFT($D145,1)),1),0)</f>
        <v/>
      </c>
      <c r="U145" s="12">
        <f>R145*T145</f>
        <v/>
      </c>
      <c r="V145" s="9">
        <f>Q145*U145</f>
        <v/>
      </c>
      <c r="W145" s="9" t="n">
        <v>0</v>
      </c>
      <c r="X145" s="12" t="n">
        <v>0</v>
      </c>
      <c r="Y145" s="12" t="n">
        <v>0</v>
      </c>
      <c r="Z145" s="12">
        <f>IF(X145&gt;0,IFERROR(VALUE(LEFT($D145,1)),1),0)</f>
        <v/>
      </c>
      <c r="AA145" s="12">
        <f>X145*Z145</f>
        <v/>
      </c>
      <c r="AB145" s="9">
        <f>W145*AA145</f>
        <v/>
      </c>
      <c r="AC145" s="9" t="n">
        <v>120</v>
      </c>
      <c r="AD145" s="12" t="n">
        <v>1</v>
      </c>
      <c r="AE145" s="12" t="n">
        <v>0</v>
      </c>
      <c r="AF145" s="12">
        <f>IF(AD145&gt;0,IFERROR(VALUE(LEFT($D145,1)),1),0)</f>
        <v/>
      </c>
      <c r="AG145" s="12">
        <f>AD145*AF145</f>
        <v/>
      </c>
      <c r="AH145" s="9">
        <f>AC145*AG145</f>
        <v/>
      </c>
      <c r="AI145" s="9" t="n">
        <v>0</v>
      </c>
      <c r="AJ145" s="12" t="n">
        <v>0</v>
      </c>
      <c r="AK145" s="12" t="n">
        <v>0</v>
      </c>
      <c r="AL145" s="12">
        <f>IF(AJ145&gt;0,IFERROR(VALUE(LEFT($D145,1)),1),0)</f>
        <v/>
      </c>
      <c r="AM145" s="12">
        <f>AJ145*AL145</f>
        <v/>
      </c>
      <c r="AN145" s="9">
        <f>AI145*AM145</f>
        <v/>
      </c>
    </row>
    <row r="146">
      <c r="A146" s="12" t="inlineStr">
        <is>
          <t>TK</t>
        </is>
      </c>
      <c r="B146" s="12" t="inlineStr">
        <is>
          <t>TK głowy, klatki piersiowej, jamy brzusznej i miednicy wielofazowe</t>
        </is>
      </c>
      <c r="C146" s="12" t="inlineStr">
        <is>
          <t>TK Onkologia</t>
        </is>
      </c>
      <c r="D146" s="12" t="inlineStr">
        <is>
          <t>4 okolice anatomiczne</t>
        </is>
      </c>
      <c r="E146" s="9" t="n">
        <v>0</v>
      </c>
      <c r="F146" s="12" t="n">
        <v>0</v>
      </c>
      <c r="G146" s="12" t="n">
        <v>0</v>
      </c>
      <c r="H146" s="12">
        <f>IF(F146&gt;0,IFERROR(VALUE(LEFT($D146,1)),1),0)</f>
        <v/>
      </c>
      <c r="I146" s="12">
        <f>F146*H146</f>
        <v/>
      </c>
      <c r="J146" s="9">
        <f>E146*I146</f>
        <v/>
      </c>
      <c r="K146" s="9" t="n">
        <v>0</v>
      </c>
      <c r="L146" s="12" t="n">
        <v>0</v>
      </c>
      <c r="M146" s="12" t="n">
        <v>0</v>
      </c>
      <c r="N146" s="12">
        <f>IF(L146&gt;0,IFERROR(VALUE(LEFT($D146,1)),1),0)</f>
        <v/>
      </c>
      <c r="O146" s="12">
        <f>L146*N146</f>
        <v/>
      </c>
      <c r="P146" s="9">
        <f>K146*O146</f>
        <v/>
      </c>
      <c r="Q146" s="9" t="n">
        <v>0</v>
      </c>
      <c r="R146" s="12" t="n">
        <v>0</v>
      </c>
      <c r="S146" s="12" t="n">
        <v>0</v>
      </c>
      <c r="T146" s="12">
        <f>IF(R146&gt;0,IFERROR(VALUE(LEFT($D146,1)),1),0)</f>
        <v/>
      </c>
      <c r="U146" s="12">
        <f>R146*T146</f>
        <v/>
      </c>
      <c r="V146" s="9">
        <f>Q146*U146</f>
        <v/>
      </c>
      <c r="W146" s="9" t="n">
        <v>0</v>
      </c>
      <c r="X146" s="12" t="n">
        <v>0</v>
      </c>
      <c r="Y146" s="12" t="n">
        <v>0</v>
      </c>
      <c r="Z146" s="12">
        <f>IF(X146&gt;0,IFERROR(VALUE(LEFT($D146,1)),1),0)</f>
        <v/>
      </c>
      <c r="AA146" s="12">
        <f>X146*Z146</f>
        <v/>
      </c>
      <c r="AB146" s="9">
        <f>W146*AA146</f>
        <v/>
      </c>
      <c r="AC146" s="9" t="n">
        <v>120</v>
      </c>
      <c r="AD146" s="12" t="n">
        <v>1</v>
      </c>
      <c r="AE146" s="12" t="n">
        <v>4</v>
      </c>
      <c r="AF146" s="12">
        <f>IF(AD146&gt;0,IFERROR(VALUE(LEFT($D146,1)),1),0)</f>
        <v/>
      </c>
      <c r="AG146" s="12">
        <f>AD146*AF146</f>
        <v/>
      </c>
      <c r="AH146" s="9">
        <f>AC146*AG146</f>
        <v/>
      </c>
      <c r="AI146" s="9" t="n">
        <v>0</v>
      </c>
      <c r="AJ146" s="12" t="n">
        <v>0</v>
      </c>
      <c r="AK146" s="12" t="n">
        <v>0</v>
      </c>
      <c r="AL146" s="12">
        <f>IF(AJ146&gt;0,IFERROR(VALUE(LEFT($D146,1)),1),0)</f>
        <v/>
      </c>
      <c r="AM146" s="12">
        <f>AJ146*AL146</f>
        <v/>
      </c>
      <c r="AN146" s="9">
        <f>AI146*AM146</f>
        <v/>
      </c>
    </row>
    <row r="147">
      <c r="A147" s="12" t="inlineStr">
        <is>
          <t>TK</t>
        </is>
      </c>
      <c r="B147" s="12" t="inlineStr">
        <is>
          <t>TK j.brzusznej i miednicy -badanie wielofazowe</t>
        </is>
      </c>
      <c r="C147" s="12" t="inlineStr">
        <is>
          <t>TK Onkologia</t>
        </is>
      </c>
      <c r="D147" s="12" t="inlineStr">
        <is>
          <t>2 okolice anatomiczne</t>
        </is>
      </c>
      <c r="E147" s="9" t="n">
        <v>0</v>
      </c>
      <c r="F147" s="12" t="n">
        <v>0</v>
      </c>
      <c r="G147" s="12" t="n">
        <v>0</v>
      </c>
      <c r="H147" s="12">
        <f>IF(F147&gt;0,IFERROR(VALUE(LEFT($D147,1)),1),0)</f>
        <v/>
      </c>
      <c r="I147" s="12">
        <f>F147*H147</f>
        <v/>
      </c>
      <c r="J147" s="9">
        <f>E147*I147</f>
        <v/>
      </c>
      <c r="K147" s="9" t="n">
        <v>0</v>
      </c>
      <c r="L147" s="12" t="n">
        <v>0</v>
      </c>
      <c r="M147" s="12" t="n">
        <v>0</v>
      </c>
      <c r="N147" s="12">
        <f>IF(L147&gt;0,IFERROR(VALUE(LEFT($D147,1)),1),0)</f>
        <v/>
      </c>
      <c r="O147" s="12">
        <f>L147*N147</f>
        <v/>
      </c>
      <c r="P147" s="9">
        <f>K147*O147</f>
        <v/>
      </c>
      <c r="Q147" s="9" t="n">
        <v>0</v>
      </c>
      <c r="R147" s="12" t="n">
        <v>0</v>
      </c>
      <c r="S147" s="12" t="n">
        <v>0</v>
      </c>
      <c r="T147" s="12">
        <f>IF(R147&gt;0,IFERROR(VALUE(LEFT($D147,1)),1),0)</f>
        <v/>
      </c>
      <c r="U147" s="12">
        <f>R147*T147</f>
        <v/>
      </c>
      <c r="V147" s="9">
        <f>Q147*U147</f>
        <v/>
      </c>
      <c r="W147" s="9" t="n">
        <v>0</v>
      </c>
      <c r="X147" s="12" t="n">
        <v>0</v>
      </c>
      <c r="Y147" s="12" t="n">
        <v>0</v>
      </c>
      <c r="Z147" s="12">
        <f>IF(X147&gt;0,IFERROR(VALUE(LEFT($D147,1)),1),0)</f>
        <v/>
      </c>
      <c r="AA147" s="12">
        <f>X147*Z147</f>
        <v/>
      </c>
      <c r="AB147" s="9">
        <f>W147*AA147</f>
        <v/>
      </c>
      <c r="AC147" s="9" t="n">
        <v>120</v>
      </c>
      <c r="AD147" s="12" t="n">
        <v>1</v>
      </c>
      <c r="AE147" s="12" t="n">
        <v>2</v>
      </c>
      <c r="AF147" s="12">
        <f>IF(AD147&gt;0,IFERROR(VALUE(LEFT($D147,1)),1),0)</f>
        <v/>
      </c>
      <c r="AG147" s="12">
        <f>AD147*AF147</f>
        <v/>
      </c>
      <c r="AH147" s="9">
        <f>AC147*AG147</f>
        <v/>
      </c>
      <c r="AI147" s="9" t="n">
        <v>0</v>
      </c>
      <c r="AJ147" s="12" t="n">
        <v>0</v>
      </c>
      <c r="AK147" s="12" t="n">
        <v>0</v>
      </c>
      <c r="AL147" s="12">
        <f>IF(AJ147&gt;0,IFERROR(VALUE(LEFT($D147,1)),1),0)</f>
        <v/>
      </c>
      <c r="AM147" s="12">
        <f>AJ147*AL147</f>
        <v/>
      </c>
      <c r="AN147" s="9">
        <f>AI147*AM147</f>
        <v/>
      </c>
    </row>
    <row r="148">
      <c r="A148" s="12" t="inlineStr">
        <is>
          <t>TK</t>
        </is>
      </c>
      <c r="B148" s="12" t="inlineStr">
        <is>
          <t>TK j.brzusznej i miednicy z kontrastem</t>
        </is>
      </c>
      <c r="C148" s="12" t="inlineStr">
        <is>
          <t>TK Onkologia</t>
        </is>
      </c>
      <c r="D148" s="12" t="inlineStr">
        <is>
          <t>2 okolice anatomiczne</t>
        </is>
      </c>
      <c r="E148" s="9" t="n">
        <v>0</v>
      </c>
      <c r="F148" s="12" t="n">
        <v>0</v>
      </c>
      <c r="G148" s="12" t="n">
        <v>0</v>
      </c>
      <c r="H148" s="12">
        <f>IF(F148&gt;0,IFERROR(VALUE(LEFT($D148,1)),1),0)</f>
        <v/>
      </c>
      <c r="I148" s="12">
        <f>F148*H148</f>
        <v/>
      </c>
      <c r="J148" s="9">
        <f>E148*I148</f>
        <v/>
      </c>
      <c r="K148" s="9" t="n">
        <v>0</v>
      </c>
      <c r="L148" s="12" t="n">
        <v>0</v>
      </c>
      <c r="M148" s="12" t="n">
        <v>0</v>
      </c>
      <c r="N148" s="12">
        <f>IF(L148&gt;0,IFERROR(VALUE(LEFT($D148,1)),1),0)</f>
        <v/>
      </c>
      <c r="O148" s="12">
        <f>L148*N148</f>
        <v/>
      </c>
      <c r="P148" s="9">
        <f>K148*O148</f>
        <v/>
      </c>
      <c r="Q148" s="9" t="n">
        <v>0</v>
      </c>
      <c r="R148" s="12" t="n">
        <v>0</v>
      </c>
      <c r="S148" s="12" t="n">
        <v>0</v>
      </c>
      <c r="T148" s="12">
        <f>IF(R148&gt;0,IFERROR(VALUE(LEFT($D148,1)),1),0)</f>
        <v/>
      </c>
      <c r="U148" s="12">
        <f>R148*T148</f>
        <v/>
      </c>
      <c r="V148" s="9">
        <f>Q148*U148</f>
        <v/>
      </c>
      <c r="W148" s="9" t="n">
        <v>0</v>
      </c>
      <c r="X148" s="12" t="n">
        <v>0</v>
      </c>
      <c r="Y148" s="12" t="n">
        <v>0</v>
      </c>
      <c r="Z148" s="12">
        <f>IF(X148&gt;0,IFERROR(VALUE(LEFT($D148,1)),1),0)</f>
        <v/>
      </c>
      <c r="AA148" s="12">
        <f>X148*Z148</f>
        <v/>
      </c>
      <c r="AB148" s="9">
        <f>W148*AA148</f>
        <v/>
      </c>
      <c r="AC148" s="9" t="n">
        <v>120</v>
      </c>
      <c r="AD148" s="12" t="n">
        <v>1</v>
      </c>
      <c r="AE148" s="12" t="n">
        <v>2</v>
      </c>
      <c r="AF148" s="12">
        <f>IF(AD148&gt;0,IFERROR(VALUE(LEFT($D148,1)),1),0)</f>
        <v/>
      </c>
      <c r="AG148" s="12">
        <f>AD148*AF148</f>
        <v/>
      </c>
      <c r="AH148" s="9">
        <f>AC148*AG148</f>
        <v/>
      </c>
      <c r="AI148" s="9" t="n">
        <v>0</v>
      </c>
      <c r="AJ148" s="12" t="n">
        <v>0</v>
      </c>
      <c r="AK148" s="12" t="n">
        <v>0</v>
      </c>
      <c r="AL148" s="12">
        <f>IF(AJ148&gt;0,IFERROR(VALUE(LEFT($D148,1)),1),0)</f>
        <v/>
      </c>
      <c r="AM148" s="12">
        <f>AJ148*AL148</f>
        <v/>
      </c>
      <c r="AN148" s="9">
        <f>AI148*AM148</f>
        <v/>
      </c>
    </row>
    <row r="149">
      <c r="A149" s="12" t="inlineStr">
        <is>
          <t>TK</t>
        </is>
      </c>
      <c r="B149" s="12" t="inlineStr">
        <is>
          <t>TK jamy brzusznej lub miednicy małej bez i ze wzmocnieniem kontrastowym; TK klatki piersiowej bez i ze wzmocnieniem kontrastowym</t>
        </is>
      </c>
      <c r="C149" s="12" t="inlineStr">
        <is>
          <t>TK Onkologia</t>
        </is>
      </c>
      <c r="D149" s="12" t="inlineStr">
        <is>
          <t>3 okolice anatomiczne</t>
        </is>
      </c>
      <c r="E149" s="9" t="n">
        <v>0</v>
      </c>
      <c r="F149" s="12" t="n">
        <v>0</v>
      </c>
      <c r="G149" s="12" t="n">
        <v>0</v>
      </c>
      <c r="H149" s="12">
        <f>IF(F149&gt;0,IFERROR(VALUE(LEFT($D149,1)),1),0)</f>
        <v/>
      </c>
      <c r="I149" s="12">
        <f>F149*H149</f>
        <v/>
      </c>
      <c r="J149" s="9">
        <f>E149*I149</f>
        <v/>
      </c>
      <c r="K149" s="9" t="n">
        <v>0</v>
      </c>
      <c r="L149" s="12" t="n">
        <v>0</v>
      </c>
      <c r="M149" s="12" t="n">
        <v>0</v>
      </c>
      <c r="N149" s="12">
        <f>IF(L149&gt;0,IFERROR(VALUE(LEFT($D149,1)),1),0)</f>
        <v/>
      </c>
      <c r="O149" s="12">
        <f>L149*N149</f>
        <v/>
      </c>
      <c r="P149" s="9">
        <f>K149*O149</f>
        <v/>
      </c>
      <c r="Q149" s="9" t="n">
        <v>0</v>
      </c>
      <c r="R149" s="12" t="n">
        <v>0</v>
      </c>
      <c r="S149" s="12" t="n">
        <v>0</v>
      </c>
      <c r="T149" s="12">
        <f>IF(R149&gt;0,IFERROR(VALUE(LEFT($D149,1)),1),0)</f>
        <v/>
      </c>
      <c r="U149" s="12">
        <f>R149*T149</f>
        <v/>
      </c>
      <c r="V149" s="9">
        <f>Q149*U149</f>
        <v/>
      </c>
      <c r="W149" s="9" t="n">
        <v>0</v>
      </c>
      <c r="X149" s="12" t="n">
        <v>0</v>
      </c>
      <c r="Y149" s="12" t="n">
        <v>0</v>
      </c>
      <c r="Z149" s="12">
        <f>IF(X149&gt;0,IFERROR(VALUE(LEFT($D149,1)),1),0)</f>
        <v/>
      </c>
      <c r="AA149" s="12">
        <f>X149*Z149</f>
        <v/>
      </c>
      <c r="AB149" s="9">
        <f>W149*AA149</f>
        <v/>
      </c>
      <c r="AC149" s="9" t="n">
        <v>120</v>
      </c>
      <c r="AD149" s="12" t="n">
        <v>1</v>
      </c>
      <c r="AE149" s="12" t="n">
        <v>3</v>
      </c>
      <c r="AF149" s="12">
        <f>IF(AD149&gt;0,IFERROR(VALUE(LEFT($D149,1)),1),0)</f>
        <v/>
      </c>
      <c r="AG149" s="12">
        <f>AD149*AF149</f>
        <v/>
      </c>
      <c r="AH149" s="9">
        <f>AC149*AG149</f>
        <v/>
      </c>
      <c r="AI149" s="9" t="n">
        <v>0</v>
      </c>
      <c r="AJ149" s="12" t="n">
        <v>0</v>
      </c>
      <c r="AK149" s="12" t="n">
        <v>0</v>
      </c>
      <c r="AL149" s="12">
        <f>IF(AJ149&gt;0,IFERROR(VALUE(LEFT($D149,1)),1),0)</f>
        <v/>
      </c>
      <c r="AM149" s="12">
        <f>AJ149*AL149</f>
        <v/>
      </c>
      <c r="AN149" s="9">
        <f>AI149*AM149</f>
        <v/>
      </c>
    </row>
    <row r="150">
      <c r="A150" s="12" t="inlineStr">
        <is>
          <t>TK</t>
        </is>
      </c>
      <c r="B150" s="12" t="inlineStr">
        <is>
          <t>TK kl. piersiowej + jamy brzusznej  +miednicy (z kontrastem)</t>
        </is>
      </c>
      <c r="C150" s="12" t="inlineStr">
        <is>
          <t>TK Onkologia</t>
        </is>
      </c>
      <c r="D150" s="12" t="inlineStr">
        <is>
          <t>3 okolice anatomiczne</t>
        </is>
      </c>
      <c r="E150" s="9" t="n">
        <v>0</v>
      </c>
      <c r="F150" s="12" t="n">
        <v>0</v>
      </c>
      <c r="G150" s="12" t="n">
        <v>0</v>
      </c>
      <c r="H150" s="12">
        <f>IF(F150&gt;0,IFERROR(VALUE(LEFT($D150,1)),1),0)</f>
        <v/>
      </c>
      <c r="I150" s="12">
        <f>F150*H150</f>
        <v/>
      </c>
      <c r="J150" s="9">
        <f>E150*I150</f>
        <v/>
      </c>
      <c r="K150" s="9" t="n">
        <v>0</v>
      </c>
      <c r="L150" s="12" t="n">
        <v>0</v>
      </c>
      <c r="M150" s="12" t="n">
        <v>0</v>
      </c>
      <c r="N150" s="12">
        <f>IF(L150&gt;0,IFERROR(VALUE(LEFT($D150,1)),1),0)</f>
        <v/>
      </c>
      <c r="O150" s="12">
        <f>L150*N150</f>
        <v/>
      </c>
      <c r="P150" s="9">
        <f>K150*O150</f>
        <v/>
      </c>
      <c r="Q150" s="9" t="n">
        <v>0</v>
      </c>
      <c r="R150" s="12" t="n">
        <v>0</v>
      </c>
      <c r="S150" s="12" t="n">
        <v>0</v>
      </c>
      <c r="T150" s="12">
        <f>IF(R150&gt;0,IFERROR(VALUE(LEFT($D150,1)),1),0)</f>
        <v/>
      </c>
      <c r="U150" s="12">
        <f>R150*T150</f>
        <v/>
      </c>
      <c r="V150" s="9">
        <f>Q150*U150</f>
        <v/>
      </c>
      <c r="W150" s="9" t="n">
        <v>0</v>
      </c>
      <c r="X150" s="12" t="n">
        <v>0</v>
      </c>
      <c r="Y150" s="12" t="n">
        <v>0</v>
      </c>
      <c r="Z150" s="12">
        <f>IF(X150&gt;0,IFERROR(VALUE(LEFT($D150,1)),1),0)</f>
        <v/>
      </c>
      <c r="AA150" s="12">
        <f>X150*Z150</f>
        <v/>
      </c>
      <c r="AB150" s="9">
        <f>W150*AA150</f>
        <v/>
      </c>
      <c r="AC150" s="9" t="n">
        <v>120</v>
      </c>
      <c r="AD150" s="12" t="n">
        <v>1</v>
      </c>
      <c r="AE150" s="12" t="n">
        <v>0</v>
      </c>
      <c r="AF150" s="12">
        <f>IF(AD150&gt;0,IFERROR(VALUE(LEFT($D150,1)),1),0)</f>
        <v/>
      </c>
      <c r="AG150" s="12">
        <f>AD150*AF150</f>
        <v/>
      </c>
      <c r="AH150" s="9">
        <f>AC150*AG150</f>
        <v/>
      </c>
      <c r="AI150" s="9" t="n">
        <v>0</v>
      </c>
      <c r="AJ150" s="12" t="n">
        <v>0</v>
      </c>
      <c r="AK150" s="12" t="n">
        <v>0</v>
      </c>
      <c r="AL150" s="12">
        <f>IF(AJ150&gt;0,IFERROR(VALUE(LEFT($D150,1)),1),0)</f>
        <v/>
      </c>
      <c r="AM150" s="12">
        <f>AJ150*AL150</f>
        <v/>
      </c>
      <c r="AN150" s="9">
        <f>AI150*AM150</f>
        <v/>
      </c>
    </row>
    <row r="151">
      <c r="A151" s="12" t="inlineStr">
        <is>
          <t>TK</t>
        </is>
      </c>
      <c r="B151" s="12" t="inlineStr">
        <is>
          <t>TK klatki piersiowej z kontrastem</t>
        </is>
      </c>
      <c r="C151" s="12" t="inlineStr">
        <is>
          <t>TK Onkologia</t>
        </is>
      </c>
      <c r="D151" s="12" t="inlineStr">
        <is>
          <t>1 okolica anatomiczna</t>
        </is>
      </c>
      <c r="E151" s="9" t="n">
        <v>0</v>
      </c>
      <c r="F151" s="12" t="n">
        <v>0</v>
      </c>
      <c r="G151" s="12" t="n">
        <v>0</v>
      </c>
      <c r="H151" s="12">
        <f>IF(F151&gt;0,IFERROR(VALUE(LEFT($D151,1)),1),0)</f>
        <v/>
      </c>
      <c r="I151" s="12">
        <f>F151*H151</f>
        <v/>
      </c>
      <c r="J151" s="9">
        <f>E151*I151</f>
        <v/>
      </c>
      <c r="K151" s="9" t="n">
        <v>0</v>
      </c>
      <c r="L151" s="12" t="n">
        <v>0</v>
      </c>
      <c r="M151" s="12" t="n">
        <v>0</v>
      </c>
      <c r="N151" s="12">
        <f>IF(L151&gt;0,IFERROR(VALUE(LEFT($D151,1)),1),0)</f>
        <v/>
      </c>
      <c r="O151" s="12">
        <f>L151*N151</f>
        <v/>
      </c>
      <c r="P151" s="9">
        <f>K151*O151</f>
        <v/>
      </c>
      <c r="Q151" s="9" t="n">
        <v>0</v>
      </c>
      <c r="R151" s="12" t="n">
        <v>0</v>
      </c>
      <c r="S151" s="12" t="n">
        <v>0</v>
      </c>
      <c r="T151" s="12">
        <f>IF(R151&gt;0,IFERROR(VALUE(LEFT($D151,1)),1),0)</f>
        <v/>
      </c>
      <c r="U151" s="12">
        <f>R151*T151</f>
        <v/>
      </c>
      <c r="V151" s="9">
        <f>Q151*U151</f>
        <v/>
      </c>
      <c r="W151" s="9" t="n">
        <v>0</v>
      </c>
      <c r="X151" s="12" t="n">
        <v>0</v>
      </c>
      <c r="Y151" s="12" t="n">
        <v>0</v>
      </c>
      <c r="Z151" s="12">
        <f>IF(X151&gt;0,IFERROR(VALUE(LEFT($D151,1)),1),0)</f>
        <v/>
      </c>
      <c r="AA151" s="12">
        <f>X151*Z151</f>
        <v/>
      </c>
      <c r="AB151" s="9">
        <f>W151*AA151</f>
        <v/>
      </c>
      <c r="AC151" s="9" t="n">
        <v>120</v>
      </c>
      <c r="AD151" s="12" t="n">
        <v>2</v>
      </c>
      <c r="AE151" s="12" t="n">
        <v>1</v>
      </c>
      <c r="AF151" s="12">
        <f>IF(AD151&gt;0,IFERROR(VALUE(LEFT($D151,1)),1),0)</f>
        <v/>
      </c>
      <c r="AG151" s="12">
        <f>AD151*AF151</f>
        <v/>
      </c>
      <c r="AH151" s="9">
        <f>AC151*AG151</f>
        <v/>
      </c>
      <c r="AI151" s="9" t="n">
        <v>110</v>
      </c>
      <c r="AJ151" s="12" t="n">
        <v>2</v>
      </c>
      <c r="AK151" s="12" t="n">
        <v>1</v>
      </c>
      <c r="AL151" s="12">
        <f>IF(AJ151&gt;0,IFERROR(VALUE(LEFT($D151,1)),1),0)</f>
        <v/>
      </c>
      <c r="AM151" s="12">
        <f>AJ151*AL151</f>
        <v/>
      </c>
      <c r="AN151" s="9">
        <f>AI151*AM151</f>
        <v/>
      </c>
    </row>
    <row r="152">
      <c r="A152" s="12" t="inlineStr">
        <is>
          <t>TK</t>
        </is>
      </c>
      <c r="B152" s="12" t="inlineStr">
        <is>
          <t>TK klatki piersiowej, j.brzusznej i miednicy</t>
        </is>
      </c>
      <c r="C152" s="12" t="inlineStr">
        <is>
          <t>TK Onkologia</t>
        </is>
      </c>
      <c r="D152" s="12" t="inlineStr">
        <is>
          <t>3 okolice anatomiczne</t>
        </is>
      </c>
      <c r="E152" s="9" t="n">
        <v>0</v>
      </c>
      <c r="F152" s="12" t="n">
        <v>0</v>
      </c>
      <c r="G152" s="12" t="n">
        <v>0</v>
      </c>
      <c r="H152" s="12">
        <f>IF(F152&gt;0,IFERROR(VALUE(LEFT($D152,1)),1),0)</f>
        <v/>
      </c>
      <c r="I152" s="12">
        <f>F152*H152</f>
        <v/>
      </c>
      <c r="J152" s="9">
        <f>E152*I152</f>
        <v/>
      </c>
      <c r="K152" s="9" t="n">
        <v>0</v>
      </c>
      <c r="L152" s="12" t="n">
        <v>0</v>
      </c>
      <c r="M152" s="12" t="n">
        <v>0</v>
      </c>
      <c r="N152" s="12">
        <f>IF(L152&gt;0,IFERROR(VALUE(LEFT($D152,1)),1),0)</f>
        <v/>
      </c>
      <c r="O152" s="12">
        <f>L152*N152</f>
        <v/>
      </c>
      <c r="P152" s="9">
        <f>K152*O152</f>
        <v/>
      </c>
      <c r="Q152" s="9" t="n">
        <v>0</v>
      </c>
      <c r="R152" s="12" t="n">
        <v>0</v>
      </c>
      <c r="S152" s="12" t="n">
        <v>0</v>
      </c>
      <c r="T152" s="12">
        <f>IF(R152&gt;0,IFERROR(VALUE(LEFT($D152,1)),1),0)</f>
        <v/>
      </c>
      <c r="U152" s="12">
        <f>R152*T152</f>
        <v/>
      </c>
      <c r="V152" s="9">
        <f>Q152*U152</f>
        <v/>
      </c>
      <c r="W152" s="9" t="n">
        <v>0</v>
      </c>
      <c r="X152" s="12" t="n">
        <v>0</v>
      </c>
      <c r="Y152" s="12" t="n">
        <v>0</v>
      </c>
      <c r="Z152" s="12">
        <f>IF(X152&gt;0,IFERROR(VALUE(LEFT($D152,1)),1),0)</f>
        <v/>
      </c>
      <c r="AA152" s="12">
        <f>X152*Z152</f>
        <v/>
      </c>
      <c r="AB152" s="9">
        <f>W152*AA152</f>
        <v/>
      </c>
      <c r="AC152" s="9" t="n">
        <v>120</v>
      </c>
      <c r="AD152" s="12" t="n">
        <v>1</v>
      </c>
      <c r="AE152" s="12" t="n">
        <v>0</v>
      </c>
      <c r="AF152" s="12">
        <f>IF(AD152&gt;0,IFERROR(VALUE(LEFT($D152,1)),1),0)</f>
        <v/>
      </c>
      <c r="AG152" s="12">
        <f>AD152*AF152</f>
        <v/>
      </c>
      <c r="AH152" s="9">
        <f>AC152*AG152</f>
        <v/>
      </c>
      <c r="AI152" s="9" t="n">
        <v>0</v>
      </c>
      <c r="AJ152" s="12" t="n">
        <v>0</v>
      </c>
      <c r="AK152" s="12" t="n">
        <v>0</v>
      </c>
      <c r="AL152" s="12">
        <f>IF(AJ152&gt;0,IFERROR(VALUE(LEFT($D152,1)),1),0)</f>
        <v/>
      </c>
      <c r="AM152" s="12">
        <f>AJ152*AL152</f>
        <v/>
      </c>
      <c r="AN152" s="9">
        <f>AI152*AM152</f>
        <v/>
      </c>
    </row>
    <row r="153">
      <c r="A153" s="12" t="inlineStr">
        <is>
          <t>TK</t>
        </is>
      </c>
      <c r="B153" s="12" t="inlineStr">
        <is>
          <t>TK klp.,  j.b.  przed i po podaniu i.v. kontrastu /88.012 BK/</t>
        </is>
      </c>
      <c r="C153" s="12" t="inlineStr">
        <is>
          <t>TK Onkologia</t>
        </is>
      </c>
      <c r="D153" s="12" t="inlineStr">
        <is>
          <t>3 okolice anatomiczne</t>
        </is>
      </c>
      <c r="E153" s="9" t="n">
        <v>0</v>
      </c>
      <c r="F153" s="12" t="n">
        <v>0</v>
      </c>
      <c r="G153" s="12" t="n">
        <v>0</v>
      </c>
      <c r="H153" s="12">
        <f>IF(F153&gt;0,IFERROR(VALUE(LEFT($D153,1)),1),0)</f>
        <v/>
      </c>
      <c r="I153" s="12">
        <f>F153*H153</f>
        <v/>
      </c>
      <c r="J153" s="9">
        <f>E153*I153</f>
        <v/>
      </c>
      <c r="K153" s="9" t="n">
        <v>0</v>
      </c>
      <c r="L153" s="12" t="n">
        <v>0</v>
      </c>
      <c r="M153" s="12" t="n">
        <v>0</v>
      </c>
      <c r="N153" s="12">
        <f>IF(L153&gt;0,IFERROR(VALUE(LEFT($D153,1)),1),0)</f>
        <v/>
      </c>
      <c r="O153" s="12">
        <f>L153*N153</f>
        <v/>
      </c>
      <c r="P153" s="9">
        <f>K153*O153</f>
        <v/>
      </c>
      <c r="Q153" s="9" t="n">
        <v>0</v>
      </c>
      <c r="R153" s="12" t="n">
        <v>0</v>
      </c>
      <c r="S153" s="12" t="n">
        <v>0</v>
      </c>
      <c r="T153" s="12">
        <f>IF(R153&gt;0,IFERROR(VALUE(LEFT($D153,1)),1),0)</f>
        <v/>
      </c>
      <c r="U153" s="12">
        <f>R153*T153</f>
        <v/>
      </c>
      <c r="V153" s="9">
        <f>Q153*U153</f>
        <v/>
      </c>
      <c r="W153" s="9" t="n">
        <v>0</v>
      </c>
      <c r="X153" s="12" t="n">
        <v>0</v>
      </c>
      <c r="Y153" s="12" t="n">
        <v>0</v>
      </c>
      <c r="Z153" s="12">
        <f>IF(X153&gt;0,IFERROR(VALUE(LEFT($D153,1)),1),0)</f>
        <v/>
      </c>
      <c r="AA153" s="12">
        <f>X153*Z153</f>
        <v/>
      </c>
      <c r="AB153" s="9">
        <f>W153*AA153</f>
        <v/>
      </c>
      <c r="AC153" s="9" t="n">
        <v>120</v>
      </c>
      <c r="AD153" s="12" t="n">
        <v>1</v>
      </c>
      <c r="AE153" s="12" t="n">
        <v>3</v>
      </c>
      <c r="AF153" s="12">
        <f>IF(AD153&gt;0,IFERROR(VALUE(LEFT($D153,1)),1),0)</f>
        <v/>
      </c>
      <c r="AG153" s="12">
        <f>AD153*AF153</f>
        <v/>
      </c>
      <c r="AH153" s="9">
        <f>AC153*AG153</f>
        <v/>
      </c>
      <c r="AI153" s="9" t="n">
        <v>0</v>
      </c>
      <c r="AJ153" s="12" t="n">
        <v>0</v>
      </c>
      <c r="AK153" s="12" t="n">
        <v>0</v>
      </c>
      <c r="AL153" s="12">
        <f>IF(AJ153&gt;0,IFERROR(VALUE(LEFT($D153,1)),1),0)</f>
        <v/>
      </c>
      <c r="AM153" s="12">
        <f>AJ153*AL153</f>
        <v/>
      </c>
      <c r="AN153" s="9">
        <f>AI153*AM153</f>
        <v/>
      </c>
    </row>
    <row r="154">
      <c r="A154" s="12" t="inlineStr">
        <is>
          <t>TK</t>
        </is>
      </c>
      <c r="B154" s="12" t="inlineStr">
        <is>
          <t>TK szyi z konrastem</t>
        </is>
      </c>
      <c r="C154" s="12" t="inlineStr">
        <is>
          <t>TK Onkologia</t>
        </is>
      </c>
      <c r="D154" s="12" t="inlineStr">
        <is>
          <t>2 okolice anatomiczne</t>
        </is>
      </c>
      <c r="E154" s="9" t="n">
        <v>0</v>
      </c>
      <c r="F154" s="12" t="n">
        <v>0</v>
      </c>
      <c r="G154" s="12" t="n">
        <v>0</v>
      </c>
      <c r="H154" s="12">
        <f>IF(F154&gt;0,IFERROR(VALUE(LEFT($D154,1)),1),0)</f>
        <v/>
      </c>
      <c r="I154" s="12">
        <f>F154*H154</f>
        <v/>
      </c>
      <c r="J154" s="9">
        <f>E154*I154</f>
        <v/>
      </c>
      <c r="K154" s="9" t="n">
        <v>0</v>
      </c>
      <c r="L154" s="12" t="n">
        <v>0</v>
      </c>
      <c r="M154" s="12" t="n">
        <v>0</v>
      </c>
      <c r="N154" s="12">
        <f>IF(L154&gt;0,IFERROR(VALUE(LEFT($D154,1)),1),0)</f>
        <v/>
      </c>
      <c r="O154" s="12">
        <f>L154*N154</f>
        <v/>
      </c>
      <c r="P154" s="9">
        <f>K154*O154</f>
        <v/>
      </c>
      <c r="Q154" s="9" t="n">
        <v>0</v>
      </c>
      <c r="R154" s="12" t="n">
        <v>0</v>
      </c>
      <c r="S154" s="12" t="n">
        <v>0</v>
      </c>
      <c r="T154" s="12">
        <f>IF(R154&gt;0,IFERROR(VALUE(LEFT($D154,1)),1),0)</f>
        <v/>
      </c>
      <c r="U154" s="12">
        <f>R154*T154</f>
        <v/>
      </c>
      <c r="V154" s="9">
        <f>Q154*U154</f>
        <v/>
      </c>
      <c r="W154" s="9" t="n">
        <v>0</v>
      </c>
      <c r="X154" s="12" t="n">
        <v>0</v>
      </c>
      <c r="Y154" s="12" t="n">
        <v>0</v>
      </c>
      <c r="Z154" s="12">
        <f>IF(X154&gt;0,IFERROR(VALUE(LEFT($D154,1)),1),0)</f>
        <v/>
      </c>
      <c r="AA154" s="12">
        <f>X154*Z154</f>
        <v/>
      </c>
      <c r="AB154" s="9">
        <f>W154*AA154</f>
        <v/>
      </c>
      <c r="AC154" s="9" t="n">
        <v>120</v>
      </c>
      <c r="AD154" s="12" t="n">
        <v>1</v>
      </c>
      <c r="AE154" s="12" t="n">
        <v>0</v>
      </c>
      <c r="AF154" s="12">
        <f>IF(AD154&gt;0,IFERROR(VALUE(LEFT($D154,1)),1),0)</f>
        <v/>
      </c>
      <c r="AG154" s="12">
        <f>AD154*AF154</f>
        <v/>
      </c>
      <c r="AH154" s="9">
        <f>AC154*AG154</f>
        <v/>
      </c>
      <c r="AI154" s="9" t="n">
        <v>0</v>
      </c>
      <c r="AJ154" s="12" t="n">
        <v>0</v>
      </c>
      <c r="AK154" s="12" t="n">
        <v>0</v>
      </c>
      <c r="AL154" s="12">
        <f>IF(AJ154&gt;0,IFERROR(VALUE(LEFT($D154,1)),1),0)</f>
        <v/>
      </c>
      <c r="AM154" s="12">
        <f>AJ154*AL154</f>
        <v/>
      </c>
      <c r="AN154" s="9">
        <f>AI154*AM154</f>
        <v/>
      </c>
    </row>
    <row r="155">
      <c r="A155" s="12" t="inlineStr">
        <is>
          <t>TK</t>
        </is>
      </c>
      <c r="B155" s="12" t="inlineStr">
        <is>
          <t>TK szyi z kontrastem</t>
        </is>
      </c>
      <c r="C155" s="12" t="inlineStr">
        <is>
          <t>TK Onkologia</t>
        </is>
      </c>
      <c r="D155" s="12" t="inlineStr">
        <is>
          <t>2 okolice anatomiczne</t>
        </is>
      </c>
      <c r="E155" s="9" t="n">
        <v>0</v>
      </c>
      <c r="F155" s="12" t="n">
        <v>0</v>
      </c>
      <c r="G155" s="12" t="n">
        <v>0</v>
      </c>
      <c r="H155" s="12">
        <f>IF(F155&gt;0,IFERROR(VALUE(LEFT($D155,1)),1),0)</f>
        <v/>
      </c>
      <c r="I155" s="12">
        <f>F155*H155</f>
        <v/>
      </c>
      <c r="J155" s="9">
        <f>E155*I155</f>
        <v/>
      </c>
      <c r="K155" s="9" t="n">
        <v>0</v>
      </c>
      <c r="L155" s="12" t="n">
        <v>0</v>
      </c>
      <c r="M155" s="12" t="n">
        <v>0</v>
      </c>
      <c r="N155" s="12">
        <f>IF(L155&gt;0,IFERROR(VALUE(LEFT($D155,1)),1),0)</f>
        <v/>
      </c>
      <c r="O155" s="12">
        <f>L155*N155</f>
        <v/>
      </c>
      <c r="P155" s="9">
        <f>K155*O155</f>
        <v/>
      </c>
      <c r="Q155" s="9" t="n">
        <v>0</v>
      </c>
      <c r="R155" s="12" t="n">
        <v>0</v>
      </c>
      <c r="S155" s="12" t="n">
        <v>0</v>
      </c>
      <c r="T155" s="12">
        <f>IF(R155&gt;0,IFERROR(VALUE(LEFT($D155,1)),1),0)</f>
        <v/>
      </c>
      <c r="U155" s="12">
        <f>R155*T155</f>
        <v/>
      </c>
      <c r="V155" s="9">
        <f>Q155*U155</f>
        <v/>
      </c>
      <c r="W155" s="9" t="n">
        <v>0</v>
      </c>
      <c r="X155" s="12" t="n">
        <v>0</v>
      </c>
      <c r="Y155" s="12" t="n">
        <v>0</v>
      </c>
      <c r="Z155" s="12">
        <f>IF(X155&gt;0,IFERROR(VALUE(LEFT($D155,1)),1),0)</f>
        <v/>
      </c>
      <c r="AA155" s="12">
        <f>X155*Z155</f>
        <v/>
      </c>
      <c r="AB155" s="9">
        <f>W155*AA155</f>
        <v/>
      </c>
      <c r="AC155" s="9" t="n">
        <v>120</v>
      </c>
      <c r="AD155" s="12" t="n">
        <v>1</v>
      </c>
      <c r="AE155" s="12" t="n">
        <v>2</v>
      </c>
      <c r="AF155" s="12">
        <f>IF(AD155&gt;0,IFERROR(VALUE(LEFT($D155,1)),1),0)</f>
        <v/>
      </c>
      <c r="AG155" s="12">
        <f>AD155*AF155</f>
        <v/>
      </c>
      <c r="AH155" s="9">
        <f>AC155*AG155</f>
        <v/>
      </c>
      <c r="AI155" s="9" t="n">
        <v>110</v>
      </c>
      <c r="AJ155" s="12" t="n">
        <v>1</v>
      </c>
      <c r="AK155" s="12" t="n">
        <v>2</v>
      </c>
      <c r="AL155" s="12">
        <f>IF(AJ155&gt;0,IFERROR(VALUE(LEFT($D155,1)),1),0)</f>
        <v/>
      </c>
      <c r="AM155" s="12">
        <f>AJ155*AL155</f>
        <v/>
      </c>
      <c r="AN155" s="9">
        <f>AI155*AM155</f>
        <v/>
      </c>
    </row>
    <row r="156">
      <c r="A156" s="12" t="inlineStr">
        <is>
          <t>TK</t>
        </is>
      </c>
      <c r="B156" s="12" t="inlineStr">
        <is>
          <t>TK twarzoczaszki, szyi i klatki piersiowej ze wzmocnieniem</t>
        </is>
      </c>
      <c r="C156" s="12" t="inlineStr">
        <is>
          <t>TK Onkologia</t>
        </is>
      </c>
      <c r="D156" s="12" t="inlineStr">
        <is>
          <t>3 okolice anatomiczne</t>
        </is>
      </c>
      <c r="E156" s="9" t="n">
        <v>0</v>
      </c>
      <c r="F156" s="12" t="n">
        <v>0</v>
      </c>
      <c r="G156" s="12" t="n">
        <v>0</v>
      </c>
      <c r="H156" s="12">
        <f>IF(F156&gt;0,IFERROR(VALUE(LEFT($D156,1)),1),0)</f>
        <v/>
      </c>
      <c r="I156" s="12">
        <f>F156*H156</f>
        <v/>
      </c>
      <c r="J156" s="9">
        <f>E156*I156</f>
        <v/>
      </c>
      <c r="K156" s="9" t="n">
        <v>0</v>
      </c>
      <c r="L156" s="12" t="n">
        <v>0</v>
      </c>
      <c r="M156" s="12" t="n">
        <v>0</v>
      </c>
      <c r="N156" s="12">
        <f>IF(L156&gt;0,IFERROR(VALUE(LEFT($D156,1)),1),0)</f>
        <v/>
      </c>
      <c r="O156" s="12">
        <f>L156*N156</f>
        <v/>
      </c>
      <c r="P156" s="9">
        <f>K156*O156</f>
        <v/>
      </c>
      <c r="Q156" s="9" t="n">
        <v>0</v>
      </c>
      <c r="R156" s="12" t="n">
        <v>0</v>
      </c>
      <c r="S156" s="12" t="n">
        <v>0</v>
      </c>
      <c r="T156" s="12">
        <f>IF(R156&gt;0,IFERROR(VALUE(LEFT($D156,1)),1),0)</f>
        <v/>
      </c>
      <c r="U156" s="12">
        <f>R156*T156</f>
        <v/>
      </c>
      <c r="V156" s="9">
        <f>Q156*U156</f>
        <v/>
      </c>
      <c r="W156" s="9" t="n">
        <v>0</v>
      </c>
      <c r="X156" s="12" t="n">
        <v>0</v>
      </c>
      <c r="Y156" s="12" t="n">
        <v>0</v>
      </c>
      <c r="Z156" s="12">
        <f>IF(X156&gt;0,IFERROR(VALUE(LEFT($D156,1)),1),0)</f>
        <v/>
      </c>
      <c r="AA156" s="12">
        <f>X156*Z156</f>
        <v/>
      </c>
      <c r="AB156" s="9">
        <f>W156*AA156</f>
        <v/>
      </c>
      <c r="AC156" s="9" t="n">
        <v>120</v>
      </c>
      <c r="AD156" s="12" t="n">
        <v>1</v>
      </c>
      <c r="AE156" s="12" t="n">
        <v>3</v>
      </c>
      <c r="AF156" s="12">
        <f>IF(AD156&gt;0,IFERROR(VALUE(LEFT($D156,1)),1),0)</f>
        <v/>
      </c>
      <c r="AG156" s="12">
        <f>AD156*AF156</f>
        <v/>
      </c>
      <c r="AH156" s="9">
        <f>AC156*AG156</f>
        <v/>
      </c>
      <c r="AI156" s="9" t="n">
        <v>0</v>
      </c>
      <c r="AJ156" s="12" t="n">
        <v>0</v>
      </c>
      <c r="AK156" s="12" t="n">
        <v>0</v>
      </c>
      <c r="AL156" s="12">
        <f>IF(AJ156&gt;0,IFERROR(VALUE(LEFT($D156,1)),1),0)</f>
        <v/>
      </c>
      <c r="AM156" s="12">
        <f>AJ156*AL156</f>
        <v/>
      </c>
      <c r="AN156" s="9">
        <f>AI156*AM156</f>
        <v/>
      </c>
    </row>
    <row r="157">
      <c r="A157" s="12" t="inlineStr">
        <is>
          <t>TK</t>
        </is>
      </c>
      <c r="B157" s="12" t="inlineStr">
        <is>
          <t>TK, głowa, bez wzmocnienia kontrastowego</t>
        </is>
      </c>
      <c r="C157" s="12" t="inlineStr">
        <is>
          <t>TK Onkologia</t>
        </is>
      </c>
      <c r="D157" s="12" t="inlineStr">
        <is>
          <t>1 okolica anatomiczna</t>
        </is>
      </c>
      <c r="E157" s="9" t="n">
        <v>0</v>
      </c>
      <c r="F157" s="12" t="n">
        <v>0</v>
      </c>
      <c r="G157" s="12" t="n">
        <v>0</v>
      </c>
      <c r="H157" s="12">
        <f>IF(F157&gt;0,IFERROR(VALUE(LEFT($D157,1)),1),0)</f>
        <v/>
      </c>
      <c r="I157" s="12">
        <f>F157*H157</f>
        <v/>
      </c>
      <c r="J157" s="9">
        <f>E157*I157</f>
        <v/>
      </c>
      <c r="K157" s="9" t="n">
        <v>0</v>
      </c>
      <c r="L157" s="12" t="n">
        <v>0</v>
      </c>
      <c r="M157" s="12" t="n">
        <v>0</v>
      </c>
      <c r="N157" s="12">
        <f>IF(L157&gt;0,IFERROR(VALUE(LEFT($D157,1)),1),0)</f>
        <v/>
      </c>
      <c r="O157" s="12">
        <f>L157*N157</f>
        <v/>
      </c>
      <c r="P157" s="9">
        <f>K157*O157</f>
        <v/>
      </c>
      <c r="Q157" s="9" t="n">
        <v>0</v>
      </c>
      <c r="R157" s="12" t="n">
        <v>0</v>
      </c>
      <c r="S157" s="12" t="n">
        <v>0</v>
      </c>
      <c r="T157" s="12">
        <f>IF(R157&gt;0,IFERROR(VALUE(LEFT($D157,1)),1),0)</f>
        <v/>
      </c>
      <c r="U157" s="12">
        <f>R157*T157</f>
        <v/>
      </c>
      <c r="V157" s="9">
        <f>Q157*U157</f>
        <v/>
      </c>
      <c r="W157" s="9" t="n">
        <v>0</v>
      </c>
      <c r="X157" s="12" t="n">
        <v>0</v>
      </c>
      <c r="Y157" s="12" t="n">
        <v>0</v>
      </c>
      <c r="Z157" s="12">
        <f>IF(X157&gt;0,IFERROR(VALUE(LEFT($D157,1)),1),0)</f>
        <v/>
      </c>
      <c r="AA157" s="12">
        <f>X157*Z157</f>
        <v/>
      </c>
      <c r="AB157" s="9">
        <f>W157*AA157</f>
        <v/>
      </c>
      <c r="AC157" s="9" t="n">
        <v>120</v>
      </c>
      <c r="AD157" s="12" t="n">
        <v>1</v>
      </c>
      <c r="AE157" s="12" t="n">
        <v>0</v>
      </c>
      <c r="AF157" s="12">
        <f>IF(AD157&gt;0,IFERROR(VALUE(LEFT($D157,1)),1),0)</f>
        <v/>
      </c>
      <c r="AG157" s="12">
        <f>AD157*AF157</f>
        <v/>
      </c>
      <c r="AH157" s="9">
        <f>AC157*AG157</f>
        <v/>
      </c>
      <c r="AI157" s="9" t="n">
        <v>0</v>
      </c>
      <c r="AJ157" s="12" t="n">
        <v>0</v>
      </c>
      <c r="AK157" s="12" t="n">
        <v>0</v>
      </c>
      <c r="AL157" s="12">
        <f>IF(AJ157&gt;0,IFERROR(VALUE(LEFT($D157,1)),1),0)</f>
        <v/>
      </c>
      <c r="AM157" s="12">
        <f>AJ157*AL157</f>
        <v/>
      </c>
      <c r="AN157" s="9">
        <f>AI157*AM157</f>
        <v/>
      </c>
    </row>
    <row r="158">
      <c r="A158" s="12" t="inlineStr">
        <is>
          <t>TK</t>
        </is>
      </c>
      <c r="B158" s="12" t="inlineStr">
        <is>
          <t>TK, jamy brzusznej bez i ze wzmocnieniem kontrastowym</t>
        </is>
      </c>
      <c r="C158" s="12" t="inlineStr">
        <is>
          <t>TK Onkologia</t>
        </is>
      </c>
      <c r="D158" s="12" t="inlineStr">
        <is>
          <t>1 okolica anatomiczna</t>
        </is>
      </c>
      <c r="E158" s="9" t="n">
        <v>0</v>
      </c>
      <c r="F158" s="12" t="n">
        <v>0</v>
      </c>
      <c r="G158" s="12" t="n">
        <v>0</v>
      </c>
      <c r="H158" s="12">
        <f>IF(F158&gt;0,IFERROR(VALUE(LEFT($D158,1)),1),0)</f>
        <v/>
      </c>
      <c r="I158" s="12">
        <f>F158*H158</f>
        <v/>
      </c>
      <c r="J158" s="9">
        <f>E158*I158</f>
        <v/>
      </c>
      <c r="K158" s="9" t="n">
        <v>0</v>
      </c>
      <c r="L158" s="12" t="n">
        <v>0</v>
      </c>
      <c r="M158" s="12" t="n">
        <v>0</v>
      </c>
      <c r="N158" s="12">
        <f>IF(L158&gt;0,IFERROR(VALUE(LEFT($D158,1)),1),0)</f>
        <v/>
      </c>
      <c r="O158" s="12">
        <f>L158*N158</f>
        <v/>
      </c>
      <c r="P158" s="9">
        <f>K158*O158</f>
        <v/>
      </c>
      <c r="Q158" s="9" t="n">
        <v>0</v>
      </c>
      <c r="R158" s="12" t="n">
        <v>0</v>
      </c>
      <c r="S158" s="12" t="n">
        <v>0</v>
      </c>
      <c r="T158" s="12">
        <f>IF(R158&gt;0,IFERROR(VALUE(LEFT($D158,1)),1),0)</f>
        <v/>
      </c>
      <c r="U158" s="12">
        <f>R158*T158</f>
        <v/>
      </c>
      <c r="V158" s="9">
        <f>Q158*U158</f>
        <v/>
      </c>
      <c r="W158" s="9" t="n">
        <v>0</v>
      </c>
      <c r="X158" s="12" t="n">
        <v>0</v>
      </c>
      <c r="Y158" s="12" t="n">
        <v>0</v>
      </c>
      <c r="Z158" s="12">
        <f>IF(X158&gt;0,IFERROR(VALUE(LEFT($D158,1)),1),0)</f>
        <v/>
      </c>
      <c r="AA158" s="12">
        <f>X158*Z158</f>
        <v/>
      </c>
      <c r="AB158" s="9">
        <f>W158*AA158</f>
        <v/>
      </c>
      <c r="AC158" s="9" t="n">
        <v>140</v>
      </c>
      <c r="AD158" s="12" t="n">
        <v>1</v>
      </c>
      <c r="AE158" s="12" t="n">
        <v>0</v>
      </c>
      <c r="AF158" s="12">
        <f>IF(AD158&gt;0,IFERROR(VALUE(LEFT($D158,1)),1),0)</f>
        <v/>
      </c>
      <c r="AG158" s="12">
        <f>AD158*AF158</f>
        <v/>
      </c>
      <c r="AH158" s="9">
        <f>AC158*AG158</f>
        <v/>
      </c>
      <c r="AI158" s="9" t="n">
        <v>0</v>
      </c>
      <c r="AJ158" s="12" t="n">
        <v>0</v>
      </c>
      <c r="AK158" s="12" t="n">
        <v>0</v>
      </c>
      <c r="AL158" s="12">
        <f>IF(AJ158&gt;0,IFERROR(VALUE(LEFT($D158,1)),1),0)</f>
        <v/>
      </c>
      <c r="AM158" s="12">
        <f>AJ158*AL158</f>
        <v/>
      </c>
      <c r="AN158" s="9">
        <f>AI158*AM158</f>
        <v/>
      </c>
    </row>
    <row r="159">
      <c r="A159" s="12" t="inlineStr">
        <is>
          <t>TK</t>
        </is>
      </c>
      <c r="B159" s="12" t="inlineStr">
        <is>
          <t>TK, jamy brzusznej i miednicy bez i ze wzmocnieniem kontrastowym</t>
        </is>
      </c>
      <c r="C159" s="12" t="inlineStr">
        <is>
          <t>TK Onkologia</t>
        </is>
      </c>
      <c r="D159" s="12" t="inlineStr">
        <is>
          <t>2 okolice anatomiczne</t>
        </is>
      </c>
      <c r="E159" s="9" t="n">
        <v>0</v>
      </c>
      <c r="F159" s="12" t="n">
        <v>0</v>
      </c>
      <c r="G159" s="12" t="n">
        <v>0</v>
      </c>
      <c r="H159" s="12">
        <f>IF(F159&gt;0,IFERROR(VALUE(LEFT($D159,1)),1),0)</f>
        <v/>
      </c>
      <c r="I159" s="12">
        <f>F159*H159</f>
        <v/>
      </c>
      <c r="J159" s="9">
        <f>E159*I159</f>
        <v/>
      </c>
      <c r="K159" s="9" t="n">
        <v>0</v>
      </c>
      <c r="L159" s="12" t="n">
        <v>0</v>
      </c>
      <c r="M159" s="12" t="n">
        <v>0</v>
      </c>
      <c r="N159" s="12">
        <f>IF(L159&gt;0,IFERROR(VALUE(LEFT($D159,1)),1),0)</f>
        <v/>
      </c>
      <c r="O159" s="12">
        <f>L159*N159</f>
        <v/>
      </c>
      <c r="P159" s="9">
        <f>K159*O159</f>
        <v/>
      </c>
      <c r="Q159" s="9" t="n">
        <v>0</v>
      </c>
      <c r="R159" s="12" t="n">
        <v>0</v>
      </c>
      <c r="S159" s="12" t="n">
        <v>0</v>
      </c>
      <c r="T159" s="12">
        <f>IF(R159&gt;0,IFERROR(VALUE(LEFT($D159,1)),1),0)</f>
        <v/>
      </c>
      <c r="U159" s="12">
        <f>R159*T159</f>
        <v/>
      </c>
      <c r="V159" s="9">
        <f>Q159*U159</f>
        <v/>
      </c>
      <c r="W159" s="9" t="n">
        <v>0</v>
      </c>
      <c r="X159" s="12" t="n">
        <v>0</v>
      </c>
      <c r="Y159" s="12" t="n">
        <v>0</v>
      </c>
      <c r="Z159" s="12">
        <f>IF(X159&gt;0,IFERROR(VALUE(LEFT($D159,1)),1),0)</f>
        <v/>
      </c>
      <c r="AA159" s="12">
        <f>X159*Z159</f>
        <v/>
      </c>
      <c r="AB159" s="9">
        <f>W159*AA159</f>
        <v/>
      </c>
      <c r="AC159" s="9" t="n">
        <v>120</v>
      </c>
      <c r="AD159" s="12" t="n">
        <v>2</v>
      </c>
      <c r="AE159" s="12" t="n">
        <v>0</v>
      </c>
      <c r="AF159" s="12">
        <f>IF(AD159&gt;0,IFERROR(VALUE(LEFT($D159,1)),1),0)</f>
        <v/>
      </c>
      <c r="AG159" s="12">
        <f>AD159*AF159</f>
        <v/>
      </c>
      <c r="AH159" s="9">
        <f>AC159*AG159</f>
        <v/>
      </c>
      <c r="AI159" s="9" t="n">
        <v>0</v>
      </c>
      <c r="AJ159" s="12" t="n">
        <v>0</v>
      </c>
      <c r="AK159" s="12" t="n">
        <v>0</v>
      </c>
      <c r="AL159" s="12">
        <f>IF(AJ159&gt;0,IFERROR(VALUE(LEFT($D159,1)),1),0)</f>
        <v/>
      </c>
      <c r="AM159" s="12">
        <f>AJ159*AL159</f>
        <v/>
      </c>
      <c r="AN159" s="9">
        <f>AI159*AM159</f>
        <v/>
      </c>
    </row>
    <row r="160">
      <c r="A160" s="12" t="inlineStr">
        <is>
          <t>TK</t>
        </is>
      </c>
      <c r="B160" s="12" t="inlineStr">
        <is>
          <t>TK, klatka piersiowa, bez i z wzmocnieniem kontrastowym (4.125)</t>
        </is>
      </c>
      <c r="C160" s="12" t="inlineStr">
        <is>
          <t>TK Onkologia</t>
        </is>
      </c>
      <c r="D160" s="12" t="inlineStr">
        <is>
          <t>1 okolica anatomiczna</t>
        </is>
      </c>
      <c r="E160" s="9" t="n">
        <v>0</v>
      </c>
      <c r="F160" s="12" t="n">
        <v>0</v>
      </c>
      <c r="G160" s="12" t="n">
        <v>0</v>
      </c>
      <c r="H160" s="12">
        <f>IF(F160&gt;0,IFERROR(VALUE(LEFT($D160,1)),1),0)</f>
        <v/>
      </c>
      <c r="I160" s="12">
        <f>F160*H160</f>
        <v/>
      </c>
      <c r="J160" s="9">
        <f>E160*I160</f>
        <v/>
      </c>
      <c r="K160" s="9" t="n">
        <v>0</v>
      </c>
      <c r="L160" s="12" t="n">
        <v>0</v>
      </c>
      <c r="M160" s="12" t="n">
        <v>0</v>
      </c>
      <c r="N160" s="12">
        <f>IF(L160&gt;0,IFERROR(VALUE(LEFT($D160,1)),1),0)</f>
        <v/>
      </c>
      <c r="O160" s="12">
        <f>L160*N160</f>
        <v/>
      </c>
      <c r="P160" s="9">
        <f>K160*O160</f>
        <v/>
      </c>
      <c r="Q160" s="9" t="n">
        <v>0</v>
      </c>
      <c r="R160" s="12" t="n">
        <v>0</v>
      </c>
      <c r="S160" s="12" t="n">
        <v>0</v>
      </c>
      <c r="T160" s="12">
        <f>IF(R160&gt;0,IFERROR(VALUE(LEFT($D160,1)),1),0)</f>
        <v/>
      </c>
      <c r="U160" s="12">
        <f>R160*T160</f>
        <v/>
      </c>
      <c r="V160" s="9">
        <f>Q160*U160</f>
        <v/>
      </c>
      <c r="W160" s="9" t="n">
        <v>0</v>
      </c>
      <c r="X160" s="12" t="n">
        <v>0</v>
      </c>
      <c r="Y160" s="12" t="n">
        <v>0</v>
      </c>
      <c r="Z160" s="12">
        <f>IF(X160&gt;0,IFERROR(VALUE(LEFT($D160,1)),1),0)</f>
        <v/>
      </c>
      <c r="AA160" s="12">
        <f>X160*Z160</f>
        <v/>
      </c>
      <c r="AB160" s="9">
        <f>W160*AA160</f>
        <v/>
      </c>
      <c r="AC160" s="9" t="n">
        <v>120</v>
      </c>
      <c r="AD160" s="12" t="n">
        <v>1</v>
      </c>
      <c r="AE160" s="12" t="n">
        <v>1</v>
      </c>
      <c r="AF160" s="12">
        <f>IF(AD160&gt;0,IFERROR(VALUE(LEFT($D160,1)),1),0)</f>
        <v/>
      </c>
      <c r="AG160" s="12">
        <f>AD160*AF160</f>
        <v/>
      </c>
      <c r="AH160" s="9">
        <f>AC160*AG160</f>
        <v/>
      </c>
      <c r="AI160" s="9" t="n">
        <v>0</v>
      </c>
      <c r="AJ160" s="12" t="n">
        <v>0</v>
      </c>
      <c r="AK160" s="12" t="n">
        <v>0</v>
      </c>
      <c r="AL160" s="12">
        <f>IF(AJ160&gt;0,IFERROR(VALUE(LEFT($D160,1)),1),0)</f>
        <v/>
      </c>
      <c r="AM160" s="12">
        <f>AJ160*AL160</f>
        <v/>
      </c>
      <c r="AN160" s="9">
        <f>AI160*AM160</f>
        <v/>
      </c>
    </row>
    <row r="161">
      <c r="A161" s="12" t="inlineStr">
        <is>
          <t>TK</t>
        </is>
      </c>
      <c r="B161" s="12" t="inlineStr">
        <is>
          <t>TK, klatka piersiowa, bez i z wzmocnieniem kontrastowym (4.125)</t>
        </is>
      </c>
      <c r="C161" s="12" t="inlineStr">
        <is>
          <t>TK Onkologia</t>
        </is>
      </c>
      <c r="D161" s="12" t="inlineStr">
        <is>
          <t>3 okolice anatomiczne</t>
        </is>
      </c>
      <c r="E161" s="9" t="n">
        <v>0</v>
      </c>
      <c r="F161" s="12" t="n">
        <v>0</v>
      </c>
      <c r="G161" s="12" t="n">
        <v>0</v>
      </c>
      <c r="H161" s="12">
        <f>IF(F161&gt;0,IFERROR(VALUE(LEFT($D161,1)),1),0)</f>
        <v/>
      </c>
      <c r="I161" s="12">
        <f>F161*H161</f>
        <v/>
      </c>
      <c r="J161" s="9">
        <f>E161*I161</f>
        <v/>
      </c>
      <c r="K161" s="9" t="n">
        <v>0</v>
      </c>
      <c r="L161" s="12" t="n">
        <v>0</v>
      </c>
      <c r="M161" s="12" t="n">
        <v>0</v>
      </c>
      <c r="N161" s="12">
        <f>IF(L161&gt;0,IFERROR(VALUE(LEFT($D161,1)),1),0)</f>
        <v/>
      </c>
      <c r="O161" s="12">
        <f>L161*N161</f>
        <v/>
      </c>
      <c r="P161" s="9">
        <f>K161*O161</f>
        <v/>
      </c>
      <c r="Q161" s="9" t="n">
        <v>0</v>
      </c>
      <c r="R161" s="12" t="n">
        <v>0</v>
      </c>
      <c r="S161" s="12" t="n">
        <v>0</v>
      </c>
      <c r="T161" s="12">
        <f>IF(R161&gt;0,IFERROR(VALUE(LEFT($D161,1)),1),0)</f>
        <v/>
      </c>
      <c r="U161" s="12">
        <f>R161*T161</f>
        <v/>
      </c>
      <c r="V161" s="9">
        <f>Q161*U161</f>
        <v/>
      </c>
      <c r="W161" s="9" t="n">
        <v>0</v>
      </c>
      <c r="X161" s="12" t="n">
        <v>0</v>
      </c>
      <c r="Y161" s="12" t="n">
        <v>0</v>
      </c>
      <c r="Z161" s="12">
        <f>IF(X161&gt;0,IFERROR(VALUE(LEFT($D161,1)),1),0)</f>
        <v/>
      </c>
      <c r="AA161" s="12">
        <f>X161*Z161</f>
        <v/>
      </c>
      <c r="AB161" s="9">
        <f>W161*AA161</f>
        <v/>
      </c>
      <c r="AC161" s="9" t="n">
        <v>120</v>
      </c>
      <c r="AD161" s="12" t="n">
        <v>2</v>
      </c>
      <c r="AE161" s="12" t="n">
        <v>6</v>
      </c>
      <c r="AF161" s="12">
        <f>IF(AD161&gt;0,IFERROR(VALUE(LEFT($D161,1)),1),0)</f>
        <v/>
      </c>
      <c r="AG161" s="12">
        <f>AD161*AF161</f>
        <v/>
      </c>
      <c r="AH161" s="9">
        <f>AC161*AG161</f>
        <v/>
      </c>
      <c r="AI161" s="9" t="n">
        <v>0</v>
      </c>
      <c r="AJ161" s="12" t="n">
        <v>0</v>
      </c>
      <c r="AK161" s="12" t="n">
        <v>0</v>
      </c>
      <c r="AL161" s="12">
        <f>IF(AJ161&gt;0,IFERROR(VALUE(LEFT($D161,1)),1),0)</f>
        <v/>
      </c>
      <c r="AM161" s="12">
        <f>AJ161*AL161</f>
        <v/>
      </c>
      <c r="AN161" s="9">
        <f>AI161*AM161</f>
        <v/>
      </c>
    </row>
    <row r="162">
      <c r="A162" s="12" t="inlineStr">
        <is>
          <t>TK</t>
        </is>
      </c>
      <c r="B162" s="12" t="inlineStr">
        <is>
          <t>TK, klatki piersiowej bez i ze wzmocnieniem kontrastowym</t>
        </is>
      </c>
      <c r="C162" s="12" t="inlineStr">
        <is>
          <t>TK Onkologia</t>
        </is>
      </c>
      <c r="D162" s="12" t="inlineStr">
        <is>
          <t>1 okolica anatomiczna</t>
        </is>
      </c>
      <c r="E162" s="9" t="n">
        <v>0</v>
      </c>
      <c r="F162" s="12" t="n">
        <v>0</v>
      </c>
      <c r="G162" s="12" t="n">
        <v>0</v>
      </c>
      <c r="H162" s="12">
        <f>IF(F162&gt;0,IFERROR(VALUE(LEFT($D162,1)),1),0)</f>
        <v/>
      </c>
      <c r="I162" s="12">
        <f>F162*H162</f>
        <v/>
      </c>
      <c r="J162" s="9">
        <f>E162*I162</f>
        <v/>
      </c>
      <c r="K162" s="9" t="n">
        <v>0</v>
      </c>
      <c r="L162" s="12" t="n">
        <v>0</v>
      </c>
      <c r="M162" s="12" t="n">
        <v>0</v>
      </c>
      <c r="N162" s="12">
        <f>IF(L162&gt;0,IFERROR(VALUE(LEFT($D162,1)),1),0)</f>
        <v/>
      </c>
      <c r="O162" s="12">
        <f>L162*N162</f>
        <v/>
      </c>
      <c r="P162" s="9">
        <f>K162*O162</f>
        <v/>
      </c>
      <c r="Q162" s="9" t="n">
        <v>0</v>
      </c>
      <c r="R162" s="12" t="n">
        <v>0</v>
      </c>
      <c r="S162" s="12" t="n">
        <v>0</v>
      </c>
      <c r="T162" s="12">
        <f>IF(R162&gt;0,IFERROR(VALUE(LEFT($D162,1)),1),0)</f>
        <v/>
      </c>
      <c r="U162" s="12">
        <f>R162*T162</f>
        <v/>
      </c>
      <c r="V162" s="9">
        <f>Q162*U162</f>
        <v/>
      </c>
      <c r="W162" s="9" t="n">
        <v>0</v>
      </c>
      <c r="X162" s="12" t="n">
        <v>0</v>
      </c>
      <c r="Y162" s="12" t="n">
        <v>0</v>
      </c>
      <c r="Z162" s="12">
        <f>IF(X162&gt;0,IFERROR(VALUE(LEFT($D162,1)),1),0)</f>
        <v/>
      </c>
      <c r="AA162" s="12">
        <f>X162*Z162</f>
        <v/>
      </c>
      <c r="AB162" s="9">
        <f>W162*AA162</f>
        <v/>
      </c>
      <c r="AC162" s="9" t="n">
        <v>120</v>
      </c>
      <c r="AD162" s="12" t="n">
        <v>4</v>
      </c>
      <c r="AE162" s="12" t="n">
        <v>0</v>
      </c>
      <c r="AF162" s="12">
        <f>IF(AD162&gt;0,IFERROR(VALUE(LEFT($D162,1)),1),0)</f>
        <v/>
      </c>
      <c r="AG162" s="12">
        <f>AD162*AF162</f>
        <v/>
      </c>
      <c r="AH162" s="9">
        <f>AC162*AG162</f>
        <v/>
      </c>
      <c r="AI162" s="9" t="n">
        <v>0</v>
      </c>
      <c r="AJ162" s="12" t="n">
        <v>0</v>
      </c>
      <c r="AK162" s="12" t="n">
        <v>0</v>
      </c>
      <c r="AL162" s="12">
        <f>IF(AJ162&gt;0,IFERROR(VALUE(LEFT($D162,1)),1),0)</f>
        <v/>
      </c>
      <c r="AM162" s="12">
        <f>AJ162*AL162</f>
        <v/>
      </c>
      <c r="AN162" s="9">
        <f>AI162*AM162</f>
        <v/>
      </c>
    </row>
    <row r="163">
      <c r="A163" s="12" t="inlineStr">
        <is>
          <t>TK</t>
        </is>
      </c>
      <c r="B163" s="12" t="inlineStr">
        <is>
          <t>Tomografia Komputerowa klatki piersiowej, jamy brzusznej i miednicy z kontrastem</t>
        </is>
      </c>
      <c r="C163" s="12" t="inlineStr">
        <is>
          <t>TK Onkologia</t>
        </is>
      </c>
      <c r="D163" s="12" t="inlineStr">
        <is>
          <t>3 okolice anatomiczne</t>
        </is>
      </c>
      <c r="E163" s="9" t="n">
        <v>0</v>
      </c>
      <c r="F163" s="12" t="n">
        <v>0</v>
      </c>
      <c r="G163" s="12" t="n">
        <v>0</v>
      </c>
      <c r="H163" s="12">
        <f>IF(F163&gt;0,IFERROR(VALUE(LEFT($D163,1)),1),0)</f>
        <v/>
      </c>
      <c r="I163" s="12">
        <f>F163*H163</f>
        <v/>
      </c>
      <c r="J163" s="9">
        <f>E163*I163</f>
        <v/>
      </c>
      <c r="K163" s="9" t="n">
        <v>0</v>
      </c>
      <c r="L163" s="12" t="n">
        <v>0</v>
      </c>
      <c r="M163" s="12" t="n">
        <v>0</v>
      </c>
      <c r="N163" s="12">
        <f>IF(L163&gt;0,IFERROR(VALUE(LEFT($D163,1)),1),0)</f>
        <v/>
      </c>
      <c r="O163" s="12">
        <f>L163*N163</f>
        <v/>
      </c>
      <c r="P163" s="9">
        <f>K163*O163</f>
        <v/>
      </c>
      <c r="Q163" s="9" t="n">
        <v>0</v>
      </c>
      <c r="R163" s="12" t="n">
        <v>0</v>
      </c>
      <c r="S163" s="12" t="n">
        <v>0</v>
      </c>
      <c r="T163" s="12">
        <f>IF(R163&gt;0,IFERROR(VALUE(LEFT($D163,1)),1),0)</f>
        <v/>
      </c>
      <c r="U163" s="12">
        <f>R163*T163</f>
        <v/>
      </c>
      <c r="V163" s="9">
        <f>Q163*U163</f>
        <v/>
      </c>
      <c r="W163" s="9" t="n">
        <v>0</v>
      </c>
      <c r="X163" s="12" t="n">
        <v>0</v>
      </c>
      <c r="Y163" s="12" t="n">
        <v>0</v>
      </c>
      <c r="Z163" s="12">
        <f>IF(X163&gt;0,IFERROR(VALUE(LEFT($D163,1)),1),0)</f>
        <v/>
      </c>
      <c r="AA163" s="12">
        <f>X163*Z163</f>
        <v/>
      </c>
      <c r="AB163" s="9">
        <f>W163*AA163</f>
        <v/>
      </c>
      <c r="AC163" s="9" t="n">
        <v>120</v>
      </c>
      <c r="AD163" s="12" t="n">
        <v>1</v>
      </c>
      <c r="AE163" s="12" t="n">
        <v>0</v>
      </c>
      <c r="AF163" s="12">
        <f>IF(AD163&gt;0,IFERROR(VALUE(LEFT($D163,1)),1),0)</f>
        <v/>
      </c>
      <c r="AG163" s="12">
        <f>AD163*AF163</f>
        <v/>
      </c>
      <c r="AH163" s="9">
        <f>AC163*AG163</f>
        <v/>
      </c>
      <c r="AI163" s="9" t="n">
        <v>0</v>
      </c>
      <c r="AJ163" s="12" t="n">
        <v>0</v>
      </c>
      <c r="AK163" s="12" t="n">
        <v>0</v>
      </c>
      <c r="AL163" s="12">
        <f>IF(AJ163&gt;0,IFERROR(VALUE(LEFT($D163,1)),1),0)</f>
        <v/>
      </c>
      <c r="AM163" s="12">
        <f>AJ163*AL163</f>
        <v/>
      </c>
      <c r="AN163" s="9">
        <f>AI163*AM163</f>
        <v/>
      </c>
    </row>
    <row r="164">
      <c r="A164" s="12" t="inlineStr">
        <is>
          <t>TK</t>
        </is>
      </c>
      <c r="B164" s="12" t="inlineStr">
        <is>
          <t>Tomografia Komputerowa kończyny dolnej bez i z kontrastem</t>
        </is>
      </c>
      <c r="C164" s="12" t="inlineStr">
        <is>
          <t>TK Onkologia</t>
        </is>
      </c>
      <c r="D164" s="12" t="inlineStr">
        <is>
          <t>1 okolica anatomiczna</t>
        </is>
      </c>
      <c r="E164" s="9" t="n">
        <v>0</v>
      </c>
      <c r="F164" s="12" t="n">
        <v>0</v>
      </c>
      <c r="G164" s="12" t="n">
        <v>0</v>
      </c>
      <c r="H164" s="12">
        <f>IF(F164&gt;0,IFERROR(VALUE(LEFT($D164,1)),1),0)</f>
        <v/>
      </c>
      <c r="I164" s="12">
        <f>F164*H164</f>
        <v/>
      </c>
      <c r="J164" s="9">
        <f>E164*I164</f>
        <v/>
      </c>
      <c r="K164" s="9" t="n">
        <v>0</v>
      </c>
      <c r="L164" s="12" t="n">
        <v>0</v>
      </c>
      <c r="M164" s="12" t="n">
        <v>0</v>
      </c>
      <c r="N164" s="12">
        <f>IF(L164&gt;0,IFERROR(VALUE(LEFT($D164,1)),1),0)</f>
        <v/>
      </c>
      <c r="O164" s="12">
        <f>L164*N164</f>
        <v/>
      </c>
      <c r="P164" s="9">
        <f>K164*O164</f>
        <v/>
      </c>
      <c r="Q164" s="9" t="n">
        <v>0</v>
      </c>
      <c r="R164" s="12" t="n">
        <v>0</v>
      </c>
      <c r="S164" s="12" t="n">
        <v>0</v>
      </c>
      <c r="T164" s="12">
        <f>IF(R164&gt;0,IFERROR(VALUE(LEFT($D164,1)),1),0)</f>
        <v/>
      </c>
      <c r="U164" s="12">
        <f>R164*T164</f>
        <v/>
      </c>
      <c r="V164" s="9">
        <f>Q164*U164</f>
        <v/>
      </c>
      <c r="W164" s="9" t="n">
        <v>0</v>
      </c>
      <c r="X164" s="12" t="n">
        <v>0</v>
      </c>
      <c r="Y164" s="12" t="n">
        <v>0</v>
      </c>
      <c r="Z164" s="12">
        <f>IF(X164&gt;0,IFERROR(VALUE(LEFT($D164,1)),1),0)</f>
        <v/>
      </c>
      <c r="AA164" s="12">
        <f>X164*Z164</f>
        <v/>
      </c>
      <c r="AB164" s="9">
        <f>W164*AA164</f>
        <v/>
      </c>
      <c r="AC164" s="9" t="n">
        <v>140</v>
      </c>
      <c r="AD164" s="12" t="n">
        <v>1</v>
      </c>
      <c r="AE164" s="12" t="n">
        <v>0</v>
      </c>
      <c r="AF164" s="12">
        <f>IF(AD164&gt;0,IFERROR(VALUE(LEFT($D164,1)),1),0)</f>
        <v/>
      </c>
      <c r="AG164" s="12">
        <f>AD164*AF164</f>
        <v/>
      </c>
      <c r="AH164" s="9">
        <f>AC164*AG164</f>
        <v/>
      </c>
      <c r="AI164" s="9" t="n">
        <v>0</v>
      </c>
      <c r="AJ164" s="12" t="n">
        <v>0</v>
      </c>
      <c r="AK164" s="12" t="n">
        <v>0</v>
      </c>
      <c r="AL164" s="12">
        <f>IF(AJ164&gt;0,IFERROR(VALUE(LEFT($D164,1)),1),0)</f>
        <v/>
      </c>
      <c r="AM164" s="12">
        <f>AJ164*AL164</f>
        <v/>
      </c>
      <c r="AN164" s="9">
        <f>AI164*AM164</f>
        <v/>
      </c>
    </row>
    <row r="165">
      <c r="A165" s="12" t="inlineStr">
        <is>
          <t>TK</t>
        </is>
      </c>
      <c r="B165" s="12" t="inlineStr">
        <is>
          <t>Tomografia komputerowa - kl.piersiowa + jama brzuszna</t>
        </is>
      </c>
      <c r="C165" s="12" t="inlineStr">
        <is>
          <t>TK Onkologia</t>
        </is>
      </c>
      <c r="D165" s="12" t="inlineStr">
        <is>
          <t>3 okolice anatomiczne</t>
        </is>
      </c>
      <c r="E165" s="9" t="n">
        <v>0</v>
      </c>
      <c r="F165" s="12" t="n">
        <v>0</v>
      </c>
      <c r="G165" s="12" t="n">
        <v>0</v>
      </c>
      <c r="H165" s="12">
        <f>IF(F165&gt;0,IFERROR(VALUE(LEFT($D165,1)),1),0)</f>
        <v/>
      </c>
      <c r="I165" s="12">
        <f>F165*H165</f>
        <v/>
      </c>
      <c r="J165" s="9">
        <f>E165*I165</f>
        <v/>
      </c>
      <c r="K165" s="9" t="n">
        <v>0</v>
      </c>
      <c r="L165" s="12" t="n">
        <v>0</v>
      </c>
      <c r="M165" s="12" t="n">
        <v>0</v>
      </c>
      <c r="N165" s="12">
        <f>IF(L165&gt;0,IFERROR(VALUE(LEFT($D165,1)),1),0)</f>
        <v/>
      </c>
      <c r="O165" s="12">
        <f>L165*N165</f>
        <v/>
      </c>
      <c r="P165" s="9">
        <f>K165*O165</f>
        <v/>
      </c>
      <c r="Q165" s="9" t="n">
        <v>0</v>
      </c>
      <c r="R165" s="12" t="n">
        <v>0</v>
      </c>
      <c r="S165" s="12" t="n">
        <v>0</v>
      </c>
      <c r="T165" s="12">
        <f>IF(R165&gt;0,IFERROR(VALUE(LEFT($D165,1)),1),0)</f>
        <v/>
      </c>
      <c r="U165" s="12">
        <f>R165*T165</f>
        <v/>
      </c>
      <c r="V165" s="9">
        <f>Q165*U165</f>
        <v/>
      </c>
      <c r="W165" s="9" t="n">
        <v>0</v>
      </c>
      <c r="X165" s="12" t="n">
        <v>0</v>
      </c>
      <c r="Y165" s="12" t="n">
        <v>0</v>
      </c>
      <c r="Z165" s="12">
        <f>IF(X165&gt;0,IFERROR(VALUE(LEFT($D165,1)),1),0)</f>
        <v/>
      </c>
      <c r="AA165" s="12">
        <f>X165*Z165</f>
        <v/>
      </c>
      <c r="AB165" s="9">
        <f>W165*AA165</f>
        <v/>
      </c>
      <c r="AC165" s="9" t="n">
        <v>120</v>
      </c>
      <c r="AD165" s="12" t="n">
        <v>1</v>
      </c>
      <c r="AE165" s="12" t="n">
        <v>0</v>
      </c>
      <c r="AF165" s="12">
        <f>IF(AD165&gt;0,IFERROR(VALUE(LEFT($D165,1)),1),0)</f>
        <v/>
      </c>
      <c r="AG165" s="12">
        <f>AD165*AF165</f>
        <v/>
      </c>
      <c r="AH165" s="9">
        <f>AC165*AG165</f>
        <v/>
      </c>
      <c r="AI165" s="9" t="n">
        <v>0</v>
      </c>
      <c r="AJ165" s="12" t="n">
        <v>0</v>
      </c>
      <c r="AK165" s="12" t="n">
        <v>0</v>
      </c>
      <c r="AL165" s="12">
        <f>IF(AJ165&gt;0,IFERROR(VALUE(LEFT($D165,1)),1),0)</f>
        <v/>
      </c>
      <c r="AM165" s="12">
        <f>AJ165*AL165</f>
        <v/>
      </c>
      <c r="AN165" s="9">
        <f>AI165*AM165</f>
        <v/>
      </c>
    </row>
    <row r="166">
      <c r="A166" s="12" t="inlineStr">
        <is>
          <t>TK</t>
        </is>
      </c>
      <c r="B166" s="12" t="inlineStr">
        <is>
          <t>Tomografia komputerowa szyi z kontrastem</t>
        </is>
      </c>
      <c r="C166" s="12" t="inlineStr">
        <is>
          <t>TK Onkologia</t>
        </is>
      </c>
      <c r="D166" s="12" t="inlineStr">
        <is>
          <t>4 okolice anatomiczne</t>
        </is>
      </c>
      <c r="E166" s="9" t="n">
        <v>0</v>
      </c>
      <c r="F166" s="12" t="n">
        <v>0</v>
      </c>
      <c r="G166" s="12" t="n">
        <v>0</v>
      </c>
      <c r="H166" s="12">
        <f>IF(F166&gt;0,IFERROR(VALUE(LEFT($D166,1)),1),0)</f>
        <v/>
      </c>
      <c r="I166" s="12">
        <f>F166*H166</f>
        <v/>
      </c>
      <c r="J166" s="9">
        <f>E166*I166</f>
        <v/>
      </c>
      <c r="K166" s="9" t="n">
        <v>0</v>
      </c>
      <c r="L166" s="12" t="n">
        <v>0</v>
      </c>
      <c r="M166" s="12" t="n">
        <v>0</v>
      </c>
      <c r="N166" s="12">
        <f>IF(L166&gt;0,IFERROR(VALUE(LEFT($D166,1)),1),0)</f>
        <v/>
      </c>
      <c r="O166" s="12">
        <f>L166*N166</f>
        <v/>
      </c>
      <c r="P166" s="9">
        <f>K166*O166</f>
        <v/>
      </c>
      <c r="Q166" s="9" t="n">
        <v>0</v>
      </c>
      <c r="R166" s="12" t="n">
        <v>0</v>
      </c>
      <c r="S166" s="12" t="n">
        <v>0</v>
      </c>
      <c r="T166" s="12">
        <f>IF(R166&gt;0,IFERROR(VALUE(LEFT($D166,1)),1),0)</f>
        <v/>
      </c>
      <c r="U166" s="12">
        <f>R166*T166</f>
        <v/>
      </c>
      <c r="V166" s="9">
        <f>Q166*U166</f>
        <v/>
      </c>
      <c r="W166" s="9" t="n">
        <v>0</v>
      </c>
      <c r="X166" s="12" t="n">
        <v>0</v>
      </c>
      <c r="Y166" s="12" t="n">
        <v>0</v>
      </c>
      <c r="Z166" s="12">
        <f>IF(X166&gt;0,IFERROR(VALUE(LEFT($D166,1)),1),0)</f>
        <v/>
      </c>
      <c r="AA166" s="12">
        <f>X166*Z166</f>
        <v/>
      </c>
      <c r="AB166" s="9">
        <f>W166*AA166</f>
        <v/>
      </c>
      <c r="AC166" s="9" t="n">
        <v>120</v>
      </c>
      <c r="AD166" s="12" t="n">
        <v>1</v>
      </c>
      <c r="AE166" s="12" t="n">
        <v>0</v>
      </c>
      <c r="AF166" s="12">
        <f>IF(AD166&gt;0,IFERROR(VALUE(LEFT($D166,1)),1),0)</f>
        <v/>
      </c>
      <c r="AG166" s="12">
        <f>AD166*AF166</f>
        <v/>
      </c>
      <c r="AH166" s="9">
        <f>AC166*AG166</f>
        <v/>
      </c>
      <c r="AI166" s="9" t="n">
        <v>0</v>
      </c>
      <c r="AJ166" s="12" t="n">
        <v>0</v>
      </c>
      <c r="AK166" s="12" t="n">
        <v>0</v>
      </c>
      <c r="AL166" s="12">
        <f>IF(AJ166&gt;0,IFERROR(VALUE(LEFT($D166,1)),1),0)</f>
        <v/>
      </c>
      <c r="AM166" s="12">
        <f>AJ166*AL166</f>
        <v/>
      </c>
      <c r="AN166" s="9">
        <f>AI166*AM166</f>
        <v/>
      </c>
    </row>
    <row r="167">
      <c r="A167" s="12" t="inlineStr">
        <is>
          <t>TK</t>
        </is>
      </c>
      <c r="B167" s="12" t="inlineStr">
        <is>
          <t>Badanie TK twarzoczaszki + C miękkie + klatki piersiowej dwufazowe z kontrastem</t>
        </is>
      </c>
      <c r="C167" s="12" t="inlineStr">
        <is>
          <t>TK Onkologia</t>
        </is>
      </c>
      <c r="D167" s="12" t="inlineStr">
        <is>
          <t>3 okolice anatomiczne</t>
        </is>
      </c>
      <c r="E167" s="9" t="n">
        <v>0</v>
      </c>
      <c r="F167" s="12" t="n">
        <v>0</v>
      </c>
      <c r="G167" s="12" t="n">
        <v>0</v>
      </c>
      <c r="H167" s="12">
        <f>IF(F167&gt;0,IFERROR(VALUE(LEFT($D167,1)),1),0)</f>
        <v/>
      </c>
      <c r="I167" s="12">
        <f>F167*H167</f>
        <v/>
      </c>
      <c r="J167" s="9">
        <f>E167*I167</f>
        <v/>
      </c>
      <c r="K167" s="9" t="n">
        <v>0</v>
      </c>
      <c r="L167" s="12" t="n">
        <v>0</v>
      </c>
      <c r="M167" s="12" t="n">
        <v>0</v>
      </c>
      <c r="N167" s="12">
        <f>IF(L167&gt;0,IFERROR(VALUE(LEFT($D167,1)),1),0)</f>
        <v/>
      </c>
      <c r="O167" s="12">
        <f>L167*N167</f>
        <v/>
      </c>
      <c r="P167" s="9">
        <f>K167*O167</f>
        <v/>
      </c>
      <c r="Q167" s="9" t="n">
        <v>0</v>
      </c>
      <c r="R167" s="12" t="n">
        <v>0</v>
      </c>
      <c r="S167" s="12" t="n">
        <v>0</v>
      </c>
      <c r="T167" s="12">
        <f>IF(R167&gt;0,IFERROR(VALUE(LEFT($D167,1)),1),0)</f>
        <v/>
      </c>
      <c r="U167" s="12">
        <f>R167*T167</f>
        <v/>
      </c>
      <c r="V167" s="9">
        <f>Q167*U167</f>
        <v/>
      </c>
      <c r="W167" s="9" t="n">
        <v>0</v>
      </c>
      <c r="X167" s="12" t="n">
        <v>0</v>
      </c>
      <c r="Y167" s="12" t="n">
        <v>0</v>
      </c>
      <c r="Z167" s="12">
        <f>IF(X167&gt;0,IFERROR(VALUE(LEFT($D167,1)),1),0)</f>
        <v/>
      </c>
      <c r="AA167" s="12">
        <f>X167*Z167</f>
        <v/>
      </c>
      <c r="AB167" s="9">
        <f>W167*AA167</f>
        <v/>
      </c>
      <c r="AC167" s="9" t="n">
        <v>0</v>
      </c>
      <c r="AD167" s="12" t="n">
        <v>0</v>
      </c>
      <c r="AE167" s="12" t="n">
        <v>0</v>
      </c>
      <c r="AF167" s="12">
        <f>IF(AD167&gt;0,IFERROR(VALUE(LEFT($D167,1)),1),0)</f>
        <v/>
      </c>
      <c r="AG167" s="12">
        <f>AD167*AF167</f>
        <v/>
      </c>
      <c r="AH167" s="9">
        <f>AC167*AG167</f>
        <v/>
      </c>
      <c r="AI167" s="9" t="n">
        <v>110</v>
      </c>
      <c r="AJ167" s="12" t="n">
        <v>1</v>
      </c>
      <c r="AK167" s="12" t="n">
        <v>0</v>
      </c>
      <c r="AL167" s="12">
        <f>IF(AJ167&gt;0,IFERROR(VALUE(LEFT($D167,1)),1),0)</f>
        <v/>
      </c>
      <c r="AM167" s="12">
        <f>AJ167*AL167</f>
        <v/>
      </c>
      <c r="AN167" s="9">
        <f>AI167*AM167</f>
        <v/>
      </c>
    </row>
    <row r="168">
      <c r="A168" s="12" t="inlineStr">
        <is>
          <t>TK</t>
        </is>
      </c>
      <c r="B168" s="12" t="inlineStr">
        <is>
          <t>NFZ.TK UDA - Z KONTRASTEM</t>
        </is>
      </c>
      <c r="C168" s="12" t="inlineStr">
        <is>
          <t>TK Onkologia</t>
        </is>
      </c>
      <c r="D168" s="12" t="inlineStr">
        <is>
          <t>1 okolica anatomiczna</t>
        </is>
      </c>
      <c r="E168" s="9" t="n">
        <v>0</v>
      </c>
      <c r="F168" s="12" t="n">
        <v>0</v>
      </c>
      <c r="G168" s="12" t="n">
        <v>0</v>
      </c>
      <c r="H168" s="12">
        <f>IF(F168&gt;0,IFERROR(VALUE(LEFT($D168,1)),1),0)</f>
        <v/>
      </c>
      <c r="I168" s="12">
        <f>F168*H168</f>
        <v/>
      </c>
      <c r="J168" s="9">
        <f>E168*I168</f>
        <v/>
      </c>
      <c r="K168" s="9" t="n">
        <v>0</v>
      </c>
      <c r="L168" s="12" t="n">
        <v>0</v>
      </c>
      <c r="M168" s="12" t="n">
        <v>0</v>
      </c>
      <c r="N168" s="12">
        <f>IF(L168&gt;0,IFERROR(VALUE(LEFT($D168,1)),1),0)</f>
        <v/>
      </c>
      <c r="O168" s="12">
        <f>L168*N168</f>
        <v/>
      </c>
      <c r="P168" s="9">
        <f>K168*O168</f>
        <v/>
      </c>
      <c r="Q168" s="9" t="n">
        <v>0</v>
      </c>
      <c r="R168" s="12" t="n">
        <v>0</v>
      </c>
      <c r="S168" s="12" t="n">
        <v>0</v>
      </c>
      <c r="T168" s="12">
        <f>IF(R168&gt;0,IFERROR(VALUE(LEFT($D168,1)),1),0)</f>
        <v/>
      </c>
      <c r="U168" s="12">
        <f>R168*T168</f>
        <v/>
      </c>
      <c r="V168" s="9">
        <f>Q168*U168</f>
        <v/>
      </c>
      <c r="W168" s="9" t="n">
        <v>0</v>
      </c>
      <c r="X168" s="12" t="n">
        <v>0</v>
      </c>
      <c r="Y168" s="12" t="n">
        <v>0</v>
      </c>
      <c r="Z168" s="12">
        <f>IF(X168&gt;0,IFERROR(VALUE(LEFT($D168,1)),1),0)</f>
        <v/>
      </c>
      <c r="AA168" s="12">
        <f>X168*Z168</f>
        <v/>
      </c>
      <c r="AB168" s="9">
        <f>W168*AA168</f>
        <v/>
      </c>
      <c r="AC168" s="9" t="n">
        <v>0</v>
      </c>
      <c r="AD168" s="12" t="n">
        <v>0</v>
      </c>
      <c r="AE168" s="12" t="n">
        <v>0</v>
      </c>
      <c r="AF168" s="12">
        <f>IF(AD168&gt;0,IFERROR(VALUE(LEFT($D168,1)),1),0)</f>
        <v/>
      </c>
      <c r="AG168" s="12">
        <f>AD168*AF168</f>
        <v/>
      </c>
      <c r="AH168" s="9">
        <f>AC168*AG168</f>
        <v/>
      </c>
      <c r="AI168" s="9" t="n">
        <v>135</v>
      </c>
      <c r="AJ168" s="12" t="n">
        <v>1</v>
      </c>
      <c r="AK168" s="12" t="n">
        <v>1</v>
      </c>
      <c r="AL168" s="12">
        <f>IF(AJ168&gt;0,IFERROR(VALUE(LEFT($D168,1)),1),0)</f>
        <v/>
      </c>
      <c r="AM168" s="12">
        <f>AJ168*AL168</f>
        <v/>
      </c>
      <c r="AN168" s="9">
        <f>AI168*AM168</f>
        <v/>
      </c>
    </row>
    <row r="169">
      <c r="A169" s="12" t="inlineStr">
        <is>
          <t>TK</t>
        </is>
      </c>
      <c r="B169" s="12" t="inlineStr">
        <is>
          <t>TK KL. PIER. + J. BRZUSZ. + MM + KONTRAST</t>
        </is>
      </c>
      <c r="C169" s="12" t="inlineStr">
        <is>
          <t>TK Onkologia</t>
        </is>
      </c>
      <c r="D169" s="12" t="inlineStr">
        <is>
          <t>3 okolice anatomiczne</t>
        </is>
      </c>
      <c r="E169" s="9" t="n">
        <v>0</v>
      </c>
      <c r="F169" s="12" t="n">
        <v>0</v>
      </c>
      <c r="G169" s="12" t="n">
        <v>0</v>
      </c>
      <c r="H169" s="12">
        <f>IF(F169&gt;0,IFERROR(VALUE(LEFT($D169,1)),1),0)</f>
        <v/>
      </c>
      <c r="I169" s="12">
        <f>F169*H169</f>
        <v/>
      </c>
      <c r="J169" s="9">
        <f>E169*I169</f>
        <v/>
      </c>
      <c r="K169" s="9" t="n">
        <v>0</v>
      </c>
      <c r="L169" s="12" t="n">
        <v>0</v>
      </c>
      <c r="M169" s="12" t="n">
        <v>0</v>
      </c>
      <c r="N169" s="12">
        <f>IF(L169&gt;0,IFERROR(VALUE(LEFT($D169,1)),1),0)</f>
        <v/>
      </c>
      <c r="O169" s="12">
        <f>L169*N169</f>
        <v/>
      </c>
      <c r="P169" s="9">
        <f>K169*O169</f>
        <v/>
      </c>
      <c r="Q169" s="9" t="n">
        <v>0</v>
      </c>
      <c r="R169" s="12" t="n">
        <v>0</v>
      </c>
      <c r="S169" s="12" t="n">
        <v>0</v>
      </c>
      <c r="T169" s="12">
        <f>IF(R169&gt;0,IFERROR(VALUE(LEFT($D169,1)),1),0)</f>
        <v/>
      </c>
      <c r="U169" s="12">
        <f>R169*T169</f>
        <v/>
      </c>
      <c r="V169" s="9">
        <f>Q169*U169</f>
        <v/>
      </c>
      <c r="W169" s="9" t="n">
        <v>0</v>
      </c>
      <c r="X169" s="12" t="n">
        <v>0</v>
      </c>
      <c r="Y169" s="12" t="n">
        <v>0</v>
      </c>
      <c r="Z169" s="12">
        <f>IF(X169&gt;0,IFERROR(VALUE(LEFT($D169,1)),1),0)</f>
        <v/>
      </c>
      <c r="AA169" s="12">
        <f>X169*Z169</f>
        <v/>
      </c>
      <c r="AB169" s="9">
        <f>W169*AA169</f>
        <v/>
      </c>
      <c r="AC169" s="9" t="n">
        <v>0</v>
      </c>
      <c r="AD169" s="12" t="n">
        <v>0</v>
      </c>
      <c r="AE169" s="12" t="n">
        <v>0</v>
      </c>
      <c r="AF169" s="12">
        <f>IF(AD169&gt;0,IFERROR(VALUE(LEFT($D169,1)),1),0)</f>
        <v/>
      </c>
      <c r="AG169" s="12">
        <f>AD169*AF169</f>
        <v/>
      </c>
      <c r="AH169" s="9">
        <f>AC169*AG169</f>
        <v/>
      </c>
      <c r="AI169" s="9" t="n">
        <v>110</v>
      </c>
      <c r="AJ169" s="12" t="n">
        <v>1</v>
      </c>
      <c r="AK169" s="12" t="n">
        <v>3</v>
      </c>
      <c r="AL169" s="12">
        <f>IF(AJ169&gt;0,IFERROR(VALUE(LEFT($D169,1)),1),0)</f>
        <v/>
      </c>
      <c r="AM169" s="12">
        <f>AJ169*AL169</f>
        <v/>
      </c>
      <c r="AN169" s="9">
        <f>AI169*AM169</f>
        <v/>
      </c>
    </row>
    <row r="170">
      <c r="A170" s="12" t="inlineStr">
        <is>
          <t>TK</t>
        </is>
      </c>
      <c r="B170" s="12" t="inlineStr">
        <is>
          <t>TK jamy brzusznej + miednica bez i z wzmocnieniem kontrastowym</t>
        </is>
      </c>
      <c r="C170" s="12" t="inlineStr">
        <is>
          <t>TK Onkologia</t>
        </is>
      </c>
      <c r="D170" s="12" t="inlineStr">
        <is>
          <t>2 okolice anatomiczne</t>
        </is>
      </c>
      <c r="E170" s="9" t="n">
        <v>0</v>
      </c>
      <c r="F170" s="12" t="n">
        <v>0</v>
      </c>
      <c r="G170" s="12" t="n">
        <v>0</v>
      </c>
      <c r="H170" s="12">
        <f>IF(F170&gt;0,IFERROR(VALUE(LEFT($D170,1)),1),0)</f>
        <v/>
      </c>
      <c r="I170" s="12">
        <f>F170*H170</f>
        <v/>
      </c>
      <c r="J170" s="9">
        <f>E170*I170</f>
        <v/>
      </c>
      <c r="K170" s="9" t="n">
        <v>0</v>
      </c>
      <c r="L170" s="12" t="n">
        <v>0</v>
      </c>
      <c r="M170" s="12" t="n">
        <v>0</v>
      </c>
      <c r="N170" s="12">
        <f>IF(L170&gt;0,IFERROR(VALUE(LEFT($D170,1)),1),0)</f>
        <v/>
      </c>
      <c r="O170" s="12">
        <f>L170*N170</f>
        <v/>
      </c>
      <c r="P170" s="9">
        <f>K170*O170</f>
        <v/>
      </c>
      <c r="Q170" s="9" t="n">
        <v>0</v>
      </c>
      <c r="R170" s="12" t="n">
        <v>0</v>
      </c>
      <c r="S170" s="12" t="n">
        <v>0</v>
      </c>
      <c r="T170" s="12">
        <f>IF(R170&gt;0,IFERROR(VALUE(LEFT($D170,1)),1),0)</f>
        <v/>
      </c>
      <c r="U170" s="12">
        <f>R170*T170</f>
        <v/>
      </c>
      <c r="V170" s="9">
        <f>Q170*U170</f>
        <v/>
      </c>
      <c r="W170" s="9" t="n">
        <v>0</v>
      </c>
      <c r="X170" s="12" t="n">
        <v>0</v>
      </c>
      <c r="Y170" s="12" t="n">
        <v>0</v>
      </c>
      <c r="Z170" s="12">
        <f>IF(X170&gt;0,IFERROR(VALUE(LEFT($D170,1)),1),0)</f>
        <v/>
      </c>
      <c r="AA170" s="12">
        <f>X170*Z170</f>
        <v/>
      </c>
      <c r="AB170" s="9">
        <f>W170*AA170</f>
        <v/>
      </c>
      <c r="AC170" s="9" t="n">
        <v>0</v>
      </c>
      <c r="AD170" s="12" t="n">
        <v>0</v>
      </c>
      <c r="AE170" s="12" t="n">
        <v>0</v>
      </c>
      <c r="AF170" s="12">
        <f>IF(AD170&gt;0,IFERROR(VALUE(LEFT($D170,1)),1),0)</f>
        <v/>
      </c>
      <c r="AG170" s="12">
        <f>AD170*AF170</f>
        <v/>
      </c>
      <c r="AH170" s="9">
        <f>AC170*AG170</f>
        <v/>
      </c>
      <c r="AI170" s="9" t="n">
        <v>110</v>
      </c>
      <c r="AJ170" s="12" t="n">
        <v>1</v>
      </c>
      <c r="AK170" s="12" t="n">
        <v>0</v>
      </c>
      <c r="AL170" s="12">
        <f>IF(AJ170&gt;0,IFERROR(VALUE(LEFT($D170,1)),1),0)</f>
        <v/>
      </c>
      <c r="AM170" s="12">
        <f>AJ170*AL170</f>
        <v/>
      </c>
      <c r="AN170" s="9">
        <f>AI170*AM170</f>
        <v/>
      </c>
    </row>
    <row r="171">
      <c r="A171" s="12" t="inlineStr">
        <is>
          <t>TK</t>
        </is>
      </c>
      <c r="B171" s="12" t="inlineStr">
        <is>
          <t>TK klatki piersiowej z kontrastem (onko.)</t>
        </is>
      </c>
      <c r="C171" s="12" t="inlineStr">
        <is>
          <t>TK Onkologia</t>
        </is>
      </c>
      <c r="D171" s="12" t="inlineStr">
        <is>
          <t>1 okolica anatomiczna</t>
        </is>
      </c>
      <c r="E171" s="9" t="n">
        <v>0</v>
      </c>
      <c r="F171" s="12" t="n">
        <v>0</v>
      </c>
      <c r="G171" s="12" t="n">
        <v>0</v>
      </c>
      <c r="H171" s="12">
        <f>IF(F171&gt;0,IFERROR(VALUE(LEFT($D171,1)),1),0)</f>
        <v/>
      </c>
      <c r="I171" s="12">
        <f>F171*H171</f>
        <v/>
      </c>
      <c r="J171" s="9">
        <f>E171*I171</f>
        <v/>
      </c>
      <c r="K171" s="9" t="n">
        <v>0</v>
      </c>
      <c r="L171" s="12" t="n">
        <v>0</v>
      </c>
      <c r="M171" s="12" t="n">
        <v>0</v>
      </c>
      <c r="N171" s="12">
        <f>IF(L171&gt;0,IFERROR(VALUE(LEFT($D171,1)),1),0)</f>
        <v/>
      </c>
      <c r="O171" s="12">
        <f>L171*N171</f>
        <v/>
      </c>
      <c r="P171" s="9">
        <f>K171*O171</f>
        <v/>
      </c>
      <c r="Q171" s="9" t="n">
        <v>0</v>
      </c>
      <c r="R171" s="12" t="n">
        <v>0</v>
      </c>
      <c r="S171" s="12" t="n">
        <v>0</v>
      </c>
      <c r="T171" s="12">
        <f>IF(R171&gt;0,IFERROR(VALUE(LEFT($D171,1)),1),0)</f>
        <v/>
      </c>
      <c r="U171" s="12">
        <f>R171*T171</f>
        <v/>
      </c>
      <c r="V171" s="9">
        <f>Q171*U171</f>
        <v/>
      </c>
      <c r="W171" s="9" t="n">
        <v>0</v>
      </c>
      <c r="X171" s="12" t="n">
        <v>0</v>
      </c>
      <c r="Y171" s="12" t="n">
        <v>0</v>
      </c>
      <c r="Z171" s="12">
        <f>IF(X171&gt;0,IFERROR(VALUE(LEFT($D171,1)),1),0)</f>
        <v/>
      </c>
      <c r="AA171" s="12">
        <f>X171*Z171</f>
        <v/>
      </c>
      <c r="AB171" s="9">
        <f>W171*AA171</f>
        <v/>
      </c>
      <c r="AC171" s="9" t="n">
        <v>0</v>
      </c>
      <c r="AD171" s="12" t="n">
        <v>0</v>
      </c>
      <c r="AE171" s="12" t="n">
        <v>0</v>
      </c>
      <c r="AF171" s="12">
        <f>IF(AD171&gt;0,IFERROR(VALUE(LEFT($D171,1)),1),0)</f>
        <v/>
      </c>
      <c r="AG171" s="12">
        <f>AD171*AF171</f>
        <v/>
      </c>
      <c r="AH171" s="9">
        <f>AC171*AG171</f>
        <v/>
      </c>
      <c r="AI171" s="9" t="n">
        <v>140</v>
      </c>
      <c r="AJ171" s="12" t="n">
        <v>1</v>
      </c>
      <c r="AK171" s="12" t="n">
        <v>1</v>
      </c>
      <c r="AL171" s="12">
        <f>IF(AJ171&gt;0,IFERROR(VALUE(LEFT($D171,1)),1),0)</f>
        <v/>
      </c>
      <c r="AM171" s="12">
        <f>AJ171*AL171</f>
        <v/>
      </c>
      <c r="AN171" s="9">
        <f>AI171*AM171</f>
        <v/>
      </c>
    </row>
    <row r="172">
      <c r="A172" s="12" t="inlineStr">
        <is>
          <t>TK</t>
        </is>
      </c>
      <c r="B172" s="12" t="inlineStr">
        <is>
          <t>TK klp brzucha i miednicy z kontrastu</t>
        </is>
      </c>
      <c r="C172" s="12" t="inlineStr">
        <is>
          <t>TK Onkologia</t>
        </is>
      </c>
      <c r="D172" s="12" t="inlineStr">
        <is>
          <t>3 okolice anatomiczne</t>
        </is>
      </c>
      <c r="E172" s="9" t="n">
        <v>0</v>
      </c>
      <c r="F172" s="12" t="n">
        <v>0</v>
      </c>
      <c r="G172" s="12" t="n">
        <v>0</v>
      </c>
      <c r="H172" s="12">
        <f>IF(F172&gt;0,IFERROR(VALUE(LEFT($D172,1)),1),0)</f>
        <v/>
      </c>
      <c r="I172" s="12">
        <f>F172*H172</f>
        <v/>
      </c>
      <c r="J172" s="9">
        <f>E172*I172</f>
        <v/>
      </c>
      <c r="K172" s="9" t="n">
        <v>0</v>
      </c>
      <c r="L172" s="12" t="n">
        <v>0</v>
      </c>
      <c r="M172" s="12" t="n">
        <v>0</v>
      </c>
      <c r="N172" s="12">
        <f>IF(L172&gt;0,IFERROR(VALUE(LEFT($D172,1)),1),0)</f>
        <v/>
      </c>
      <c r="O172" s="12">
        <f>L172*N172</f>
        <v/>
      </c>
      <c r="P172" s="9">
        <f>K172*O172</f>
        <v/>
      </c>
      <c r="Q172" s="9" t="n">
        <v>0</v>
      </c>
      <c r="R172" s="12" t="n">
        <v>0</v>
      </c>
      <c r="S172" s="12" t="n">
        <v>0</v>
      </c>
      <c r="T172" s="12">
        <f>IF(R172&gt;0,IFERROR(VALUE(LEFT($D172,1)),1),0)</f>
        <v/>
      </c>
      <c r="U172" s="12">
        <f>R172*T172</f>
        <v/>
      </c>
      <c r="V172" s="9">
        <f>Q172*U172</f>
        <v/>
      </c>
      <c r="W172" s="9" t="n">
        <v>0</v>
      </c>
      <c r="X172" s="12" t="n">
        <v>0</v>
      </c>
      <c r="Y172" s="12" t="n">
        <v>0</v>
      </c>
      <c r="Z172" s="12">
        <f>IF(X172&gt;0,IFERROR(VALUE(LEFT($D172,1)),1),0)</f>
        <v/>
      </c>
      <c r="AA172" s="12">
        <f>X172*Z172</f>
        <v/>
      </c>
      <c r="AB172" s="9">
        <f>W172*AA172</f>
        <v/>
      </c>
      <c r="AC172" s="9" t="n">
        <v>0</v>
      </c>
      <c r="AD172" s="12" t="n">
        <v>0</v>
      </c>
      <c r="AE172" s="12" t="n">
        <v>0</v>
      </c>
      <c r="AF172" s="12">
        <f>IF(AD172&gt;0,IFERROR(VALUE(LEFT($D172,1)),1),0)</f>
        <v/>
      </c>
      <c r="AG172" s="12">
        <f>AD172*AF172</f>
        <v/>
      </c>
      <c r="AH172" s="9">
        <f>AC172*AG172</f>
        <v/>
      </c>
      <c r="AI172" s="9" t="n">
        <v>110</v>
      </c>
      <c r="AJ172" s="12" t="n">
        <v>1</v>
      </c>
      <c r="AK172" s="12" t="n">
        <v>0</v>
      </c>
      <c r="AL172" s="12">
        <f>IF(AJ172&gt;0,IFERROR(VALUE(LEFT($D172,1)),1),0)</f>
        <v/>
      </c>
      <c r="AM172" s="12">
        <f>AJ172*AL172</f>
        <v/>
      </c>
      <c r="AN172" s="9">
        <f>AI172*AM172</f>
        <v/>
      </c>
    </row>
    <row r="173">
      <c r="A173" s="12" t="inlineStr">
        <is>
          <t>TK</t>
        </is>
      </c>
      <c r="B173" s="12" t="inlineStr">
        <is>
          <t>TK kolana lewego</t>
        </is>
      </c>
      <c r="C173" s="12" t="inlineStr">
        <is>
          <t>TK Onkologia</t>
        </is>
      </c>
      <c r="D173" s="12" t="inlineStr">
        <is>
          <t>1 okolica anatomiczna</t>
        </is>
      </c>
      <c r="E173" s="9" t="n">
        <v>0</v>
      </c>
      <c r="F173" s="12" t="n">
        <v>0</v>
      </c>
      <c r="G173" s="12" t="n">
        <v>0</v>
      </c>
      <c r="H173" s="12">
        <f>IF(F173&gt;0,IFERROR(VALUE(LEFT($D173,1)),1),0)</f>
        <v/>
      </c>
      <c r="I173" s="12">
        <f>F173*H173</f>
        <v/>
      </c>
      <c r="J173" s="9">
        <f>E173*I173</f>
        <v/>
      </c>
      <c r="K173" s="9" t="n">
        <v>0</v>
      </c>
      <c r="L173" s="12" t="n">
        <v>0</v>
      </c>
      <c r="M173" s="12" t="n">
        <v>0</v>
      </c>
      <c r="N173" s="12">
        <f>IF(L173&gt;0,IFERROR(VALUE(LEFT($D173,1)),1),0)</f>
        <v/>
      </c>
      <c r="O173" s="12">
        <f>L173*N173</f>
        <v/>
      </c>
      <c r="P173" s="9">
        <f>K173*O173</f>
        <v/>
      </c>
      <c r="Q173" s="9" t="n">
        <v>0</v>
      </c>
      <c r="R173" s="12" t="n">
        <v>0</v>
      </c>
      <c r="S173" s="12" t="n">
        <v>0</v>
      </c>
      <c r="T173" s="12">
        <f>IF(R173&gt;0,IFERROR(VALUE(LEFT($D173,1)),1),0)</f>
        <v/>
      </c>
      <c r="U173" s="12">
        <f>R173*T173</f>
        <v/>
      </c>
      <c r="V173" s="9">
        <f>Q173*U173</f>
        <v/>
      </c>
      <c r="W173" s="9" t="n">
        <v>0</v>
      </c>
      <c r="X173" s="12" t="n">
        <v>0</v>
      </c>
      <c r="Y173" s="12" t="n">
        <v>0</v>
      </c>
      <c r="Z173" s="12">
        <f>IF(X173&gt;0,IFERROR(VALUE(LEFT($D173,1)),1),0)</f>
        <v/>
      </c>
      <c r="AA173" s="12">
        <f>X173*Z173</f>
        <v/>
      </c>
      <c r="AB173" s="9">
        <f>W173*AA173</f>
        <v/>
      </c>
      <c r="AC173" s="9" t="n">
        <v>0</v>
      </c>
      <c r="AD173" s="12" t="n">
        <v>0</v>
      </c>
      <c r="AE173" s="12" t="n">
        <v>0</v>
      </c>
      <c r="AF173" s="12">
        <f>IF(AD173&gt;0,IFERROR(VALUE(LEFT($D173,1)),1),0)</f>
        <v/>
      </c>
      <c r="AG173" s="12">
        <f>AD173*AF173</f>
        <v/>
      </c>
      <c r="AH173" s="9">
        <f>AC173*AG173</f>
        <v/>
      </c>
      <c r="AI173" s="9" t="n">
        <v>135</v>
      </c>
      <c r="AJ173" s="12" t="n">
        <v>1</v>
      </c>
      <c r="AK173" s="12" t="n">
        <v>0</v>
      </c>
      <c r="AL173" s="12">
        <f>IF(AJ173&gt;0,IFERROR(VALUE(LEFT($D173,1)),1),0)</f>
        <v/>
      </c>
      <c r="AM173" s="12">
        <f>AJ173*AL173</f>
        <v/>
      </c>
      <c r="AN173" s="9">
        <f>AI173*AM173</f>
        <v/>
      </c>
    </row>
    <row r="174">
      <c r="A174" s="12" t="inlineStr">
        <is>
          <t>TK</t>
        </is>
      </c>
      <c r="B174" s="12" t="inlineStr">
        <is>
          <t>TK szyi z konrastem</t>
        </is>
      </c>
      <c r="C174" s="12" t="inlineStr">
        <is>
          <t>TK Onkologia</t>
        </is>
      </c>
      <c r="D174" s="12" t="inlineStr">
        <is>
          <t>1 okolica anatomiczna</t>
        </is>
      </c>
      <c r="E174" s="9" t="n">
        <v>0</v>
      </c>
      <c r="F174" s="12" t="n">
        <v>0</v>
      </c>
      <c r="G174" s="12" t="n">
        <v>0</v>
      </c>
      <c r="H174" s="12">
        <f>IF(F174&gt;0,IFERROR(VALUE(LEFT($D174,1)),1),0)</f>
        <v/>
      </c>
      <c r="I174" s="12">
        <f>F174*H174</f>
        <v/>
      </c>
      <c r="J174" s="9">
        <f>E174*I174</f>
        <v/>
      </c>
      <c r="K174" s="9" t="n">
        <v>0</v>
      </c>
      <c r="L174" s="12" t="n">
        <v>0</v>
      </c>
      <c r="M174" s="12" t="n">
        <v>0</v>
      </c>
      <c r="N174" s="12">
        <f>IF(L174&gt;0,IFERROR(VALUE(LEFT($D174,1)),1),0)</f>
        <v/>
      </c>
      <c r="O174" s="12">
        <f>L174*N174</f>
        <v/>
      </c>
      <c r="P174" s="9">
        <f>K174*O174</f>
        <v/>
      </c>
      <c r="Q174" s="9" t="n">
        <v>0</v>
      </c>
      <c r="R174" s="12" t="n">
        <v>0</v>
      </c>
      <c r="S174" s="12" t="n">
        <v>0</v>
      </c>
      <c r="T174" s="12">
        <f>IF(R174&gt;0,IFERROR(VALUE(LEFT($D174,1)),1),0)</f>
        <v/>
      </c>
      <c r="U174" s="12">
        <f>R174*T174</f>
        <v/>
      </c>
      <c r="V174" s="9">
        <f>Q174*U174</f>
        <v/>
      </c>
      <c r="W174" s="9" t="n">
        <v>0</v>
      </c>
      <c r="X174" s="12" t="n">
        <v>0</v>
      </c>
      <c r="Y174" s="12" t="n">
        <v>0</v>
      </c>
      <c r="Z174" s="12">
        <f>IF(X174&gt;0,IFERROR(VALUE(LEFT($D174,1)),1),0)</f>
        <v/>
      </c>
      <c r="AA174" s="12">
        <f>X174*Z174</f>
        <v/>
      </c>
      <c r="AB174" s="9">
        <f>W174*AA174</f>
        <v/>
      </c>
      <c r="AC174" s="9" t="n">
        <v>0</v>
      </c>
      <c r="AD174" s="12" t="n">
        <v>0</v>
      </c>
      <c r="AE174" s="12" t="n">
        <v>0</v>
      </c>
      <c r="AF174" s="12">
        <f>IF(AD174&gt;0,IFERROR(VALUE(LEFT($D174,1)),1),0)</f>
        <v/>
      </c>
      <c r="AG174" s="12">
        <f>AD174*AF174</f>
        <v/>
      </c>
      <c r="AH174" s="9">
        <f>AC174*AG174</f>
        <v/>
      </c>
      <c r="AI174" s="9" t="n">
        <v>110</v>
      </c>
      <c r="AJ174" s="12" t="n">
        <v>1</v>
      </c>
      <c r="AK174" s="12" t="n">
        <v>0</v>
      </c>
      <c r="AL174" s="12">
        <f>IF(AJ174&gt;0,IFERROR(VALUE(LEFT($D174,1)),1),0)</f>
        <v/>
      </c>
      <c r="AM174" s="12">
        <f>AJ174*AL174</f>
        <v/>
      </c>
      <c r="AN174" s="9">
        <f>AI174*AM174</f>
        <v/>
      </c>
    </row>
    <row r="175">
      <c r="A175" s="12" t="inlineStr">
        <is>
          <t>TK</t>
        </is>
      </c>
      <c r="B175" s="12" t="inlineStr">
        <is>
          <t>Tomografia komputerowa - jama brzuszna bez kontrastu dożylnego bez pojenia doustnego z wtórnym opracowaniem</t>
        </is>
      </c>
      <c r="C175" s="12" t="inlineStr">
        <is>
          <t>TK Onkologia</t>
        </is>
      </c>
      <c r="D175" s="12" t="inlineStr">
        <is>
          <t>3 okolice anatomiczne</t>
        </is>
      </c>
      <c r="E175" s="9" t="n">
        <v>0</v>
      </c>
      <c r="F175" s="12" t="n">
        <v>0</v>
      </c>
      <c r="G175" s="12" t="n">
        <v>0</v>
      </c>
      <c r="H175" s="12">
        <f>IF(F175&gt;0,IFERROR(VALUE(LEFT($D175,1)),1),0)</f>
        <v/>
      </c>
      <c r="I175" s="12">
        <f>F175*H175</f>
        <v/>
      </c>
      <c r="J175" s="9">
        <f>E175*I175</f>
        <v/>
      </c>
      <c r="K175" s="9" t="n">
        <v>0</v>
      </c>
      <c r="L175" s="12" t="n">
        <v>0</v>
      </c>
      <c r="M175" s="12" t="n">
        <v>0</v>
      </c>
      <c r="N175" s="12">
        <f>IF(L175&gt;0,IFERROR(VALUE(LEFT($D175,1)),1),0)</f>
        <v/>
      </c>
      <c r="O175" s="12">
        <f>L175*N175</f>
        <v/>
      </c>
      <c r="P175" s="9">
        <f>K175*O175</f>
        <v/>
      </c>
      <c r="Q175" s="9" t="n">
        <v>0</v>
      </c>
      <c r="R175" s="12" t="n">
        <v>0</v>
      </c>
      <c r="S175" s="12" t="n">
        <v>0</v>
      </c>
      <c r="T175" s="12">
        <f>IF(R175&gt;0,IFERROR(VALUE(LEFT($D175,1)),1),0)</f>
        <v/>
      </c>
      <c r="U175" s="12">
        <f>R175*T175</f>
        <v/>
      </c>
      <c r="V175" s="9">
        <f>Q175*U175</f>
        <v/>
      </c>
      <c r="W175" s="9" t="n">
        <v>0</v>
      </c>
      <c r="X175" s="12" t="n">
        <v>0</v>
      </c>
      <c r="Y175" s="12" t="n">
        <v>0</v>
      </c>
      <c r="Z175" s="12">
        <f>IF(X175&gt;0,IFERROR(VALUE(LEFT($D175,1)),1),0)</f>
        <v/>
      </c>
      <c r="AA175" s="12">
        <f>X175*Z175</f>
        <v/>
      </c>
      <c r="AB175" s="9">
        <f>W175*AA175</f>
        <v/>
      </c>
      <c r="AC175" s="9" t="n">
        <v>0</v>
      </c>
      <c r="AD175" s="12" t="n">
        <v>0</v>
      </c>
      <c r="AE175" s="12" t="n">
        <v>0</v>
      </c>
      <c r="AF175" s="12">
        <f>IF(AD175&gt;0,IFERROR(VALUE(LEFT($D175,1)),1),0)</f>
        <v/>
      </c>
      <c r="AG175" s="12">
        <f>AD175*AF175</f>
        <v/>
      </c>
      <c r="AH175" s="9">
        <f>AC175*AG175</f>
        <v/>
      </c>
      <c r="AI175" s="9" t="n">
        <v>110</v>
      </c>
      <c r="AJ175" s="12" t="n">
        <v>1</v>
      </c>
      <c r="AK175" s="12" t="n">
        <v>0</v>
      </c>
      <c r="AL175" s="12">
        <f>IF(AJ175&gt;0,IFERROR(VALUE(LEFT($D175,1)),1),0)</f>
        <v/>
      </c>
      <c r="AM175" s="12">
        <f>AJ175*AL175</f>
        <v/>
      </c>
      <c r="AN175" s="9">
        <f>AI175*AM175</f>
        <v/>
      </c>
    </row>
    <row r="176">
      <c r="A176" s="12" t="inlineStr">
        <is>
          <t>TK</t>
        </is>
      </c>
      <c r="B176" s="12" t="inlineStr">
        <is>
          <t>Tomografia komputerowa klatki piersiowej bez pontrastu</t>
        </is>
      </c>
      <c r="C176" s="12" t="inlineStr">
        <is>
          <t>TK Onkologia</t>
        </is>
      </c>
      <c r="D176" s="12" t="inlineStr">
        <is>
          <t>1 okolica anatomiczna</t>
        </is>
      </c>
      <c r="E176" s="9" t="n">
        <v>0</v>
      </c>
      <c r="F176" s="12" t="n">
        <v>0</v>
      </c>
      <c r="G176" s="12" t="n">
        <v>0</v>
      </c>
      <c r="H176" s="12">
        <f>IF(F176&gt;0,IFERROR(VALUE(LEFT($D176,1)),1),0)</f>
        <v/>
      </c>
      <c r="I176" s="12">
        <f>F176*H176</f>
        <v/>
      </c>
      <c r="J176" s="9">
        <f>E176*I176</f>
        <v/>
      </c>
      <c r="K176" s="9" t="n">
        <v>0</v>
      </c>
      <c r="L176" s="12" t="n">
        <v>0</v>
      </c>
      <c r="M176" s="12" t="n">
        <v>0</v>
      </c>
      <c r="N176" s="12">
        <f>IF(L176&gt;0,IFERROR(VALUE(LEFT($D176,1)),1),0)</f>
        <v/>
      </c>
      <c r="O176" s="12">
        <f>L176*N176</f>
        <v/>
      </c>
      <c r="P176" s="9">
        <f>K176*O176</f>
        <v/>
      </c>
      <c r="Q176" s="9" t="n">
        <v>0</v>
      </c>
      <c r="R176" s="12" t="n">
        <v>0</v>
      </c>
      <c r="S176" s="12" t="n">
        <v>0</v>
      </c>
      <c r="T176" s="12">
        <f>IF(R176&gt;0,IFERROR(VALUE(LEFT($D176,1)),1),0)</f>
        <v/>
      </c>
      <c r="U176" s="12">
        <f>R176*T176</f>
        <v/>
      </c>
      <c r="V176" s="9">
        <f>Q176*U176</f>
        <v/>
      </c>
      <c r="W176" s="9" t="n">
        <v>0</v>
      </c>
      <c r="X176" s="12" t="n">
        <v>0</v>
      </c>
      <c r="Y176" s="12" t="n">
        <v>0</v>
      </c>
      <c r="Z176" s="12">
        <f>IF(X176&gt;0,IFERROR(VALUE(LEFT($D176,1)),1),0)</f>
        <v/>
      </c>
      <c r="AA176" s="12">
        <f>X176*Z176</f>
        <v/>
      </c>
      <c r="AB176" s="9">
        <f>W176*AA176</f>
        <v/>
      </c>
      <c r="AC176" s="9" t="n">
        <v>0</v>
      </c>
      <c r="AD176" s="12" t="n">
        <v>0</v>
      </c>
      <c r="AE176" s="12" t="n">
        <v>0</v>
      </c>
      <c r="AF176" s="12">
        <f>IF(AD176&gt;0,IFERROR(VALUE(LEFT($D176,1)),1),0)</f>
        <v/>
      </c>
      <c r="AG176" s="12">
        <f>AD176*AF176</f>
        <v/>
      </c>
      <c r="AH176" s="9">
        <f>AC176*AG176</f>
        <v/>
      </c>
      <c r="AI176" s="9" t="n">
        <v>110</v>
      </c>
      <c r="AJ176" s="12" t="n">
        <v>1</v>
      </c>
      <c r="AK176" s="12" t="n">
        <v>0</v>
      </c>
      <c r="AL176" s="12">
        <f>IF(AJ176&gt;0,IFERROR(VALUE(LEFT($D176,1)),1),0)</f>
        <v/>
      </c>
      <c r="AM176" s="12">
        <f>AJ176*AL176</f>
        <v/>
      </c>
      <c r="AN176" s="9">
        <f>AI176*AM176</f>
        <v/>
      </c>
    </row>
    <row r="177">
      <c r="A177" s="12" t="inlineStr">
        <is>
          <t>TK</t>
        </is>
      </c>
      <c r="B177" s="12" t="inlineStr">
        <is>
          <t>Tomografia komputerowa klatki piersiowej z kontrastem</t>
        </is>
      </c>
      <c r="C177" s="12" t="inlineStr">
        <is>
          <t>TK Onkologia</t>
        </is>
      </c>
      <c r="D177" s="12" t="inlineStr">
        <is>
          <t>3 okolice anatomiczne</t>
        </is>
      </c>
      <c r="E177" s="9" t="n">
        <v>0</v>
      </c>
      <c r="F177" s="12" t="n">
        <v>0</v>
      </c>
      <c r="G177" s="12" t="n">
        <v>0</v>
      </c>
      <c r="H177" s="12">
        <f>IF(F177&gt;0,IFERROR(VALUE(LEFT($D177,1)),1),0)</f>
        <v/>
      </c>
      <c r="I177" s="12">
        <f>F177*H177</f>
        <v/>
      </c>
      <c r="J177" s="9">
        <f>E177*I177</f>
        <v/>
      </c>
      <c r="K177" s="9" t="n">
        <v>0</v>
      </c>
      <c r="L177" s="12" t="n">
        <v>0</v>
      </c>
      <c r="M177" s="12" t="n">
        <v>0</v>
      </c>
      <c r="N177" s="12">
        <f>IF(L177&gt;0,IFERROR(VALUE(LEFT($D177,1)),1),0)</f>
        <v/>
      </c>
      <c r="O177" s="12">
        <f>L177*N177</f>
        <v/>
      </c>
      <c r="P177" s="9">
        <f>K177*O177</f>
        <v/>
      </c>
      <c r="Q177" s="9" t="n">
        <v>0</v>
      </c>
      <c r="R177" s="12" t="n">
        <v>0</v>
      </c>
      <c r="S177" s="12" t="n">
        <v>0</v>
      </c>
      <c r="T177" s="12">
        <f>IF(R177&gt;0,IFERROR(VALUE(LEFT($D177,1)),1),0)</f>
        <v/>
      </c>
      <c r="U177" s="12">
        <f>R177*T177</f>
        <v/>
      </c>
      <c r="V177" s="9">
        <f>Q177*U177</f>
        <v/>
      </c>
      <c r="W177" s="9" t="n">
        <v>0</v>
      </c>
      <c r="X177" s="12" t="n">
        <v>0</v>
      </c>
      <c r="Y177" s="12" t="n">
        <v>0</v>
      </c>
      <c r="Z177" s="12">
        <f>IF(X177&gt;0,IFERROR(VALUE(LEFT($D177,1)),1),0)</f>
        <v/>
      </c>
      <c r="AA177" s="12">
        <f>X177*Z177</f>
        <v/>
      </c>
      <c r="AB177" s="9">
        <f>W177*AA177</f>
        <v/>
      </c>
      <c r="AC177" s="9" t="n">
        <v>0</v>
      </c>
      <c r="AD177" s="12" t="n">
        <v>0</v>
      </c>
      <c r="AE177" s="12" t="n">
        <v>0</v>
      </c>
      <c r="AF177" s="12">
        <f>IF(AD177&gt;0,IFERROR(VALUE(LEFT($D177,1)),1),0)</f>
        <v/>
      </c>
      <c r="AG177" s="12">
        <f>AD177*AF177</f>
        <v/>
      </c>
      <c r="AH177" s="9">
        <f>AC177*AG177</f>
        <v/>
      </c>
      <c r="AI177" s="9" t="n">
        <v>110</v>
      </c>
      <c r="AJ177" s="12" t="n">
        <v>1</v>
      </c>
      <c r="AK177" s="12" t="n">
        <v>0</v>
      </c>
      <c r="AL177" s="12">
        <f>IF(AJ177&gt;0,IFERROR(VALUE(LEFT($D177,1)),1),0)</f>
        <v/>
      </c>
      <c r="AM177" s="12">
        <f>AJ177*AL177</f>
        <v/>
      </c>
      <c r="AN177" s="9">
        <f>AI177*AM177</f>
        <v/>
      </c>
    </row>
    <row r="178">
      <c r="A178" s="12" t="inlineStr">
        <is>
          <t>TK</t>
        </is>
      </c>
      <c r="B178" s="12" t="inlineStr">
        <is>
          <t>Tomografia komputerowa miednicy z kontrastem</t>
        </is>
      </c>
      <c r="C178" s="12" t="inlineStr">
        <is>
          <t>TK Onkologia</t>
        </is>
      </c>
      <c r="D178" s="12" t="inlineStr">
        <is>
          <t>1 okolica anatomiczna</t>
        </is>
      </c>
      <c r="E178" s="9" t="n">
        <v>0</v>
      </c>
      <c r="F178" s="12" t="n">
        <v>0</v>
      </c>
      <c r="G178" s="12" t="n">
        <v>0</v>
      </c>
      <c r="H178" s="12">
        <f>IF(F178&gt;0,IFERROR(VALUE(LEFT($D178,1)),1),0)</f>
        <v/>
      </c>
      <c r="I178" s="12">
        <f>F178*H178</f>
        <v/>
      </c>
      <c r="J178" s="9">
        <f>E178*I178</f>
        <v/>
      </c>
      <c r="K178" s="9" t="n">
        <v>0</v>
      </c>
      <c r="L178" s="12" t="n">
        <v>0</v>
      </c>
      <c r="M178" s="12" t="n">
        <v>0</v>
      </c>
      <c r="N178" s="12">
        <f>IF(L178&gt;0,IFERROR(VALUE(LEFT($D178,1)),1),0)</f>
        <v/>
      </c>
      <c r="O178" s="12">
        <f>L178*N178</f>
        <v/>
      </c>
      <c r="P178" s="9">
        <f>K178*O178</f>
        <v/>
      </c>
      <c r="Q178" s="9" t="n">
        <v>0</v>
      </c>
      <c r="R178" s="12" t="n">
        <v>0</v>
      </c>
      <c r="S178" s="12" t="n">
        <v>0</v>
      </c>
      <c r="T178" s="12">
        <f>IF(R178&gt;0,IFERROR(VALUE(LEFT($D178,1)),1),0)</f>
        <v/>
      </c>
      <c r="U178" s="12">
        <f>R178*T178</f>
        <v/>
      </c>
      <c r="V178" s="9">
        <f>Q178*U178</f>
        <v/>
      </c>
      <c r="W178" s="9" t="n">
        <v>0</v>
      </c>
      <c r="X178" s="12" t="n">
        <v>0</v>
      </c>
      <c r="Y178" s="12" t="n">
        <v>0</v>
      </c>
      <c r="Z178" s="12">
        <f>IF(X178&gt;0,IFERROR(VALUE(LEFT($D178,1)),1),0)</f>
        <v/>
      </c>
      <c r="AA178" s="12">
        <f>X178*Z178</f>
        <v/>
      </c>
      <c r="AB178" s="9">
        <f>W178*AA178</f>
        <v/>
      </c>
      <c r="AC178" s="9" t="n">
        <v>0</v>
      </c>
      <c r="AD178" s="12" t="n">
        <v>0</v>
      </c>
      <c r="AE178" s="12" t="n">
        <v>0</v>
      </c>
      <c r="AF178" s="12">
        <f>IF(AD178&gt;0,IFERROR(VALUE(LEFT($D178,1)),1),0)</f>
        <v/>
      </c>
      <c r="AG178" s="12">
        <f>AD178*AF178</f>
        <v/>
      </c>
      <c r="AH178" s="9">
        <f>AC178*AG178</f>
        <v/>
      </c>
      <c r="AI178" s="9" t="n">
        <v>110</v>
      </c>
      <c r="AJ178" s="12" t="n">
        <v>1</v>
      </c>
      <c r="AK178" s="12" t="n">
        <v>1</v>
      </c>
      <c r="AL178" s="12">
        <f>IF(AJ178&gt;0,IFERROR(VALUE(LEFT($D178,1)),1),0)</f>
        <v/>
      </c>
      <c r="AM178" s="12">
        <f>AJ178*AL178</f>
        <v/>
      </c>
      <c r="AN178" s="9">
        <f>AI178*AM178</f>
        <v/>
      </c>
    </row>
    <row r="179">
      <c r="A179" s="16" t="inlineStr">
        <is>
          <t>TK</t>
        </is>
      </c>
      <c r="B179" s="16" t="inlineStr">
        <is>
          <t>TK - jamy brzusznej i miednicy bez i z kontrastem</t>
        </is>
      </c>
      <c r="C179" s="16" t="inlineStr">
        <is>
          <t>TK Zwykłe</t>
        </is>
      </c>
      <c r="D179" s="16" t="inlineStr">
        <is>
          <t>2 okolice anatomiczne</t>
        </is>
      </c>
      <c r="E179" s="9" t="n">
        <v>0</v>
      </c>
      <c r="F179" s="16" t="n">
        <v>0</v>
      </c>
      <c r="G179" s="16" t="n">
        <v>0</v>
      </c>
      <c r="H179" s="16">
        <f>IF(F179&gt;0,IFERROR(VALUE(LEFT($D179,1)),1),0)</f>
        <v/>
      </c>
      <c r="I179" s="16">
        <f>F179*H179</f>
        <v/>
      </c>
      <c r="J179" s="9">
        <f>E179*I179</f>
        <v/>
      </c>
      <c r="K179" s="9" t="n">
        <v>0</v>
      </c>
      <c r="L179" s="16" t="n">
        <v>0</v>
      </c>
      <c r="M179" s="16" t="n">
        <v>0</v>
      </c>
      <c r="N179" s="16">
        <f>IF(L179&gt;0,IFERROR(VALUE(LEFT($D179,1)),1),0)</f>
        <v/>
      </c>
      <c r="O179" s="16">
        <f>L179*N179</f>
        <v/>
      </c>
      <c r="P179" s="9">
        <f>K179*O179</f>
        <v/>
      </c>
      <c r="Q179" s="9" t="n">
        <v>120</v>
      </c>
      <c r="R179" s="16" t="n">
        <v>1</v>
      </c>
      <c r="S179" s="16" t="n">
        <v>0</v>
      </c>
      <c r="T179" s="16">
        <f>IF(R179&gt;0,IFERROR(VALUE(LEFT($D179,1)),1),0)</f>
        <v/>
      </c>
      <c r="U179" s="16">
        <f>R179*T179</f>
        <v/>
      </c>
      <c r="V179" s="9">
        <f>Q179*U179</f>
        <v/>
      </c>
      <c r="W179" s="9" t="n">
        <v>0</v>
      </c>
      <c r="X179" s="16" t="n">
        <v>0</v>
      </c>
      <c r="Y179" s="16" t="n">
        <v>0</v>
      </c>
      <c r="Z179" s="16">
        <f>IF(X179&gt;0,IFERROR(VALUE(LEFT($D179,1)),1),0)</f>
        <v/>
      </c>
      <c r="AA179" s="16">
        <f>X179*Z179</f>
        <v/>
      </c>
      <c r="AB179" s="9">
        <f>W179*AA179</f>
        <v/>
      </c>
      <c r="AC179" s="9" t="n">
        <v>0</v>
      </c>
      <c r="AD179" s="16" t="n">
        <v>0</v>
      </c>
      <c r="AE179" s="16" t="n">
        <v>0</v>
      </c>
      <c r="AF179" s="16">
        <f>IF(AD179&gt;0,IFERROR(VALUE(LEFT($D179,1)),1),0)</f>
        <v/>
      </c>
      <c r="AG179" s="16">
        <f>AD179*AF179</f>
        <v/>
      </c>
      <c r="AH179" s="9">
        <f>AC179*AG179</f>
        <v/>
      </c>
      <c r="AI179" s="9" t="n">
        <v>0</v>
      </c>
      <c r="AJ179" s="16" t="n">
        <v>0</v>
      </c>
      <c r="AK179" s="16" t="n">
        <v>0</v>
      </c>
      <c r="AL179" s="16">
        <f>IF(AJ179&gt;0,IFERROR(VALUE(LEFT($D179,1)),1),0)</f>
        <v/>
      </c>
      <c r="AM179" s="16">
        <f>AJ179*AL179</f>
        <v/>
      </c>
      <c r="AN179" s="9">
        <f>AI179*AM179</f>
        <v/>
      </c>
    </row>
    <row r="180">
      <c r="A180" s="16" t="inlineStr">
        <is>
          <t>TK</t>
        </is>
      </c>
      <c r="B180" s="16" t="inlineStr">
        <is>
          <t>Bad. TK - Głowa bez kontrastu</t>
        </is>
      </c>
      <c r="C180" s="16" t="inlineStr">
        <is>
          <t>TK Zwykłe</t>
        </is>
      </c>
      <c r="D180" s="16" t="inlineStr">
        <is>
          <t>1 okolica anatomiczna</t>
        </is>
      </c>
      <c r="E180" s="9" t="n">
        <v>0</v>
      </c>
      <c r="F180" s="16" t="n">
        <v>0</v>
      </c>
      <c r="G180" s="16" t="n">
        <v>0</v>
      </c>
      <c r="H180" s="16">
        <f>IF(F180&gt;0,IFERROR(VALUE(LEFT($D180,1)),1),0)</f>
        <v/>
      </c>
      <c r="I180" s="16">
        <f>F180*H180</f>
        <v/>
      </c>
      <c r="J180" s="9">
        <f>E180*I180</f>
        <v/>
      </c>
      <c r="K180" s="9" t="n">
        <v>0</v>
      </c>
      <c r="L180" s="16" t="n">
        <v>0</v>
      </c>
      <c r="M180" s="16" t="n">
        <v>0</v>
      </c>
      <c r="N180" s="16">
        <f>IF(L180&gt;0,IFERROR(VALUE(LEFT($D180,1)),1),0)</f>
        <v/>
      </c>
      <c r="O180" s="16">
        <f>L180*N180</f>
        <v/>
      </c>
      <c r="P180" s="9">
        <f>K180*O180</f>
        <v/>
      </c>
      <c r="Q180" s="9" t="n">
        <v>0</v>
      </c>
      <c r="R180" s="16" t="n">
        <v>0</v>
      </c>
      <c r="S180" s="16" t="n">
        <v>0</v>
      </c>
      <c r="T180" s="16">
        <f>IF(R180&gt;0,IFERROR(VALUE(LEFT($D180,1)),1),0)</f>
        <v/>
      </c>
      <c r="U180" s="16">
        <f>R180*T180</f>
        <v/>
      </c>
      <c r="V180" s="9">
        <f>Q180*U180</f>
        <v/>
      </c>
      <c r="W180" s="9" t="n">
        <v>120</v>
      </c>
      <c r="X180" s="16" t="n">
        <v>9</v>
      </c>
      <c r="Y180" s="16" t="n">
        <v>1</v>
      </c>
      <c r="Z180" s="16">
        <f>IF(X180&gt;0,IFERROR(VALUE(LEFT($D180,1)),1),0)</f>
        <v/>
      </c>
      <c r="AA180" s="16">
        <f>X180*Z180</f>
        <v/>
      </c>
      <c r="AB180" s="9">
        <f>W180*AA180</f>
        <v/>
      </c>
      <c r="AC180" s="9" t="n">
        <v>0</v>
      </c>
      <c r="AD180" s="16" t="n">
        <v>0</v>
      </c>
      <c r="AE180" s="16" t="n">
        <v>0</v>
      </c>
      <c r="AF180" s="16">
        <f>IF(AD180&gt;0,IFERROR(VALUE(LEFT($D180,1)),1),0)</f>
        <v/>
      </c>
      <c r="AG180" s="16">
        <f>AD180*AF180</f>
        <v/>
      </c>
      <c r="AH180" s="9">
        <f>AC180*AG180</f>
        <v/>
      </c>
      <c r="AI180" s="9" t="n">
        <v>0</v>
      </c>
      <c r="AJ180" s="16" t="n">
        <v>0</v>
      </c>
      <c r="AK180" s="16" t="n">
        <v>0</v>
      </c>
      <c r="AL180" s="16">
        <f>IF(AJ180&gt;0,IFERROR(VALUE(LEFT($D180,1)),1),0)</f>
        <v/>
      </c>
      <c r="AM180" s="16">
        <f>AJ180*AL180</f>
        <v/>
      </c>
      <c r="AN180" s="9">
        <f>AI180*AM180</f>
        <v/>
      </c>
    </row>
    <row r="181">
      <c r="A181" s="16" t="inlineStr">
        <is>
          <t>TK</t>
        </is>
      </c>
      <c r="B181" s="16" t="inlineStr">
        <is>
          <t>Bad. TK - Głowa bez kontrastu</t>
        </is>
      </c>
      <c r="C181" s="16" t="inlineStr">
        <is>
          <t>TK Zwykłe</t>
        </is>
      </c>
      <c r="D181" s="16" t="inlineStr">
        <is>
          <t>2 okolice anatomiczne</t>
        </is>
      </c>
      <c r="E181" s="9" t="n">
        <v>0</v>
      </c>
      <c r="F181" s="16" t="n">
        <v>0</v>
      </c>
      <c r="G181" s="16" t="n">
        <v>0</v>
      </c>
      <c r="H181" s="16">
        <f>IF(F181&gt;0,IFERROR(VALUE(LEFT($D181,1)),1),0)</f>
        <v/>
      </c>
      <c r="I181" s="16">
        <f>F181*H181</f>
        <v/>
      </c>
      <c r="J181" s="9">
        <f>E181*I181</f>
        <v/>
      </c>
      <c r="K181" s="9" t="n">
        <v>0</v>
      </c>
      <c r="L181" s="16" t="n">
        <v>0</v>
      </c>
      <c r="M181" s="16" t="n">
        <v>0</v>
      </c>
      <c r="N181" s="16">
        <f>IF(L181&gt;0,IFERROR(VALUE(LEFT($D181,1)),1),0)</f>
        <v/>
      </c>
      <c r="O181" s="16">
        <f>L181*N181</f>
        <v/>
      </c>
      <c r="P181" s="9">
        <f>K181*O181</f>
        <v/>
      </c>
      <c r="Q181" s="9" t="n">
        <v>0</v>
      </c>
      <c r="R181" s="16" t="n">
        <v>0</v>
      </c>
      <c r="S181" s="16" t="n">
        <v>0</v>
      </c>
      <c r="T181" s="16">
        <f>IF(R181&gt;0,IFERROR(VALUE(LEFT($D181,1)),1),0)</f>
        <v/>
      </c>
      <c r="U181" s="16">
        <f>R181*T181</f>
        <v/>
      </c>
      <c r="V181" s="9">
        <f>Q181*U181</f>
        <v/>
      </c>
      <c r="W181" s="9" t="n">
        <v>120</v>
      </c>
      <c r="X181" s="16" t="n">
        <v>1</v>
      </c>
      <c r="Y181" s="16" t="n">
        <v>0</v>
      </c>
      <c r="Z181" s="16">
        <f>IF(X181&gt;0,IFERROR(VALUE(LEFT($D181,1)),1),0)</f>
        <v/>
      </c>
      <c r="AA181" s="16">
        <f>X181*Z181</f>
        <v/>
      </c>
      <c r="AB181" s="9">
        <f>W181*AA181</f>
        <v/>
      </c>
      <c r="AC181" s="9" t="n">
        <v>0</v>
      </c>
      <c r="AD181" s="16" t="n">
        <v>0</v>
      </c>
      <c r="AE181" s="16" t="n">
        <v>0</v>
      </c>
      <c r="AF181" s="16">
        <f>IF(AD181&gt;0,IFERROR(VALUE(LEFT($D181,1)),1),0)</f>
        <v/>
      </c>
      <c r="AG181" s="16">
        <f>AD181*AF181</f>
        <v/>
      </c>
      <c r="AH181" s="9">
        <f>AC181*AG181</f>
        <v/>
      </c>
      <c r="AI181" s="9" t="n">
        <v>0</v>
      </c>
      <c r="AJ181" s="16" t="n">
        <v>0</v>
      </c>
      <c r="AK181" s="16" t="n">
        <v>0</v>
      </c>
      <c r="AL181" s="16">
        <f>IF(AJ181&gt;0,IFERROR(VALUE(LEFT($D181,1)),1),0)</f>
        <v/>
      </c>
      <c r="AM181" s="16">
        <f>AJ181*AL181</f>
        <v/>
      </c>
      <c r="AN181" s="9">
        <f>AI181*AM181</f>
        <v/>
      </c>
    </row>
    <row r="182">
      <c r="A182" s="16" t="inlineStr">
        <is>
          <t>TK</t>
        </is>
      </c>
      <c r="B182" s="16" t="inlineStr">
        <is>
          <t>Bad. TK - Jama brzuszna bez kontrastu i z kontrastem</t>
        </is>
      </c>
      <c r="C182" s="16" t="inlineStr">
        <is>
          <t>TK Zwykłe</t>
        </is>
      </c>
      <c r="D182" s="16" t="inlineStr">
        <is>
          <t>1 okolica anatomiczna</t>
        </is>
      </c>
      <c r="E182" s="9" t="n">
        <v>0</v>
      </c>
      <c r="F182" s="16" t="n">
        <v>0</v>
      </c>
      <c r="G182" s="16" t="n">
        <v>0</v>
      </c>
      <c r="H182" s="16">
        <f>IF(F182&gt;0,IFERROR(VALUE(LEFT($D182,1)),1),0)</f>
        <v/>
      </c>
      <c r="I182" s="16">
        <f>F182*H182</f>
        <v/>
      </c>
      <c r="J182" s="9">
        <f>E182*I182</f>
        <v/>
      </c>
      <c r="K182" s="9" t="n">
        <v>0</v>
      </c>
      <c r="L182" s="16" t="n">
        <v>0</v>
      </c>
      <c r="M182" s="16" t="n">
        <v>0</v>
      </c>
      <c r="N182" s="16">
        <f>IF(L182&gt;0,IFERROR(VALUE(LEFT($D182,1)),1),0)</f>
        <v/>
      </c>
      <c r="O182" s="16">
        <f>L182*N182</f>
        <v/>
      </c>
      <c r="P182" s="9">
        <f>K182*O182</f>
        <v/>
      </c>
      <c r="Q182" s="9" t="n">
        <v>0</v>
      </c>
      <c r="R182" s="16" t="n">
        <v>0</v>
      </c>
      <c r="S182" s="16" t="n">
        <v>0</v>
      </c>
      <c r="T182" s="16">
        <f>IF(R182&gt;0,IFERROR(VALUE(LEFT($D182,1)),1),0)</f>
        <v/>
      </c>
      <c r="U182" s="16">
        <f>R182*T182</f>
        <v/>
      </c>
      <c r="V182" s="9">
        <f>Q182*U182</f>
        <v/>
      </c>
      <c r="W182" s="9" t="n">
        <v>120</v>
      </c>
      <c r="X182" s="16" t="n">
        <v>1</v>
      </c>
      <c r="Y182" s="16" t="n">
        <v>0</v>
      </c>
      <c r="Z182" s="16">
        <f>IF(X182&gt;0,IFERROR(VALUE(LEFT($D182,1)),1),0)</f>
        <v/>
      </c>
      <c r="AA182" s="16">
        <f>X182*Z182</f>
        <v/>
      </c>
      <c r="AB182" s="9">
        <f>W182*AA182</f>
        <v/>
      </c>
      <c r="AC182" s="9" t="n">
        <v>0</v>
      </c>
      <c r="AD182" s="16" t="n">
        <v>0</v>
      </c>
      <c r="AE182" s="16" t="n">
        <v>0</v>
      </c>
      <c r="AF182" s="16">
        <f>IF(AD182&gt;0,IFERROR(VALUE(LEFT($D182,1)),1),0)</f>
        <v/>
      </c>
      <c r="AG182" s="16">
        <f>AD182*AF182</f>
        <v/>
      </c>
      <c r="AH182" s="9">
        <f>AC182*AG182</f>
        <v/>
      </c>
      <c r="AI182" s="9" t="n">
        <v>0</v>
      </c>
      <c r="AJ182" s="16" t="n">
        <v>0</v>
      </c>
      <c r="AK182" s="16" t="n">
        <v>0</v>
      </c>
      <c r="AL182" s="16">
        <f>IF(AJ182&gt;0,IFERROR(VALUE(LEFT($D182,1)),1),0)</f>
        <v/>
      </c>
      <c r="AM182" s="16">
        <f>AJ182*AL182</f>
        <v/>
      </c>
      <c r="AN182" s="9">
        <f>AI182*AM182</f>
        <v/>
      </c>
    </row>
    <row r="183">
      <c r="A183" s="16" t="inlineStr">
        <is>
          <t>TK</t>
        </is>
      </c>
      <c r="B183" s="16" t="inlineStr">
        <is>
          <t>Bad. TK - Klatka piersiowa bez kontrastu</t>
        </is>
      </c>
      <c r="C183" s="16" t="inlineStr">
        <is>
          <t>TK Zwykłe</t>
        </is>
      </c>
      <c r="D183" s="16" t="inlineStr">
        <is>
          <t>1 okolica anatomiczna</t>
        </is>
      </c>
      <c r="E183" s="9" t="n">
        <v>0</v>
      </c>
      <c r="F183" s="16" t="n">
        <v>0</v>
      </c>
      <c r="G183" s="16" t="n">
        <v>0</v>
      </c>
      <c r="H183" s="16">
        <f>IF(F183&gt;0,IFERROR(VALUE(LEFT($D183,1)),1),0)</f>
        <v/>
      </c>
      <c r="I183" s="16">
        <f>F183*H183</f>
        <v/>
      </c>
      <c r="J183" s="9">
        <f>E183*I183</f>
        <v/>
      </c>
      <c r="K183" s="9" t="n">
        <v>0</v>
      </c>
      <c r="L183" s="16" t="n">
        <v>0</v>
      </c>
      <c r="M183" s="16" t="n">
        <v>0</v>
      </c>
      <c r="N183" s="16">
        <f>IF(L183&gt;0,IFERROR(VALUE(LEFT($D183,1)),1),0)</f>
        <v/>
      </c>
      <c r="O183" s="16">
        <f>L183*N183</f>
        <v/>
      </c>
      <c r="P183" s="9">
        <f>K183*O183</f>
        <v/>
      </c>
      <c r="Q183" s="9" t="n">
        <v>0</v>
      </c>
      <c r="R183" s="16" t="n">
        <v>0</v>
      </c>
      <c r="S183" s="16" t="n">
        <v>0</v>
      </c>
      <c r="T183" s="16">
        <f>IF(R183&gt;0,IFERROR(VALUE(LEFT($D183,1)),1),0)</f>
        <v/>
      </c>
      <c r="U183" s="16">
        <f>R183*T183</f>
        <v/>
      </c>
      <c r="V183" s="9">
        <f>Q183*U183</f>
        <v/>
      </c>
      <c r="W183" s="9" t="n">
        <v>120</v>
      </c>
      <c r="X183" s="16" t="n">
        <v>2</v>
      </c>
      <c r="Y183" s="16" t="n">
        <v>0</v>
      </c>
      <c r="Z183" s="16">
        <f>IF(X183&gt;0,IFERROR(VALUE(LEFT($D183,1)),1),0)</f>
        <v/>
      </c>
      <c r="AA183" s="16">
        <f>X183*Z183</f>
        <v/>
      </c>
      <c r="AB183" s="9">
        <f>W183*AA183</f>
        <v/>
      </c>
      <c r="AC183" s="9" t="n">
        <v>0</v>
      </c>
      <c r="AD183" s="16" t="n">
        <v>0</v>
      </c>
      <c r="AE183" s="16" t="n">
        <v>0</v>
      </c>
      <c r="AF183" s="16">
        <f>IF(AD183&gt;0,IFERROR(VALUE(LEFT($D183,1)),1),0)</f>
        <v/>
      </c>
      <c r="AG183" s="16">
        <f>AD183*AF183</f>
        <v/>
      </c>
      <c r="AH183" s="9">
        <f>AC183*AG183</f>
        <v/>
      </c>
      <c r="AI183" s="9" t="n">
        <v>0</v>
      </c>
      <c r="AJ183" s="16" t="n">
        <v>0</v>
      </c>
      <c r="AK183" s="16" t="n">
        <v>0</v>
      </c>
      <c r="AL183" s="16">
        <f>IF(AJ183&gt;0,IFERROR(VALUE(LEFT($D183,1)),1),0)</f>
        <v/>
      </c>
      <c r="AM183" s="16">
        <f>AJ183*AL183</f>
        <v/>
      </c>
      <c r="AN183" s="9">
        <f>AI183*AM183</f>
        <v/>
      </c>
    </row>
    <row r="184">
      <c r="A184" s="16" t="inlineStr">
        <is>
          <t>TK</t>
        </is>
      </c>
      <c r="B184" s="16" t="inlineStr">
        <is>
          <t>Bad. TK - Miednica bez kontrastu</t>
        </is>
      </c>
      <c r="C184" s="16" t="inlineStr">
        <is>
          <t>TK Zwykłe</t>
        </is>
      </c>
      <c r="D184" s="16" t="inlineStr">
        <is>
          <t>1 okolica anatomiczna</t>
        </is>
      </c>
      <c r="E184" s="9" t="n">
        <v>0</v>
      </c>
      <c r="F184" s="16" t="n">
        <v>0</v>
      </c>
      <c r="G184" s="16" t="n">
        <v>0</v>
      </c>
      <c r="H184" s="16">
        <f>IF(F184&gt;0,IFERROR(VALUE(LEFT($D184,1)),1),0)</f>
        <v/>
      </c>
      <c r="I184" s="16">
        <f>F184*H184</f>
        <v/>
      </c>
      <c r="J184" s="9">
        <f>E184*I184</f>
        <v/>
      </c>
      <c r="K184" s="9" t="n">
        <v>0</v>
      </c>
      <c r="L184" s="16" t="n">
        <v>0</v>
      </c>
      <c r="M184" s="16" t="n">
        <v>0</v>
      </c>
      <c r="N184" s="16">
        <f>IF(L184&gt;0,IFERROR(VALUE(LEFT($D184,1)),1),0)</f>
        <v/>
      </c>
      <c r="O184" s="16">
        <f>L184*N184</f>
        <v/>
      </c>
      <c r="P184" s="9">
        <f>K184*O184</f>
        <v/>
      </c>
      <c r="Q184" s="9" t="n">
        <v>0</v>
      </c>
      <c r="R184" s="16" t="n">
        <v>0</v>
      </c>
      <c r="S184" s="16" t="n">
        <v>0</v>
      </c>
      <c r="T184" s="16">
        <f>IF(R184&gt;0,IFERROR(VALUE(LEFT($D184,1)),1),0)</f>
        <v/>
      </c>
      <c r="U184" s="16">
        <f>R184*T184</f>
        <v/>
      </c>
      <c r="V184" s="9">
        <f>Q184*U184</f>
        <v/>
      </c>
      <c r="W184" s="9" t="n">
        <v>120</v>
      </c>
      <c r="X184" s="16" t="n">
        <v>1</v>
      </c>
      <c r="Y184" s="16" t="n">
        <v>0</v>
      </c>
      <c r="Z184" s="16">
        <f>IF(X184&gt;0,IFERROR(VALUE(LEFT($D184,1)),1),0)</f>
        <v/>
      </c>
      <c r="AA184" s="16">
        <f>X184*Z184</f>
        <v/>
      </c>
      <c r="AB184" s="9">
        <f>W184*AA184</f>
        <v/>
      </c>
      <c r="AC184" s="9" t="n">
        <v>0</v>
      </c>
      <c r="AD184" s="16" t="n">
        <v>0</v>
      </c>
      <c r="AE184" s="16" t="n">
        <v>0</v>
      </c>
      <c r="AF184" s="16">
        <f>IF(AD184&gt;0,IFERROR(VALUE(LEFT($D184,1)),1),0)</f>
        <v/>
      </c>
      <c r="AG184" s="16">
        <f>AD184*AF184</f>
        <v/>
      </c>
      <c r="AH184" s="9">
        <f>AC184*AG184</f>
        <v/>
      </c>
      <c r="AI184" s="9" t="n">
        <v>0</v>
      </c>
      <c r="AJ184" s="16" t="n">
        <v>0</v>
      </c>
      <c r="AK184" s="16" t="n">
        <v>0</v>
      </c>
      <c r="AL184" s="16">
        <f>IF(AJ184&gt;0,IFERROR(VALUE(LEFT($D184,1)),1),0)</f>
        <v/>
      </c>
      <c r="AM184" s="16">
        <f>AJ184*AL184</f>
        <v/>
      </c>
      <c r="AN184" s="9">
        <f>AI184*AM184</f>
        <v/>
      </c>
    </row>
    <row r="185">
      <c r="A185" s="16" t="inlineStr">
        <is>
          <t>TK</t>
        </is>
      </c>
      <c r="B185" s="16" t="inlineStr">
        <is>
          <t>Bad. TK - Miednica bez kontrastu i z kontrastem</t>
        </is>
      </c>
      <c r="C185" s="16" t="inlineStr">
        <is>
          <t>TK Zwykłe</t>
        </is>
      </c>
      <c r="D185" s="16" t="inlineStr">
        <is>
          <t>1 okolica anatomiczna</t>
        </is>
      </c>
      <c r="E185" s="9" t="n">
        <v>0</v>
      </c>
      <c r="F185" s="16" t="n">
        <v>0</v>
      </c>
      <c r="G185" s="16" t="n">
        <v>0</v>
      </c>
      <c r="H185" s="16">
        <f>IF(F185&gt;0,IFERROR(VALUE(LEFT($D185,1)),1),0)</f>
        <v/>
      </c>
      <c r="I185" s="16">
        <f>F185*H185</f>
        <v/>
      </c>
      <c r="J185" s="9">
        <f>E185*I185</f>
        <v/>
      </c>
      <c r="K185" s="9" t="n">
        <v>0</v>
      </c>
      <c r="L185" s="16" t="n">
        <v>0</v>
      </c>
      <c r="M185" s="16" t="n">
        <v>0</v>
      </c>
      <c r="N185" s="16">
        <f>IF(L185&gt;0,IFERROR(VALUE(LEFT($D185,1)),1),0)</f>
        <v/>
      </c>
      <c r="O185" s="16">
        <f>L185*N185</f>
        <v/>
      </c>
      <c r="P185" s="9">
        <f>K185*O185</f>
        <v/>
      </c>
      <c r="Q185" s="9" t="n">
        <v>0</v>
      </c>
      <c r="R185" s="16" t="n">
        <v>0</v>
      </c>
      <c r="S185" s="16" t="n">
        <v>0</v>
      </c>
      <c r="T185" s="16">
        <f>IF(R185&gt;0,IFERROR(VALUE(LEFT($D185,1)),1),0)</f>
        <v/>
      </c>
      <c r="U185" s="16">
        <f>R185*T185</f>
        <v/>
      </c>
      <c r="V185" s="9">
        <f>Q185*U185</f>
        <v/>
      </c>
      <c r="W185" s="9" t="n">
        <v>120</v>
      </c>
      <c r="X185" s="16" t="n">
        <v>1</v>
      </c>
      <c r="Y185" s="16" t="n">
        <v>0</v>
      </c>
      <c r="Z185" s="16">
        <f>IF(X185&gt;0,IFERROR(VALUE(LEFT($D185,1)),1),0)</f>
        <v/>
      </c>
      <c r="AA185" s="16">
        <f>X185*Z185</f>
        <v/>
      </c>
      <c r="AB185" s="9">
        <f>W185*AA185</f>
        <v/>
      </c>
      <c r="AC185" s="9" t="n">
        <v>0</v>
      </c>
      <c r="AD185" s="16" t="n">
        <v>0</v>
      </c>
      <c r="AE185" s="16" t="n">
        <v>0</v>
      </c>
      <c r="AF185" s="16">
        <f>IF(AD185&gt;0,IFERROR(VALUE(LEFT($D185,1)),1),0)</f>
        <v/>
      </c>
      <c r="AG185" s="16">
        <f>AD185*AF185</f>
        <v/>
      </c>
      <c r="AH185" s="9">
        <f>AC185*AG185</f>
        <v/>
      </c>
      <c r="AI185" s="9" t="n">
        <v>0</v>
      </c>
      <c r="AJ185" s="16" t="n">
        <v>0</v>
      </c>
      <c r="AK185" s="16" t="n">
        <v>0</v>
      </c>
      <c r="AL185" s="16">
        <f>IF(AJ185&gt;0,IFERROR(VALUE(LEFT($D185,1)),1),0)</f>
        <v/>
      </c>
      <c r="AM185" s="16">
        <f>AJ185*AL185</f>
        <v/>
      </c>
      <c r="AN185" s="9">
        <f>AI185*AM185</f>
        <v/>
      </c>
    </row>
    <row r="186">
      <c r="A186" s="16" t="inlineStr">
        <is>
          <t>TK</t>
        </is>
      </c>
      <c r="B186" s="16" t="inlineStr">
        <is>
          <t>Bad. TK - Odcinek lędźwiowy kręgosłupa bez kontrastu</t>
        </is>
      </c>
      <c r="C186" s="16" t="inlineStr">
        <is>
          <t>TK Zwykłe</t>
        </is>
      </c>
      <c r="D186" s="16" t="inlineStr">
        <is>
          <t>1 okolica anatomiczna</t>
        </is>
      </c>
      <c r="E186" s="9" t="n">
        <v>0</v>
      </c>
      <c r="F186" s="16" t="n">
        <v>0</v>
      </c>
      <c r="G186" s="16" t="n">
        <v>0</v>
      </c>
      <c r="H186" s="16">
        <f>IF(F186&gt;0,IFERROR(VALUE(LEFT($D186,1)),1),0)</f>
        <v/>
      </c>
      <c r="I186" s="16">
        <f>F186*H186</f>
        <v/>
      </c>
      <c r="J186" s="9">
        <f>E186*I186</f>
        <v/>
      </c>
      <c r="K186" s="9" t="n">
        <v>0</v>
      </c>
      <c r="L186" s="16" t="n">
        <v>0</v>
      </c>
      <c r="M186" s="16" t="n">
        <v>0</v>
      </c>
      <c r="N186" s="16">
        <f>IF(L186&gt;0,IFERROR(VALUE(LEFT($D186,1)),1),0)</f>
        <v/>
      </c>
      <c r="O186" s="16">
        <f>L186*N186</f>
        <v/>
      </c>
      <c r="P186" s="9">
        <f>K186*O186</f>
        <v/>
      </c>
      <c r="Q186" s="9" t="n">
        <v>0</v>
      </c>
      <c r="R186" s="16" t="n">
        <v>0</v>
      </c>
      <c r="S186" s="16" t="n">
        <v>0</v>
      </c>
      <c r="T186" s="16">
        <f>IF(R186&gt;0,IFERROR(VALUE(LEFT($D186,1)),1),0)</f>
        <v/>
      </c>
      <c r="U186" s="16">
        <f>R186*T186</f>
        <v/>
      </c>
      <c r="V186" s="9">
        <f>Q186*U186</f>
        <v/>
      </c>
      <c r="W186" s="9" t="n">
        <v>120</v>
      </c>
      <c r="X186" s="16" t="n">
        <v>1</v>
      </c>
      <c r="Y186" s="16" t="n">
        <v>0</v>
      </c>
      <c r="Z186" s="16">
        <f>IF(X186&gt;0,IFERROR(VALUE(LEFT($D186,1)),1),0)</f>
        <v/>
      </c>
      <c r="AA186" s="16">
        <f>X186*Z186</f>
        <v/>
      </c>
      <c r="AB186" s="9">
        <f>W186*AA186</f>
        <v/>
      </c>
      <c r="AC186" s="9" t="n">
        <v>0</v>
      </c>
      <c r="AD186" s="16" t="n">
        <v>0</v>
      </c>
      <c r="AE186" s="16" t="n">
        <v>0</v>
      </c>
      <c r="AF186" s="16">
        <f>IF(AD186&gt;0,IFERROR(VALUE(LEFT($D186,1)),1),0)</f>
        <v/>
      </c>
      <c r="AG186" s="16">
        <f>AD186*AF186</f>
        <v/>
      </c>
      <c r="AH186" s="9">
        <f>AC186*AG186</f>
        <v/>
      </c>
      <c r="AI186" s="9" t="n">
        <v>0</v>
      </c>
      <c r="AJ186" s="16" t="n">
        <v>0</v>
      </c>
      <c r="AK186" s="16" t="n">
        <v>0</v>
      </c>
      <c r="AL186" s="16">
        <f>IF(AJ186&gt;0,IFERROR(VALUE(LEFT($D186,1)),1),0)</f>
        <v/>
      </c>
      <c r="AM186" s="16">
        <f>AJ186*AL186</f>
        <v/>
      </c>
      <c r="AN186" s="9">
        <f>AI186*AM186</f>
        <v/>
      </c>
    </row>
    <row r="187">
      <c r="A187" s="16" t="inlineStr">
        <is>
          <t>TK</t>
        </is>
      </c>
      <c r="B187" s="16" t="inlineStr">
        <is>
          <t>Bad. TK - Odcinek szyjny kręgosłupa bez kontrastu</t>
        </is>
      </c>
      <c r="C187" s="16" t="inlineStr">
        <is>
          <t>TK Zwykłe</t>
        </is>
      </c>
      <c r="D187" s="16" t="inlineStr">
        <is>
          <t>1 okolica anatomiczna</t>
        </is>
      </c>
      <c r="E187" s="9" t="n">
        <v>0</v>
      </c>
      <c r="F187" s="16" t="n">
        <v>0</v>
      </c>
      <c r="G187" s="16" t="n">
        <v>0</v>
      </c>
      <c r="H187" s="16">
        <f>IF(F187&gt;0,IFERROR(VALUE(LEFT($D187,1)),1),0)</f>
        <v/>
      </c>
      <c r="I187" s="16">
        <f>F187*H187</f>
        <v/>
      </c>
      <c r="J187" s="9">
        <f>E187*I187</f>
        <v/>
      </c>
      <c r="K187" s="9" t="n">
        <v>0</v>
      </c>
      <c r="L187" s="16" t="n">
        <v>0</v>
      </c>
      <c r="M187" s="16" t="n">
        <v>0</v>
      </c>
      <c r="N187" s="16">
        <f>IF(L187&gt;0,IFERROR(VALUE(LEFT($D187,1)),1),0)</f>
        <v/>
      </c>
      <c r="O187" s="16">
        <f>L187*N187</f>
        <v/>
      </c>
      <c r="P187" s="9">
        <f>K187*O187</f>
        <v/>
      </c>
      <c r="Q187" s="9" t="n">
        <v>0</v>
      </c>
      <c r="R187" s="16" t="n">
        <v>0</v>
      </c>
      <c r="S187" s="16" t="n">
        <v>0</v>
      </c>
      <c r="T187" s="16">
        <f>IF(R187&gt;0,IFERROR(VALUE(LEFT($D187,1)),1),0)</f>
        <v/>
      </c>
      <c r="U187" s="16">
        <f>R187*T187</f>
        <v/>
      </c>
      <c r="V187" s="9">
        <f>Q187*U187</f>
        <v/>
      </c>
      <c r="W187" s="9" t="n">
        <v>120</v>
      </c>
      <c r="X187" s="16" t="n">
        <v>1</v>
      </c>
      <c r="Y187" s="16" t="n">
        <v>0</v>
      </c>
      <c r="Z187" s="16">
        <f>IF(X187&gt;0,IFERROR(VALUE(LEFT($D187,1)),1),0)</f>
        <v/>
      </c>
      <c r="AA187" s="16">
        <f>X187*Z187</f>
        <v/>
      </c>
      <c r="AB187" s="9">
        <f>W187*AA187</f>
        <v/>
      </c>
      <c r="AC187" s="9" t="n">
        <v>0</v>
      </c>
      <c r="AD187" s="16" t="n">
        <v>0</v>
      </c>
      <c r="AE187" s="16" t="n">
        <v>0</v>
      </c>
      <c r="AF187" s="16">
        <f>IF(AD187&gt;0,IFERROR(VALUE(LEFT($D187,1)),1),0)</f>
        <v/>
      </c>
      <c r="AG187" s="16">
        <f>AD187*AF187</f>
        <v/>
      </c>
      <c r="AH187" s="9">
        <f>AC187*AG187</f>
        <v/>
      </c>
      <c r="AI187" s="9" t="n">
        <v>0</v>
      </c>
      <c r="AJ187" s="16" t="n">
        <v>0</v>
      </c>
      <c r="AK187" s="16" t="n">
        <v>0</v>
      </c>
      <c r="AL187" s="16">
        <f>IF(AJ187&gt;0,IFERROR(VALUE(LEFT($D187,1)),1),0)</f>
        <v/>
      </c>
      <c r="AM187" s="16">
        <f>AJ187*AL187</f>
        <v/>
      </c>
      <c r="AN187" s="9">
        <f>AI187*AM187</f>
        <v/>
      </c>
    </row>
    <row r="188">
      <c r="A188" s="16" t="inlineStr">
        <is>
          <t>TK</t>
        </is>
      </c>
      <c r="B188" s="16" t="inlineStr">
        <is>
          <t>Bad. TK - Szyja bez kontrastu</t>
        </is>
      </c>
      <c r="C188" s="16" t="inlineStr">
        <is>
          <t>TK Zwykłe</t>
        </is>
      </c>
      <c r="D188" s="16" t="inlineStr"/>
      <c r="E188" s="9" t="n">
        <v>0</v>
      </c>
      <c r="F188" s="16" t="n">
        <v>0</v>
      </c>
      <c r="G188" s="16" t="n">
        <v>0</v>
      </c>
      <c r="H188" s="16">
        <f>IF(F188&gt;0,IFERROR(VALUE(LEFT($D188,1)),1),0)</f>
        <v/>
      </c>
      <c r="I188" s="16">
        <f>F188*H188</f>
        <v/>
      </c>
      <c r="J188" s="9">
        <f>E188*I188</f>
        <v/>
      </c>
      <c r="K188" s="9" t="n">
        <v>0</v>
      </c>
      <c r="L188" s="16" t="n">
        <v>0</v>
      </c>
      <c r="M188" s="16" t="n">
        <v>0</v>
      </c>
      <c r="N188" s="16">
        <f>IF(L188&gt;0,IFERROR(VALUE(LEFT($D188,1)),1),0)</f>
        <v/>
      </c>
      <c r="O188" s="16">
        <f>L188*N188</f>
        <v/>
      </c>
      <c r="P188" s="9">
        <f>K188*O188</f>
        <v/>
      </c>
      <c r="Q188" s="9" t="n">
        <v>0</v>
      </c>
      <c r="R188" s="16" t="n">
        <v>0</v>
      </c>
      <c r="S188" s="16" t="n">
        <v>0</v>
      </c>
      <c r="T188" s="16">
        <f>IF(R188&gt;0,IFERROR(VALUE(LEFT($D188,1)),1),0)</f>
        <v/>
      </c>
      <c r="U188" s="16">
        <f>R188*T188</f>
        <v/>
      </c>
      <c r="V188" s="9">
        <f>Q188*U188</f>
        <v/>
      </c>
      <c r="W188" s="9" t="n">
        <v>120</v>
      </c>
      <c r="X188" s="16" t="n">
        <v>1</v>
      </c>
      <c r="Y188" s="16" t="n">
        <v>0</v>
      </c>
      <c r="Z188" s="16">
        <f>IF(X188&gt;0,IFERROR(VALUE(LEFT($D188,1)),1),0)</f>
        <v/>
      </c>
      <c r="AA188" s="16">
        <f>X188*Z188</f>
        <v/>
      </c>
      <c r="AB188" s="9">
        <f>W188*AA188</f>
        <v/>
      </c>
      <c r="AC188" s="9" t="n">
        <v>0</v>
      </c>
      <c r="AD188" s="16" t="n">
        <v>0</v>
      </c>
      <c r="AE188" s="16" t="n">
        <v>0</v>
      </c>
      <c r="AF188" s="16">
        <f>IF(AD188&gt;0,IFERROR(VALUE(LEFT($D188,1)),1),0)</f>
        <v/>
      </c>
      <c r="AG188" s="16">
        <f>AD188*AF188</f>
        <v/>
      </c>
      <c r="AH188" s="9">
        <f>AC188*AG188</f>
        <v/>
      </c>
      <c r="AI188" s="9" t="n">
        <v>0</v>
      </c>
      <c r="AJ188" s="16" t="n">
        <v>0</v>
      </c>
      <c r="AK188" s="16" t="n">
        <v>0</v>
      </c>
      <c r="AL188" s="16">
        <f>IF(AJ188&gt;0,IFERROR(VALUE(LEFT($D188,1)),1),0)</f>
        <v/>
      </c>
      <c r="AM188" s="16">
        <f>AJ188*AL188</f>
        <v/>
      </c>
      <c r="AN188" s="9">
        <f>AI188*AM188</f>
        <v/>
      </c>
    </row>
    <row r="189">
      <c r="A189" s="16" t="inlineStr">
        <is>
          <t>TK</t>
        </is>
      </c>
      <c r="B189" s="16" t="inlineStr">
        <is>
          <t>Bad. TK - Twarzoczaszka bez kontrastu</t>
        </is>
      </c>
      <c r="C189" s="16" t="inlineStr">
        <is>
          <t>TK Zwykłe</t>
        </is>
      </c>
      <c r="D189" s="16" t="inlineStr">
        <is>
          <t>1 okolica anatomiczna</t>
        </is>
      </c>
      <c r="E189" s="9" t="n">
        <v>0</v>
      </c>
      <c r="F189" s="16" t="n">
        <v>0</v>
      </c>
      <c r="G189" s="16" t="n">
        <v>0</v>
      </c>
      <c r="H189" s="16">
        <f>IF(F189&gt;0,IFERROR(VALUE(LEFT($D189,1)),1),0)</f>
        <v/>
      </c>
      <c r="I189" s="16">
        <f>F189*H189</f>
        <v/>
      </c>
      <c r="J189" s="9">
        <f>E189*I189</f>
        <v/>
      </c>
      <c r="K189" s="9" t="n">
        <v>0</v>
      </c>
      <c r="L189" s="16" t="n">
        <v>0</v>
      </c>
      <c r="M189" s="16" t="n">
        <v>0</v>
      </c>
      <c r="N189" s="16">
        <f>IF(L189&gt;0,IFERROR(VALUE(LEFT($D189,1)),1),0)</f>
        <v/>
      </c>
      <c r="O189" s="16">
        <f>L189*N189</f>
        <v/>
      </c>
      <c r="P189" s="9">
        <f>K189*O189</f>
        <v/>
      </c>
      <c r="Q189" s="9" t="n">
        <v>0</v>
      </c>
      <c r="R189" s="16" t="n">
        <v>0</v>
      </c>
      <c r="S189" s="16" t="n">
        <v>0</v>
      </c>
      <c r="T189" s="16">
        <f>IF(R189&gt;0,IFERROR(VALUE(LEFT($D189,1)),1),0)</f>
        <v/>
      </c>
      <c r="U189" s="16">
        <f>R189*T189</f>
        <v/>
      </c>
      <c r="V189" s="9">
        <f>Q189*U189</f>
        <v/>
      </c>
      <c r="W189" s="9" t="n">
        <v>120</v>
      </c>
      <c r="X189" s="16" t="n">
        <v>3</v>
      </c>
      <c r="Y189" s="16" t="n">
        <v>0</v>
      </c>
      <c r="Z189" s="16">
        <f>IF(X189&gt;0,IFERROR(VALUE(LEFT($D189,1)),1),0)</f>
        <v/>
      </c>
      <c r="AA189" s="16">
        <f>X189*Z189</f>
        <v/>
      </c>
      <c r="AB189" s="9">
        <f>W189*AA189</f>
        <v/>
      </c>
      <c r="AC189" s="9" t="n">
        <v>0</v>
      </c>
      <c r="AD189" s="16" t="n">
        <v>0</v>
      </c>
      <c r="AE189" s="16" t="n">
        <v>0</v>
      </c>
      <c r="AF189" s="16">
        <f>IF(AD189&gt;0,IFERROR(VALUE(LEFT($D189,1)),1),0)</f>
        <v/>
      </c>
      <c r="AG189" s="16">
        <f>AD189*AF189</f>
        <v/>
      </c>
      <c r="AH189" s="9">
        <f>AC189*AG189</f>
        <v/>
      </c>
      <c r="AI189" s="9" t="n">
        <v>0</v>
      </c>
      <c r="AJ189" s="16" t="n">
        <v>0</v>
      </c>
      <c r="AK189" s="16" t="n">
        <v>0</v>
      </c>
      <c r="AL189" s="16">
        <f>IF(AJ189&gt;0,IFERROR(VALUE(LEFT($D189,1)),1),0)</f>
        <v/>
      </c>
      <c r="AM189" s="16">
        <f>AJ189*AL189</f>
        <v/>
      </c>
      <c r="AN189" s="9">
        <f>AI189*AM189</f>
        <v/>
      </c>
    </row>
    <row r="190">
      <c r="A190" s="16" t="inlineStr">
        <is>
          <t>TK</t>
        </is>
      </c>
      <c r="B190" s="16" t="inlineStr">
        <is>
          <t>Badanie TK głowy</t>
        </is>
      </c>
      <c r="C190" s="16" t="inlineStr">
        <is>
          <t>TK Zwykłe</t>
        </is>
      </c>
      <c r="D190" s="16" t="inlineStr">
        <is>
          <t>1 okolica anatomiczna</t>
        </is>
      </c>
      <c r="E190" s="9" t="n">
        <v>0</v>
      </c>
      <c r="F190" s="16" t="n">
        <v>0</v>
      </c>
      <c r="G190" s="16" t="n">
        <v>0</v>
      </c>
      <c r="H190" s="16">
        <f>IF(F190&gt;0,IFERROR(VALUE(LEFT($D190,1)),1),0)</f>
        <v/>
      </c>
      <c r="I190" s="16">
        <f>F190*H190</f>
        <v/>
      </c>
      <c r="J190" s="9">
        <f>E190*I190</f>
        <v/>
      </c>
      <c r="K190" s="9" t="n">
        <v>0</v>
      </c>
      <c r="L190" s="16" t="n">
        <v>0</v>
      </c>
      <c r="M190" s="16" t="n">
        <v>0</v>
      </c>
      <c r="N190" s="16">
        <f>IF(L190&gt;0,IFERROR(VALUE(LEFT($D190,1)),1),0)</f>
        <v/>
      </c>
      <c r="O190" s="16">
        <f>L190*N190</f>
        <v/>
      </c>
      <c r="P190" s="9">
        <f>K190*O190</f>
        <v/>
      </c>
      <c r="Q190" s="9" t="n">
        <v>0</v>
      </c>
      <c r="R190" s="16" t="n">
        <v>0</v>
      </c>
      <c r="S190" s="16" t="n">
        <v>0</v>
      </c>
      <c r="T190" s="16">
        <f>IF(R190&gt;0,IFERROR(VALUE(LEFT($D190,1)),1),0)</f>
        <v/>
      </c>
      <c r="U190" s="16">
        <f>R190*T190</f>
        <v/>
      </c>
      <c r="V190" s="9">
        <f>Q190*U190</f>
        <v/>
      </c>
      <c r="W190" s="9" t="n">
        <v>120</v>
      </c>
      <c r="X190" s="16" t="n">
        <v>5</v>
      </c>
      <c r="Y190" s="16" t="n">
        <v>0</v>
      </c>
      <c r="Z190" s="16">
        <f>IF(X190&gt;0,IFERROR(VALUE(LEFT($D190,1)),1),0)</f>
        <v/>
      </c>
      <c r="AA190" s="16">
        <f>X190*Z190</f>
        <v/>
      </c>
      <c r="AB190" s="9">
        <f>W190*AA190</f>
        <v/>
      </c>
      <c r="AC190" s="9" t="n">
        <v>0</v>
      </c>
      <c r="AD190" s="16" t="n">
        <v>0</v>
      </c>
      <c r="AE190" s="16" t="n">
        <v>0</v>
      </c>
      <c r="AF190" s="16">
        <f>IF(AD190&gt;0,IFERROR(VALUE(LEFT($D190,1)),1),0)</f>
        <v/>
      </c>
      <c r="AG190" s="16">
        <f>AD190*AF190</f>
        <v/>
      </c>
      <c r="AH190" s="9">
        <f>AC190*AG190</f>
        <v/>
      </c>
      <c r="AI190" s="9" t="n">
        <v>0</v>
      </c>
      <c r="AJ190" s="16" t="n">
        <v>0</v>
      </c>
      <c r="AK190" s="16" t="n">
        <v>0</v>
      </c>
      <c r="AL190" s="16">
        <f>IF(AJ190&gt;0,IFERROR(VALUE(LEFT($D190,1)),1),0)</f>
        <v/>
      </c>
      <c r="AM190" s="16">
        <f>AJ190*AL190</f>
        <v/>
      </c>
      <c r="AN190" s="9">
        <f>AI190*AM190</f>
        <v/>
      </c>
    </row>
    <row r="191">
      <c r="A191" s="16" t="inlineStr">
        <is>
          <t>TK</t>
        </is>
      </c>
      <c r="B191" s="16" t="inlineStr">
        <is>
          <t>Badanie TK głowy bez wzmocnienia konstrastowego</t>
        </is>
      </c>
      <c r="C191" s="16" t="inlineStr">
        <is>
          <t>TK Zwykłe</t>
        </is>
      </c>
      <c r="D191" s="16" t="inlineStr">
        <is>
          <t>1 okolica anatomiczna</t>
        </is>
      </c>
      <c r="E191" s="9" t="n">
        <v>0</v>
      </c>
      <c r="F191" s="16" t="n">
        <v>0</v>
      </c>
      <c r="G191" s="16" t="n">
        <v>0</v>
      </c>
      <c r="H191" s="16">
        <f>IF(F191&gt;0,IFERROR(VALUE(LEFT($D191,1)),1),0)</f>
        <v/>
      </c>
      <c r="I191" s="16">
        <f>F191*H191</f>
        <v/>
      </c>
      <c r="J191" s="9">
        <f>E191*I191</f>
        <v/>
      </c>
      <c r="K191" s="9" t="n">
        <v>0</v>
      </c>
      <c r="L191" s="16" t="n">
        <v>0</v>
      </c>
      <c r="M191" s="16" t="n">
        <v>0</v>
      </c>
      <c r="N191" s="16">
        <f>IF(L191&gt;0,IFERROR(VALUE(LEFT($D191,1)),1),0)</f>
        <v/>
      </c>
      <c r="O191" s="16">
        <f>L191*N191</f>
        <v/>
      </c>
      <c r="P191" s="9">
        <f>K191*O191</f>
        <v/>
      </c>
      <c r="Q191" s="9" t="n">
        <v>0</v>
      </c>
      <c r="R191" s="16" t="n">
        <v>0</v>
      </c>
      <c r="S191" s="16" t="n">
        <v>0</v>
      </c>
      <c r="T191" s="16">
        <f>IF(R191&gt;0,IFERROR(VALUE(LEFT($D191,1)),1),0)</f>
        <v/>
      </c>
      <c r="U191" s="16">
        <f>R191*T191</f>
        <v/>
      </c>
      <c r="V191" s="9">
        <f>Q191*U191</f>
        <v/>
      </c>
      <c r="W191" s="9" t="n">
        <v>120</v>
      </c>
      <c r="X191" s="16" t="n">
        <v>8</v>
      </c>
      <c r="Y191" s="16" t="n">
        <v>0</v>
      </c>
      <c r="Z191" s="16">
        <f>IF(X191&gt;0,IFERROR(VALUE(LEFT($D191,1)),1),0)</f>
        <v/>
      </c>
      <c r="AA191" s="16">
        <f>X191*Z191</f>
        <v/>
      </c>
      <c r="AB191" s="9">
        <f>W191*AA191</f>
        <v/>
      </c>
      <c r="AC191" s="9" t="n">
        <v>0</v>
      </c>
      <c r="AD191" s="16" t="n">
        <v>0</v>
      </c>
      <c r="AE191" s="16" t="n">
        <v>0</v>
      </c>
      <c r="AF191" s="16">
        <f>IF(AD191&gt;0,IFERROR(VALUE(LEFT($D191,1)),1),0)</f>
        <v/>
      </c>
      <c r="AG191" s="16">
        <f>AD191*AF191</f>
        <v/>
      </c>
      <c r="AH191" s="9">
        <f>AC191*AG191</f>
        <v/>
      </c>
      <c r="AI191" s="9" t="n">
        <v>0</v>
      </c>
      <c r="AJ191" s="16" t="n">
        <v>0</v>
      </c>
      <c r="AK191" s="16" t="n">
        <v>0</v>
      </c>
      <c r="AL191" s="16">
        <f>IF(AJ191&gt;0,IFERROR(VALUE(LEFT($D191,1)),1),0)</f>
        <v/>
      </c>
      <c r="AM191" s="16">
        <f>AJ191*AL191</f>
        <v/>
      </c>
      <c r="AN191" s="9">
        <f>AI191*AM191</f>
        <v/>
      </c>
    </row>
    <row r="192">
      <c r="A192" s="16" t="inlineStr">
        <is>
          <t>TK</t>
        </is>
      </c>
      <c r="B192" s="16" t="inlineStr">
        <is>
          <t>Badanie TK jamy brzusznej bez i ze wzmocnieniem kontrastowym - wielofazowe</t>
        </is>
      </c>
      <c r="C192" s="16" t="inlineStr">
        <is>
          <t>TK Zwykłe</t>
        </is>
      </c>
      <c r="D192" s="16" t="inlineStr">
        <is>
          <t>1 okolica anatomiczna</t>
        </is>
      </c>
      <c r="E192" s="9" t="n">
        <v>0</v>
      </c>
      <c r="F192" s="16" t="n">
        <v>0</v>
      </c>
      <c r="G192" s="16" t="n">
        <v>0</v>
      </c>
      <c r="H192" s="16">
        <f>IF(F192&gt;0,IFERROR(VALUE(LEFT($D192,1)),1),0)</f>
        <v/>
      </c>
      <c r="I192" s="16">
        <f>F192*H192</f>
        <v/>
      </c>
      <c r="J192" s="9">
        <f>E192*I192</f>
        <v/>
      </c>
      <c r="K192" s="9" t="n">
        <v>0</v>
      </c>
      <c r="L192" s="16" t="n">
        <v>0</v>
      </c>
      <c r="M192" s="16" t="n">
        <v>0</v>
      </c>
      <c r="N192" s="16">
        <f>IF(L192&gt;0,IFERROR(VALUE(LEFT($D192,1)),1),0)</f>
        <v/>
      </c>
      <c r="O192" s="16">
        <f>L192*N192</f>
        <v/>
      </c>
      <c r="P192" s="9">
        <f>K192*O192</f>
        <v/>
      </c>
      <c r="Q192" s="9" t="n">
        <v>0</v>
      </c>
      <c r="R192" s="16" t="n">
        <v>0</v>
      </c>
      <c r="S192" s="16" t="n">
        <v>0</v>
      </c>
      <c r="T192" s="16">
        <f>IF(R192&gt;0,IFERROR(VALUE(LEFT($D192,1)),1),0)</f>
        <v/>
      </c>
      <c r="U192" s="16">
        <f>R192*T192</f>
        <v/>
      </c>
      <c r="V192" s="9">
        <f>Q192*U192</f>
        <v/>
      </c>
      <c r="W192" s="9" t="n">
        <v>120</v>
      </c>
      <c r="X192" s="16" t="n">
        <v>2</v>
      </c>
      <c r="Y192" s="16" t="n">
        <v>0</v>
      </c>
      <c r="Z192" s="16">
        <f>IF(X192&gt;0,IFERROR(VALUE(LEFT($D192,1)),1),0)</f>
        <v/>
      </c>
      <c r="AA192" s="16">
        <f>X192*Z192</f>
        <v/>
      </c>
      <c r="AB192" s="9">
        <f>W192*AA192</f>
        <v/>
      </c>
      <c r="AC192" s="9" t="n">
        <v>0</v>
      </c>
      <c r="AD192" s="16" t="n">
        <v>0</v>
      </c>
      <c r="AE192" s="16" t="n">
        <v>0</v>
      </c>
      <c r="AF192" s="16">
        <f>IF(AD192&gt;0,IFERROR(VALUE(LEFT($D192,1)),1),0)</f>
        <v/>
      </c>
      <c r="AG192" s="16">
        <f>AD192*AF192</f>
        <v/>
      </c>
      <c r="AH192" s="9">
        <f>AC192*AG192</f>
        <v/>
      </c>
      <c r="AI192" s="9" t="n">
        <v>0</v>
      </c>
      <c r="AJ192" s="16" t="n">
        <v>0</v>
      </c>
      <c r="AK192" s="16" t="n">
        <v>0</v>
      </c>
      <c r="AL192" s="16">
        <f>IF(AJ192&gt;0,IFERROR(VALUE(LEFT($D192,1)),1),0)</f>
        <v/>
      </c>
      <c r="AM192" s="16">
        <f>AJ192*AL192</f>
        <v/>
      </c>
      <c r="AN192" s="9">
        <f>AI192*AM192</f>
        <v/>
      </c>
    </row>
    <row r="193">
      <c r="A193" s="16" t="inlineStr">
        <is>
          <t>TK</t>
        </is>
      </c>
      <c r="B193" s="16" t="inlineStr">
        <is>
          <t>Badanie TK jamy brzusznej i miednicy</t>
        </is>
      </c>
      <c r="C193" s="16" t="inlineStr">
        <is>
          <t>TK Zwykłe</t>
        </is>
      </c>
      <c r="D193" s="16" t="inlineStr">
        <is>
          <t>2 okolice anatomiczne</t>
        </is>
      </c>
      <c r="E193" s="9" t="n">
        <v>0</v>
      </c>
      <c r="F193" s="16" t="n">
        <v>0</v>
      </c>
      <c r="G193" s="16" t="n">
        <v>0</v>
      </c>
      <c r="H193" s="16">
        <f>IF(F193&gt;0,IFERROR(VALUE(LEFT($D193,1)),1),0)</f>
        <v/>
      </c>
      <c r="I193" s="16">
        <f>F193*H193</f>
        <v/>
      </c>
      <c r="J193" s="9">
        <f>E193*I193</f>
        <v/>
      </c>
      <c r="K193" s="9" t="n">
        <v>0</v>
      </c>
      <c r="L193" s="16" t="n">
        <v>0</v>
      </c>
      <c r="M193" s="16" t="n">
        <v>0</v>
      </c>
      <c r="N193" s="16">
        <f>IF(L193&gt;0,IFERROR(VALUE(LEFT($D193,1)),1),0)</f>
        <v/>
      </c>
      <c r="O193" s="16">
        <f>L193*N193</f>
        <v/>
      </c>
      <c r="P193" s="9">
        <f>K193*O193</f>
        <v/>
      </c>
      <c r="Q193" s="9" t="n">
        <v>0</v>
      </c>
      <c r="R193" s="16" t="n">
        <v>0</v>
      </c>
      <c r="S193" s="16" t="n">
        <v>0</v>
      </c>
      <c r="T193" s="16">
        <f>IF(R193&gt;0,IFERROR(VALUE(LEFT($D193,1)),1),0)</f>
        <v/>
      </c>
      <c r="U193" s="16">
        <f>R193*T193</f>
        <v/>
      </c>
      <c r="V193" s="9">
        <f>Q193*U193</f>
        <v/>
      </c>
      <c r="W193" s="9" t="n">
        <v>120</v>
      </c>
      <c r="X193" s="16" t="n">
        <v>1</v>
      </c>
      <c r="Y193" s="16" t="n">
        <v>0</v>
      </c>
      <c r="Z193" s="16">
        <f>IF(X193&gt;0,IFERROR(VALUE(LEFT($D193,1)),1),0)</f>
        <v/>
      </c>
      <c r="AA193" s="16">
        <f>X193*Z193</f>
        <v/>
      </c>
      <c r="AB193" s="9">
        <f>W193*AA193</f>
        <v/>
      </c>
      <c r="AC193" s="9" t="n">
        <v>0</v>
      </c>
      <c r="AD193" s="16" t="n">
        <v>0</v>
      </c>
      <c r="AE193" s="16" t="n">
        <v>0</v>
      </c>
      <c r="AF193" s="16">
        <f>IF(AD193&gt;0,IFERROR(VALUE(LEFT($D193,1)),1),0)</f>
        <v/>
      </c>
      <c r="AG193" s="16">
        <f>AD193*AF193</f>
        <v/>
      </c>
      <c r="AH193" s="9">
        <f>AC193*AG193</f>
        <v/>
      </c>
      <c r="AI193" s="9" t="n">
        <v>0</v>
      </c>
      <c r="AJ193" s="16" t="n">
        <v>0</v>
      </c>
      <c r="AK193" s="16" t="n">
        <v>0</v>
      </c>
      <c r="AL193" s="16">
        <f>IF(AJ193&gt;0,IFERROR(VALUE(LEFT($D193,1)),1),0)</f>
        <v/>
      </c>
      <c r="AM193" s="16">
        <f>AJ193*AL193</f>
        <v/>
      </c>
      <c r="AN193" s="9">
        <f>AI193*AM193</f>
        <v/>
      </c>
    </row>
    <row r="194">
      <c r="A194" s="16" t="inlineStr">
        <is>
          <t>TK</t>
        </is>
      </c>
      <c r="B194" s="16" t="inlineStr">
        <is>
          <t>Badanie TK jamy brzusznej i miednicy dwufazowe z kontrastem</t>
        </is>
      </c>
      <c r="C194" s="16" t="inlineStr">
        <is>
          <t>TK Zwykłe</t>
        </is>
      </c>
      <c r="D194" s="16" t="inlineStr">
        <is>
          <t>2 okolice anatomiczne</t>
        </is>
      </c>
      <c r="E194" s="9" t="n">
        <v>0</v>
      </c>
      <c r="F194" s="16" t="n">
        <v>0</v>
      </c>
      <c r="G194" s="16" t="n">
        <v>0</v>
      </c>
      <c r="H194" s="16">
        <f>IF(F194&gt;0,IFERROR(VALUE(LEFT($D194,1)),1),0)</f>
        <v/>
      </c>
      <c r="I194" s="16">
        <f>F194*H194</f>
        <v/>
      </c>
      <c r="J194" s="9">
        <f>E194*I194</f>
        <v/>
      </c>
      <c r="K194" s="9" t="n">
        <v>0</v>
      </c>
      <c r="L194" s="16" t="n">
        <v>0</v>
      </c>
      <c r="M194" s="16" t="n">
        <v>0</v>
      </c>
      <c r="N194" s="16">
        <f>IF(L194&gt;0,IFERROR(VALUE(LEFT($D194,1)),1),0)</f>
        <v/>
      </c>
      <c r="O194" s="16">
        <f>L194*N194</f>
        <v/>
      </c>
      <c r="P194" s="9">
        <f>K194*O194</f>
        <v/>
      </c>
      <c r="Q194" s="9" t="n">
        <v>0</v>
      </c>
      <c r="R194" s="16" t="n">
        <v>0</v>
      </c>
      <c r="S194" s="16" t="n">
        <v>0</v>
      </c>
      <c r="T194" s="16">
        <f>IF(R194&gt;0,IFERROR(VALUE(LEFT($D194,1)),1),0)</f>
        <v/>
      </c>
      <c r="U194" s="16">
        <f>R194*T194</f>
        <v/>
      </c>
      <c r="V194" s="9">
        <f>Q194*U194</f>
        <v/>
      </c>
      <c r="W194" s="9" t="n">
        <v>120</v>
      </c>
      <c r="X194" s="16" t="n">
        <v>2</v>
      </c>
      <c r="Y194" s="16" t="n">
        <v>0</v>
      </c>
      <c r="Z194" s="16">
        <f>IF(X194&gt;0,IFERROR(VALUE(LEFT($D194,1)),1),0)</f>
        <v/>
      </c>
      <c r="AA194" s="16">
        <f>X194*Z194</f>
        <v/>
      </c>
      <c r="AB194" s="9">
        <f>W194*AA194</f>
        <v/>
      </c>
      <c r="AC194" s="9" t="n">
        <v>120</v>
      </c>
      <c r="AD194" s="16" t="n">
        <v>1</v>
      </c>
      <c r="AE194" s="16" t="n">
        <v>0</v>
      </c>
      <c r="AF194" s="16">
        <f>IF(AD194&gt;0,IFERROR(VALUE(LEFT($D194,1)),1),0)</f>
        <v/>
      </c>
      <c r="AG194" s="16">
        <f>AD194*AF194</f>
        <v/>
      </c>
      <c r="AH194" s="9">
        <f>AC194*AG194</f>
        <v/>
      </c>
      <c r="AI194" s="9" t="n">
        <v>0</v>
      </c>
      <c r="AJ194" s="16" t="n">
        <v>0</v>
      </c>
      <c r="AK194" s="16" t="n">
        <v>0</v>
      </c>
      <c r="AL194" s="16">
        <f>IF(AJ194&gt;0,IFERROR(VALUE(LEFT($D194,1)),1),0)</f>
        <v/>
      </c>
      <c r="AM194" s="16">
        <f>AJ194*AL194</f>
        <v/>
      </c>
      <c r="AN194" s="9">
        <f>AI194*AM194</f>
        <v/>
      </c>
    </row>
    <row r="195">
      <c r="A195" s="16" t="inlineStr">
        <is>
          <t>TK</t>
        </is>
      </c>
      <c r="B195" s="16" t="inlineStr">
        <is>
          <t>Badanie TK kręgosłupa lędźwiowego</t>
        </is>
      </c>
      <c r="C195" s="16" t="inlineStr">
        <is>
          <t>TK Zwykłe</t>
        </is>
      </c>
      <c r="D195" s="16" t="inlineStr">
        <is>
          <t>1 okolica anatomiczna</t>
        </is>
      </c>
      <c r="E195" s="9" t="n">
        <v>0</v>
      </c>
      <c r="F195" s="16" t="n">
        <v>0</v>
      </c>
      <c r="G195" s="16" t="n">
        <v>0</v>
      </c>
      <c r="H195" s="16">
        <f>IF(F195&gt;0,IFERROR(VALUE(LEFT($D195,1)),1),0)</f>
        <v/>
      </c>
      <c r="I195" s="16">
        <f>F195*H195</f>
        <v/>
      </c>
      <c r="J195" s="9">
        <f>E195*I195</f>
        <v/>
      </c>
      <c r="K195" s="9" t="n">
        <v>0</v>
      </c>
      <c r="L195" s="16" t="n">
        <v>0</v>
      </c>
      <c r="M195" s="16" t="n">
        <v>0</v>
      </c>
      <c r="N195" s="16">
        <f>IF(L195&gt;0,IFERROR(VALUE(LEFT($D195,1)),1),0)</f>
        <v/>
      </c>
      <c r="O195" s="16">
        <f>L195*N195</f>
        <v/>
      </c>
      <c r="P195" s="9">
        <f>K195*O195</f>
        <v/>
      </c>
      <c r="Q195" s="9" t="n">
        <v>0</v>
      </c>
      <c r="R195" s="16" t="n">
        <v>0</v>
      </c>
      <c r="S195" s="16" t="n">
        <v>0</v>
      </c>
      <c r="T195" s="16">
        <f>IF(R195&gt;0,IFERROR(VALUE(LEFT($D195,1)),1),0)</f>
        <v/>
      </c>
      <c r="U195" s="16">
        <f>R195*T195</f>
        <v/>
      </c>
      <c r="V195" s="9">
        <f>Q195*U195</f>
        <v/>
      </c>
      <c r="W195" s="9" t="n">
        <v>120</v>
      </c>
      <c r="X195" s="16" t="n">
        <v>1</v>
      </c>
      <c r="Y195" s="16" t="n">
        <v>0</v>
      </c>
      <c r="Z195" s="16">
        <f>IF(X195&gt;0,IFERROR(VALUE(LEFT($D195,1)),1),0)</f>
        <v/>
      </c>
      <c r="AA195" s="16">
        <f>X195*Z195</f>
        <v/>
      </c>
      <c r="AB195" s="9">
        <f>W195*AA195</f>
        <v/>
      </c>
      <c r="AC195" s="9" t="n">
        <v>0</v>
      </c>
      <c r="AD195" s="16" t="n">
        <v>0</v>
      </c>
      <c r="AE195" s="16" t="n">
        <v>0</v>
      </c>
      <c r="AF195" s="16">
        <f>IF(AD195&gt;0,IFERROR(VALUE(LEFT($D195,1)),1),0)</f>
        <v/>
      </c>
      <c r="AG195" s="16">
        <f>AD195*AF195</f>
        <v/>
      </c>
      <c r="AH195" s="9">
        <f>AC195*AG195</f>
        <v/>
      </c>
      <c r="AI195" s="9" t="n">
        <v>0</v>
      </c>
      <c r="AJ195" s="16" t="n">
        <v>0</v>
      </c>
      <c r="AK195" s="16" t="n">
        <v>0</v>
      </c>
      <c r="AL195" s="16">
        <f>IF(AJ195&gt;0,IFERROR(VALUE(LEFT($D195,1)),1),0)</f>
        <v/>
      </c>
      <c r="AM195" s="16">
        <f>AJ195*AL195</f>
        <v/>
      </c>
      <c r="AN195" s="9">
        <f>AI195*AM195</f>
        <v/>
      </c>
    </row>
    <row r="196">
      <c r="A196" s="16" t="inlineStr">
        <is>
          <t>TK</t>
        </is>
      </c>
      <c r="B196" s="16" t="inlineStr">
        <is>
          <t>Badanie TK miednicy małej bez i ze wzmocnieniem kontrastowym - wielofazowe</t>
        </is>
      </c>
      <c r="C196" s="16" t="inlineStr">
        <is>
          <t>TK Zwykłe</t>
        </is>
      </c>
      <c r="D196" s="16" t="inlineStr">
        <is>
          <t>1 okolica anatomiczna</t>
        </is>
      </c>
      <c r="E196" s="9" t="n">
        <v>0</v>
      </c>
      <c r="F196" s="16" t="n">
        <v>0</v>
      </c>
      <c r="G196" s="16" t="n">
        <v>0</v>
      </c>
      <c r="H196" s="16">
        <f>IF(F196&gt;0,IFERROR(VALUE(LEFT($D196,1)),1),0)</f>
        <v/>
      </c>
      <c r="I196" s="16">
        <f>F196*H196</f>
        <v/>
      </c>
      <c r="J196" s="9">
        <f>E196*I196</f>
        <v/>
      </c>
      <c r="K196" s="9" t="n">
        <v>0</v>
      </c>
      <c r="L196" s="16" t="n">
        <v>0</v>
      </c>
      <c r="M196" s="16" t="n">
        <v>0</v>
      </c>
      <c r="N196" s="16">
        <f>IF(L196&gt;0,IFERROR(VALUE(LEFT($D196,1)),1),0)</f>
        <v/>
      </c>
      <c r="O196" s="16">
        <f>L196*N196</f>
        <v/>
      </c>
      <c r="P196" s="9">
        <f>K196*O196</f>
        <v/>
      </c>
      <c r="Q196" s="9" t="n">
        <v>0</v>
      </c>
      <c r="R196" s="16" t="n">
        <v>0</v>
      </c>
      <c r="S196" s="16" t="n">
        <v>0</v>
      </c>
      <c r="T196" s="16">
        <f>IF(R196&gt;0,IFERROR(VALUE(LEFT($D196,1)),1),0)</f>
        <v/>
      </c>
      <c r="U196" s="16">
        <f>R196*T196</f>
        <v/>
      </c>
      <c r="V196" s="9">
        <f>Q196*U196</f>
        <v/>
      </c>
      <c r="W196" s="9" t="n">
        <v>120</v>
      </c>
      <c r="X196" s="16" t="n">
        <v>2</v>
      </c>
      <c r="Y196" s="16" t="n">
        <v>0</v>
      </c>
      <c r="Z196" s="16">
        <f>IF(X196&gt;0,IFERROR(VALUE(LEFT($D196,1)),1),0)</f>
        <v/>
      </c>
      <c r="AA196" s="16">
        <f>X196*Z196</f>
        <v/>
      </c>
      <c r="AB196" s="9">
        <f>W196*AA196</f>
        <v/>
      </c>
      <c r="AC196" s="9" t="n">
        <v>0</v>
      </c>
      <c r="AD196" s="16" t="n">
        <v>0</v>
      </c>
      <c r="AE196" s="16" t="n">
        <v>0</v>
      </c>
      <c r="AF196" s="16">
        <f>IF(AD196&gt;0,IFERROR(VALUE(LEFT($D196,1)),1),0)</f>
        <v/>
      </c>
      <c r="AG196" s="16">
        <f>AD196*AF196</f>
        <v/>
      </c>
      <c r="AH196" s="9">
        <f>AC196*AG196</f>
        <v/>
      </c>
      <c r="AI196" s="9" t="n">
        <v>0</v>
      </c>
      <c r="AJ196" s="16" t="n">
        <v>0</v>
      </c>
      <c r="AK196" s="16" t="n">
        <v>0</v>
      </c>
      <c r="AL196" s="16">
        <f>IF(AJ196&gt;0,IFERROR(VALUE(LEFT($D196,1)),1),0)</f>
        <v/>
      </c>
      <c r="AM196" s="16">
        <f>AJ196*AL196</f>
        <v/>
      </c>
      <c r="AN196" s="9">
        <f>AI196*AM196</f>
        <v/>
      </c>
    </row>
    <row r="197">
      <c r="A197" s="16" t="inlineStr">
        <is>
          <t>TK</t>
        </is>
      </c>
      <c r="B197" s="16" t="inlineStr">
        <is>
          <t>Badanie TK wielu okolic anatomicznych u pacjenta z urazem wielonarządowym bez kontrastu</t>
        </is>
      </c>
      <c r="C197" s="16" t="inlineStr">
        <is>
          <t>TK Zwykłe</t>
        </is>
      </c>
      <c r="D197" s="16" t="inlineStr">
        <is>
          <t>3 okolice anatomiczne</t>
        </is>
      </c>
      <c r="E197" s="9" t="n">
        <v>0</v>
      </c>
      <c r="F197" s="16" t="n">
        <v>0</v>
      </c>
      <c r="G197" s="16" t="n">
        <v>0</v>
      </c>
      <c r="H197" s="16">
        <f>IF(F197&gt;0,IFERROR(VALUE(LEFT($D197,1)),1),0)</f>
        <v/>
      </c>
      <c r="I197" s="16">
        <f>F197*H197</f>
        <v/>
      </c>
      <c r="J197" s="9">
        <f>E197*I197</f>
        <v/>
      </c>
      <c r="K197" s="9" t="n">
        <v>0</v>
      </c>
      <c r="L197" s="16" t="n">
        <v>0</v>
      </c>
      <c r="M197" s="16" t="n">
        <v>0</v>
      </c>
      <c r="N197" s="16">
        <f>IF(L197&gt;0,IFERROR(VALUE(LEFT($D197,1)),1),0)</f>
        <v/>
      </c>
      <c r="O197" s="16">
        <f>L197*N197</f>
        <v/>
      </c>
      <c r="P197" s="9">
        <f>K197*O197</f>
        <v/>
      </c>
      <c r="Q197" s="9" t="n">
        <v>0</v>
      </c>
      <c r="R197" s="16" t="n">
        <v>0</v>
      </c>
      <c r="S197" s="16" t="n">
        <v>0</v>
      </c>
      <c r="T197" s="16">
        <f>IF(R197&gt;0,IFERROR(VALUE(LEFT($D197,1)),1),0)</f>
        <v/>
      </c>
      <c r="U197" s="16">
        <f>R197*T197</f>
        <v/>
      </c>
      <c r="V197" s="9">
        <f>Q197*U197</f>
        <v/>
      </c>
      <c r="W197" s="9" t="n">
        <v>120</v>
      </c>
      <c r="X197" s="16" t="n">
        <v>1</v>
      </c>
      <c r="Y197" s="16" t="n">
        <v>0</v>
      </c>
      <c r="Z197" s="16">
        <f>IF(X197&gt;0,IFERROR(VALUE(LEFT($D197,1)),1),0)</f>
        <v/>
      </c>
      <c r="AA197" s="16">
        <f>X197*Z197</f>
        <v/>
      </c>
      <c r="AB197" s="9">
        <f>W197*AA197</f>
        <v/>
      </c>
      <c r="AC197" s="9" t="n">
        <v>0</v>
      </c>
      <c r="AD197" s="16" t="n">
        <v>0</v>
      </c>
      <c r="AE197" s="16" t="n">
        <v>0</v>
      </c>
      <c r="AF197" s="16">
        <f>IF(AD197&gt;0,IFERROR(VALUE(LEFT($D197,1)),1),0)</f>
        <v/>
      </c>
      <c r="AG197" s="16">
        <f>AD197*AF197</f>
        <v/>
      </c>
      <c r="AH197" s="9">
        <f>AC197*AG197</f>
        <v/>
      </c>
      <c r="AI197" s="9" t="n">
        <v>0</v>
      </c>
      <c r="AJ197" s="16" t="n">
        <v>0</v>
      </c>
      <c r="AK197" s="16" t="n">
        <v>0</v>
      </c>
      <c r="AL197" s="16">
        <f>IF(AJ197&gt;0,IFERROR(VALUE(LEFT($D197,1)),1),0)</f>
        <v/>
      </c>
      <c r="AM197" s="16">
        <f>AJ197*AL197</f>
        <v/>
      </c>
      <c r="AN197" s="9">
        <f>AI197*AM197</f>
        <v/>
      </c>
    </row>
    <row r="198">
      <c r="A198" s="16" t="inlineStr">
        <is>
          <t>TK</t>
        </is>
      </c>
      <c r="B198" s="16" t="inlineStr">
        <is>
          <t>Badanie TK wielu okolic anatomicznych u pacjenta z urazem wielonarządowym z kontrastem</t>
        </is>
      </c>
      <c r="C198" s="16" t="inlineStr">
        <is>
          <t>TK Zwykłe</t>
        </is>
      </c>
      <c r="D198" s="16" t="inlineStr">
        <is>
          <t>3 okolice anatomiczne</t>
        </is>
      </c>
      <c r="E198" s="9" t="n">
        <v>0</v>
      </c>
      <c r="F198" s="16" t="n">
        <v>0</v>
      </c>
      <c r="G198" s="16" t="n">
        <v>0</v>
      </c>
      <c r="H198" s="16">
        <f>IF(F198&gt;0,IFERROR(VALUE(LEFT($D198,1)),1),0)</f>
        <v/>
      </c>
      <c r="I198" s="16">
        <f>F198*H198</f>
        <v/>
      </c>
      <c r="J198" s="9">
        <f>E198*I198</f>
        <v/>
      </c>
      <c r="K198" s="9" t="n">
        <v>0</v>
      </c>
      <c r="L198" s="16" t="n">
        <v>0</v>
      </c>
      <c r="M198" s="16" t="n">
        <v>0</v>
      </c>
      <c r="N198" s="16">
        <f>IF(L198&gt;0,IFERROR(VALUE(LEFT($D198,1)),1),0)</f>
        <v/>
      </c>
      <c r="O198" s="16">
        <f>L198*N198</f>
        <v/>
      </c>
      <c r="P198" s="9">
        <f>K198*O198</f>
        <v/>
      </c>
      <c r="Q198" s="9" t="n">
        <v>0</v>
      </c>
      <c r="R198" s="16" t="n">
        <v>0</v>
      </c>
      <c r="S198" s="16" t="n">
        <v>0</v>
      </c>
      <c r="T198" s="16">
        <f>IF(R198&gt;0,IFERROR(VALUE(LEFT($D198,1)),1),0)</f>
        <v/>
      </c>
      <c r="U198" s="16">
        <f>R198*T198</f>
        <v/>
      </c>
      <c r="V198" s="9">
        <f>Q198*U198</f>
        <v/>
      </c>
      <c r="W198" s="9" t="n">
        <v>120</v>
      </c>
      <c r="X198" s="16" t="n">
        <v>1</v>
      </c>
      <c r="Y198" s="16" t="n">
        <v>0</v>
      </c>
      <c r="Z198" s="16">
        <f>IF(X198&gt;0,IFERROR(VALUE(LEFT($D198,1)),1),0)</f>
        <v/>
      </c>
      <c r="AA198" s="16">
        <f>X198*Z198</f>
        <v/>
      </c>
      <c r="AB198" s="9">
        <f>W198*AA198</f>
        <v/>
      </c>
      <c r="AC198" s="9" t="n">
        <v>0</v>
      </c>
      <c r="AD198" s="16" t="n">
        <v>0</v>
      </c>
      <c r="AE198" s="16" t="n">
        <v>0</v>
      </c>
      <c r="AF198" s="16">
        <f>IF(AD198&gt;0,IFERROR(VALUE(LEFT($D198,1)),1),0)</f>
        <v/>
      </c>
      <c r="AG198" s="16">
        <f>AD198*AF198</f>
        <v/>
      </c>
      <c r="AH198" s="9">
        <f>AC198*AG198</f>
        <v/>
      </c>
      <c r="AI198" s="9" t="n">
        <v>0</v>
      </c>
      <c r="AJ198" s="16" t="n">
        <v>0</v>
      </c>
      <c r="AK198" s="16" t="n">
        <v>0</v>
      </c>
      <c r="AL198" s="16">
        <f>IF(AJ198&gt;0,IFERROR(VALUE(LEFT($D198,1)),1),0)</f>
        <v/>
      </c>
      <c r="AM198" s="16">
        <f>AJ198*AL198</f>
        <v/>
      </c>
      <c r="AN198" s="9">
        <f>AI198*AM198</f>
        <v/>
      </c>
    </row>
    <row r="199">
      <c r="A199" s="16" t="inlineStr">
        <is>
          <t>TK</t>
        </is>
      </c>
      <c r="B199" s="16" t="inlineStr">
        <is>
          <t>Badanie TK zatok bez wzmocnienia kontrastowego</t>
        </is>
      </c>
      <c r="C199" s="16" t="inlineStr">
        <is>
          <t>TK Zwykłe</t>
        </is>
      </c>
      <c r="D199" s="16" t="inlineStr">
        <is>
          <t>1 okolica anatomiczna</t>
        </is>
      </c>
      <c r="E199" s="9" t="n">
        <v>0</v>
      </c>
      <c r="F199" s="16" t="n">
        <v>0</v>
      </c>
      <c r="G199" s="16" t="n">
        <v>0</v>
      </c>
      <c r="H199" s="16">
        <f>IF(F199&gt;0,IFERROR(VALUE(LEFT($D199,1)),1),0)</f>
        <v/>
      </c>
      <c r="I199" s="16">
        <f>F199*H199</f>
        <v/>
      </c>
      <c r="J199" s="9">
        <f>E199*I199</f>
        <v/>
      </c>
      <c r="K199" s="9" t="n">
        <v>0</v>
      </c>
      <c r="L199" s="16" t="n">
        <v>0</v>
      </c>
      <c r="M199" s="16" t="n">
        <v>0</v>
      </c>
      <c r="N199" s="16">
        <f>IF(L199&gt;0,IFERROR(VALUE(LEFT($D199,1)),1),0)</f>
        <v/>
      </c>
      <c r="O199" s="16">
        <f>L199*N199</f>
        <v/>
      </c>
      <c r="P199" s="9">
        <f>K199*O199</f>
        <v/>
      </c>
      <c r="Q199" s="9" t="n">
        <v>0</v>
      </c>
      <c r="R199" s="16" t="n">
        <v>0</v>
      </c>
      <c r="S199" s="16" t="n">
        <v>0</v>
      </c>
      <c r="T199" s="16">
        <f>IF(R199&gt;0,IFERROR(VALUE(LEFT($D199,1)),1),0)</f>
        <v/>
      </c>
      <c r="U199" s="16">
        <f>R199*T199</f>
        <v/>
      </c>
      <c r="V199" s="9">
        <f>Q199*U199</f>
        <v/>
      </c>
      <c r="W199" s="9" t="n">
        <v>120</v>
      </c>
      <c r="X199" s="16" t="n">
        <v>1</v>
      </c>
      <c r="Y199" s="16" t="n">
        <v>0</v>
      </c>
      <c r="Z199" s="16">
        <f>IF(X199&gt;0,IFERROR(VALUE(LEFT($D199,1)),1),0)</f>
        <v/>
      </c>
      <c r="AA199" s="16">
        <f>X199*Z199</f>
        <v/>
      </c>
      <c r="AB199" s="9">
        <f>W199*AA199</f>
        <v/>
      </c>
      <c r="AC199" s="9" t="n">
        <v>0</v>
      </c>
      <c r="AD199" s="16" t="n">
        <v>0</v>
      </c>
      <c r="AE199" s="16" t="n">
        <v>0</v>
      </c>
      <c r="AF199" s="16">
        <f>IF(AD199&gt;0,IFERROR(VALUE(LEFT($D199,1)),1),0)</f>
        <v/>
      </c>
      <c r="AG199" s="16">
        <f>AD199*AF199</f>
        <v/>
      </c>
      <c r="AH199" s="9">
        <f>AC199*AG199</f>
        <v/>
      </c>
      <c r="AI199" s="9" t="n">
        <v>0</v>
      </c>
      <c r="AJ199" s="16" t="n">
        <v>0</v>
      </c>
      <c r="AK199" s="16" t="n">
        <v>0</v>
      </c>
      <c r="AL199" s="16">
        <f>IF(AJ199&gt;0,IFERROR(VALUE(LEFT($D199,1)),1),0)</f>
        <v/>
      </c>
      <c r="AM199" s="16">
        <f>AJ199*AL199</f>
        <v/>
      </c>
      <c r="AN199" s="9">
        <f>AI199*AM199</f>
        <v/>
      </c>
    </row>
    <row r="200">
      <c r="A200" s="16" t="inlineStr">
        <is>
          <t>TK</t>
        </is>
      </c>
      <c r="B200" s="16" t="inlineStr">
        <is>
          <t>Badanie układu kostnego</t>
        </is>
      </c>
      <c r="C200" s="16" t="inlineStr">
        <is>
          <t>TK Zwykłe</t>
        </is>
      </c>
      <c r="D200" s="16" t="inlineStr">
        <is>
          <t>1 okolica anatomiczna</t>
        </is>
      </c>
      <c r="E200" s="9" t="n">
        <v>0</v>
      </c>
      <c r="F200" s="16" t="n">
        <v>0</v>
      </c>
      <c r="G200" s="16" t="n">
        <v>0</v>
      </c>
      <c r="H200" s="16">
        <f>IF(F200&gt;0,IFERROR(VALUE(LEFT($D200,1)),1),0)</f>
        <v/>
      </c>
      <c r="I200" s="16">
        <f>F200*H200</f>
        <v/>
      </c>
      <c r="J200" s="9">
        <f>E200*I200</f>
        <v/>
      </c>
      <c r="K200" s="9" t="n">
        <v>0</v>
      </c>
      <c r="L200" s="16" t="n">
        <v>0</v>
      </c>
      <c r="M200" s="16" t="n">
        <v>0</v>
      </c>
      <c r="N200" s="16">
        <f>IF(L200&gt;0,IFERROR(VALUE(LEFT($D200,1)),1),0)</f>
        <v/>
      </c>
      <c r="O200" s="16">
        <f>L200*N200</f>
        <v/>
      </c>
      <c r="P200" s="9">
        <f>K200*O200</f>
        <v/>
      </c>
      <c r="Q200" s="9" t="n">
        <v>0</v>
      </c>
      <c r="R200" s="16" t="n">
        <v>0</v>
      </c>
      <c r="S200" s="16" t="n">
        <v>0</v>
      </c>
      <c r="T200" s="16">
        <f>IF(R200&gt;0,IFERROR(VALUE(LEFT($D200,1)),1),0)</f>
        <v/>
      </c>
      <c r="U200" s="16">
        <f>R200*T200</f>
        <v/>
      </c>
      <c r="V200" s="9">
        <f>Q200*U200</f>
        <v/>
      </c>
      <c r="W200" s="9" t="n">
        <v>120</v>
      </c>
      <c r="X200" s="16" t="n">
        <v>2</v>
      </c>
      <c r="Y200" s="16" t="n">
        <v>0</v>
      </c>
      <c r="Z200" s="16">
        <f>IF(X200&gt;0,IFERROR(VALUE(LEFT($D200,1)),1),0)</f>
        <v/>
      </c>
      <c r="AA200" s="16">
        <f>X200*Z200</f>
        <v/>
      </c>
      <c r="AB200" s="9">
        <f>W200*AA200</f>
        <v/>
      </c>
      <c r="AC200" s="9" t="n">
        <v>0</v>
      </c>
      <c r="AD200" s="16" t="n">
        <v>0</v>
      </c>
      <c r="AE200" s="16" t="n">
        <v>0</v>
      </c>
      <c r="AF200" s="16">
        <f>IF(AD200&gt;0,IFERROR(VALUE(LEFT($D200,1)),1),0)</f>
        <v/>
      </c>
      <c r="AG200" s="16">
        <f>AD200*AF200</f>
        <v/>
      </c>
      <c r="AH200" s="9">
        <f>AC200*AG200</f>
        <v/>
      </c>
      <c r="AI200" s="9" t="n">
        <v>0</v>
      </c>
      <c r="AJ200" s="16" t="n">
        <v>0</v>
      </c>
      <c r="AK200" s="16" t="n">
        <v>0</v>
      </c>
      <c r="AL200" s="16">
        <f>IF(AJ200&gt;0,IFERROR(VALUE(LEFT($D200,1)),1),0)</f>
        <v/>
      </c>
      <c r="AM200" s="16">
        <f>AJ200*AL200</f>
        <v/>
      </c>
      <c r="AN200" s="9">
        <f>AI200*AM200</f>
        <v/>
      </c>
    </row>
    <row r="201">
      <c r="A201" s="16" t="inlineStr">
        <is>
          <t>TK</t>
        </is>
      </c>
      <c r="B201" s="16" t="inlineStr">
        <is>
          <t>CT jamy brzusznej i miednicy (bez kontrastu) [88.010 ]</t>
        </is>
      </c>
      <c r="C201" s="16" t="inlineStr">
        <is>
          <t>TK Zwykłe</t>
        </is>
      </c>
      <c r="D201" s="16" t="inlineStr">
        <is>
          <t>2 okolice anatomiczne</t>
        </is>
      </c>
      <c r="E201" s="9" t="n">
        <v>0</v>
      </c>
      <c r="F201" s="16" t="n">
        <v>0</v>
      </c>
      <c r="G201" s="16" t="n">
        <v>0</v>
      </c>
      <c r="H201" s="16">
        <f>IF(F201&gt;0,IFERROR(VALUE(LEFT($D201,1)),1),0)</f>
        <v/>
      </c>
      <c r="I201" s="16">
        <f>F201*H201</f>
        <v/>
      </c>
      <c r="J201" s="9">
        <f>E201*I201</f>
        <v/>
      </c>
      <c r="K201" s="9" t="n">
        <v>0</v>
      </c>
      <c r="L201" s="16" t="n">
        <v>0</v>
      </c>
      <c r="M201" s="16" t="n">
        <v>0</v>
      </c>
      <c r="N201" s="16">
        <f>IF(L201&gt;0,IFERROR(VALUE(LEFT($D201,1)),1),0)</f>
        <v/>
      </c>
      <c r="O201" s="16">
        <f>L201*N201</f>
        <v/>
      </c>
      <c r="P201" s="9">
        <f>K201*O201</f>
        <v/>
      </c>
      <c r="Q201" s="9" t="n">
        <v>0</v>
      </c>
      <c r="R201" s="16" t="n">
        <v>0</v>
      </c>
      <c r="S201" s="16" t="n">
        <v>0</v>
      </c>
      <c r="T201" s="16">
        <f>IF(R201&gt;0,IFERROR(VALUE(LEFT($D201,1)),1),0)</f>
        <v/>
      </c>
      <c r="U201" s="16">
        <f>R201*T201</f>
        <v/>
      </c>
      <c r="V201" s="9">
        <f>Q201*U201</f>
        <v/>
      </c>
      <c r="W201" s="9" t="n">
        <v>120</v>
      </c>
      <c r="X201" s="16" t="n">
        <v>2</v>
      </c>
      <c r="Y201" s="16" t="n">
        <v>0</v>
      </c>
      <c r="Z201" s="16">
        <f>IF(X201&gt;0,IFERROR(VALUE(LEFT($D201,1)),1),0)</f>
        <v/>
      </c>
      <c r="AA201" s="16">
        <f>X201*Z201</f>
        <v/>
      </c>
      <c r="AB201" s="9">
        <f>W201*AA201</f>
        <v/>
      </c>
      <c r="AC201" s="9" t="n">
        <v>0</v>
      </c>
      <c r="AD201" s="16" t="n">
        <v>0</v>
      </c>
      <c r="AE201" s="16" t="n">
        <v>0</v>
      </c>
      <c r="AF201" s="16">
        <f>IF(AD201&gt;0,IFERROR(VALUE(LEFT($D201,1)),1),0)</f>
        <v/>
      </c>
      <c r="AG201" s="16">
        <f>AD201*AF201</f>
        <v/>
      </c>
      <c r="AH201" s="9">
        <f>AC201*AG201</f>
        <v/>
      </c>
      <c r="AI201" s="9" t="n">
        <v>0</v>
      </c>
      <c r="AJ201" s="16" t="n">
        <v>0</v>
      </c>
      <c r="AK201" s="16" t="n">
        <v>0</v>
      </c>
      <c r="AL201" s="16">
        <f>IF(AJ201&gt;0,IFERROR(VALUE(LEFT($D201,1)),1),0)</f>
        <v/>
      </c>
      <c r="AM201" s="16">
        <f>AJ201*AL201</f>
        <v/>
      </c>
      <c r="AN201" s="9">
        <f>AI201*AM201</f>
        <v/>
      </c>
    </row>
    <row r="202">
      <c r="A202" s="16" t="inlineStr">
        <is>
          <t>TK</t>
        </is>
      </c>
      <c r="B202" s="16" t="inlineStr">
        <is>
          <t>CT klatki piersiowej i jamy brzusznej (bez kontrastu)</t>
        </is>
      </c>
      <c r="C202" s="16" t="inlineStr">
        <is>
          <t>TK Zwykłe</t>
        </is>
      </c>
      <c r="D202" s="16" t="inlineStr">
        <is>
          <t>3 okolice anatomiczne</t>
        </is>
      </c>
      <c r="E202" s="9" t="n">
        <v>0</v>
      </c>
      <c r="F202" s="16" t="n">
        <v>0</v>
      </c>
      <c r="G202" s="16" t="n">
        <v>0</v>
      </c>
      <c r="H202" s="16">
        <f>IF(F202&gt;0,IFERROR(VALUE(LEFT($D202,1)),1),0)</f>
        <v/>
      </c>
      <c r="I202" s="16">
        <f>F202*H202</f>
        <v/>
      </c>
      <c r="J202" s="9">
        <f>E202*I202</f>
        <v/>
      </c>
      <c r="K202" s="9" t="n">
        <v>0</v>
      </c>
      <c r="L202" s="16" t="n">
        <v>0</v>
      </c>
      <c r="M202" s="16" t="n">
        <v>0</v>
      </c>
      <c r="N202" s="16">
        <f>IF(L202&gt;0,IFERROR(VALUE(LEFT($D202,1)),1),0)</f>
        <v/>
      </c>
      <c r="O202" s="16">
        <f>L202*N202</f>
        <v/>
      </c>
      <c r="P202" s="9">
        <f>K202*O202</f>
        <v/>
      </c>
      <c r="Q202" s="9" t="n">
        <v>0</v>
      </c>
      <c r="R202" s="16" t="n">
        <v>0</v>
      </c>
      <c r="S202" s="16" t="n">
        <v>0</v>
      </c>
      <c r="T202" s="16">
        <f>IF(R202&gt;0,IFERROR(VALUE(LEFT($D202,1)),1),0)</f>
        <v/>
      </c>
      <c r="U202" s="16">
        <f>R202*T202</f>
        <v/>
      </c>
      <c r="V202" s="9">
        <f>Q202*U202</f>
        <v/>
      </c>
      <c r="W202" s="9" t="n">
        <v>120</v>
      </c>
      <c r="X202" s="16" t="n">
        <v>1</v>
      </c>
      <c r="Y202" s="16" t="n">
        <v>0</v>
      </c>
      <c r="Z202" s="16">
        <f>IF(X202&gt;0,IFERROR(VALUE(LEFT($D202,1)),1),0)</f>
        <v/>
      </c>
      <c r="AA202" s="16">
        <f>X202*Z202</f>
        <v/>
      </c>
      <c r="AB202" s="9">
        <f>W202*AA202</f>
        <v/>
      </c>
      <c r="AC202" s="9" t="n">
        <v>0</v>
      </c>
      <c r="AD202" s="16" t="n">
        <v>0</v>
      </c>
      <c r="AE202" s="16" t="n">
        <v>0</v>
      </c>
      <c r="AF202" s="16">
        <f>IF(AD202&gt;0,IFERROR(VALUE(LEFT($D202,1)),1),0)</f>
        <v/>
      </c>
      <c r="AG202" s="16">
        <f>AD202*AF202</f>
        <v/>
      </c>
      <c r="AH202" s="9">
        <f>AC202*AG202</f>
        <v/>
      </c>
      <c r="AI202" s="9" t="n">
        <v>0</v>
      </c>
      <c r="AJ202" s="16" t="n">
        <v>0</v>
      </c>
      <c r="AK202" s="16" t="n">
        <v>0</v>
      </c>
      <c r="AL202" s="16">
        <f>IF(AJ202&gt;0,IFERROR(VALUE(LEFT($D202,1)),1),0)</f>
        <v/>
      </c>
      <c r="AM202" s="16">
        <f>AJ202*AL202</f>
        <v/>
      </c>
      <c r="AN202" s="9">
        <f>AI202*AM202</f>
        <v/>
      </c>
    </row>
    <row r="203">
      <c r="A203" s="16" t="inlineStr">
        <is>
          <t>TK</t>
        </is>
      </c>
      <c r="B203" s="16" t="inlineStr">
        <is>
          <t>K.TK J. BRZUSZNEJ I MIEDNICY MNIEJSZEJ</t>
        </is>
      </c>
      <c r="C203" s="16" t="inlineStr">
        <is>
          <t>TK Zwykłe</t>
        </is>
      </c>
      <c r="D203" s="16" t="inlineStr">
        <is>
          <t>2 okolice anatomiczne</t>
        </is>
      </c>
      <c r="E203" s="9" t="n">
        <v>0</v>
      </c>
      <c r="F203" s="16" t="n">
        <v>0</v>
      </c>
      <c r="G203" s="16" t="n">
        <v>0</v>
      </c>
      <c r="H203" s="16">
        <f>IF(F203&gt;0,IFERROR(VALUE(LEFT($D203,1)),1),0)</f>
        <v/>
      </c>
      <c r="I203" s="16">
        <f>F203*H203</f>
        <v/>
      </c>
      <c r="J203" s="9">
        <f>E203*I203</f>
        <v/>
      </c>
      <c r="K203" s="9" t="n">
        <v>0</v>
      </c>
      <c r="L203" s="16" t="n">
        <v>0</v>
      </c>
      <c r="M203" s="16" t="n">
        <v>0</v>
      </c>
      <c r="N203" s="16">
        <f>IF(L203&gt;0,IFERROR(VALUE(LEFT($D203,1)),1),0)</f>
        <v/>
      </c>
      <c r="O203" s="16">
        <f>L203*N203</f>
        <v/>
      </c>
      <c r="P203" s="9">
        <f>K203*O203</f>
        <v/>
      </c>
      <c r="Q203" s="9" t="n">
        <v>0</v>
      </c>
      <c r="R203" s="16" t="n">
        <v>0</v>
      </c>
      <c r="S203" s="16" t="n">
        <v>0</v>
      </c>
      <c r="T203" s="16">
        <f>IF(R203&gt;0,IFERROR(VALUE(LEFT($D203,1)),1),0)</f>
        <v/>
      </c>
      <c r="U203" s="16">
        <f>R203*T203</f>
        <v/>
      </c>
      <c r="V203" s="9">
        <f>Q203*U203</f>
        <v/>
      </c>
      <c r="W203" s="9" t="n">
        <v>120</v>
      </c>
      <c r="X203" s="16" t="n">
        <v>1</v>
      </c>
      <c r="Y203" s="16" t="n">
        <v>0</v>
      </c>
      <c r="Z203" s="16">
        <f>IF(X203&gt;0,IFERROR(VALUE(LEFT($D203,1)),1),0)</f>
        <v/>
      </c>
      <c r="AA203" s="16">
        <f>X203*Z203</f>
        <v/>
      </c>
      <c r="AB203" s="9">
        <f>W203*AA203</f>
        <v/>
      </c>
      <c r="AC203" s="9" t="n">
        <v>0</v>
      </c>
      <c r="AD203" s="16" t="n">
        <v>0</v>
      </c>
      <c r="AE203" s="16" t="n">
        <v>0</v>
      </c>
      <c r="AF203" s="16">
        <f>IF(AD203&gt;0,IFERROR(VALUE(LEFT($D203,1)),1),0)</f>
        <v/>
      </c>
      <c r="AG203" s="16">
        <f>AD203*AF203</f>
        <v/>
      </c>
      <c r="AH203" s="9">
        <f>AC203*AG203</f>
        <v/>
      </c>
      <c r="AI203" s="9" t="n">
        <v>0</v>
      </c>
      <c r="AJ203" s="16" t="n">
        <v>0</v>
      </c>
      <c r="AK203" s="16" t="n">
        <v>0</v>
      </c>
      <c r="AL203" s="16">
        <f>IF(AJ203&gt;0,IFERROR(VALUE(LEFT($D203,1)),1),0)</f>
        <v/>
      </c>
      <c r="AM203" s="16">
        <f>AJ203*AL203</f>
        <v/>
      </c>
      <c r="AN203" s="9">
        <f>AI203*AM203</f>
        <v/>
      </c>
    </row>
    <row r="204">
      <c r="A204" s="16" t="inlineStr">
        <is>
          <t>TK</t>
        </is>
      </c>
      <c r="B204" s="16" t="inlineStr">
        <is>
          <t>K.TK JAMY BRZUSZNEJ</t>
        </is>
      </c>
      <c r="C204" s="16" t="inlineStr">
        <is>
          <t>TK Zwykłe</t>
        </is>
      </c>
      <c r="D204" s="16" t="inlineStr">
        <is>
          <t>1 okolica anatomiczna</t>
        </is>
      </c>
      <c r="E204" s="9" t="n">
        <v>0</v>
      </c>
      <c r="F204" s="16" t="n">
        <v>0</v>
      </c>
      <c r="G204" s="16" t="n">
        <v>0</v>
      </c>
      <c r="H204" s="16">
        <f>IF(F204&gt;0,IFERROR(VALUE(LEFT($D204,1)),1),0)</f>
        <v/>
      </c>
      <c r="I204" s="16">
        <f>F204*H204</f>
        <v/>
      </c>
      <c r="J204" s="9">
        <f>E204*I204</f>
        <v/>
      </c>
      <c r="K204" s="9" t="n">
        <v>0</v>
      </c>
      <c r="L204" s="16" t="n">
        <v>0</v>
      </c>
      <c r="M204" s="16" t="n">
        <v>0</v>
      </c>
      <c r="N204" s="16">
        <f>IF(L204&gt;0,IFERROR(VALUE(LEFT($D204,1)),1),0)</f>
        <v/>
      </c>
      <c r="O204" s="16">
        <f>L204*N204</f>
        <v/>
      </c>
      <c r="P204" s="9">
        <f>K204*O204</f>
        <v/>
      </c>
      <c r="Q204" s="9" t="n">
        <v>0</v>
      </c>
      <c r="R204" s="16" t="n">
        <v>0</v>
      </c>
      <c r="S204" s="16" t="n">
        <v>0</v>
      </c>
      <c r="T204" s="16">
        <f>IF(R204&gt;0,IFERROR(VALUE(LEFT($D204,1)),1),0)</f>
        <v/>
      </c>
      <c r="U204" s="16">
        <f>R204*T204</f>
        <v/>
      </c>
      <c r="V204" s="9">
        <f>Q204*U204</f>
        <v/>
      </c>
      <c r="W204" s="9" t="n">
        <v>120</v>
      </c>
      <c r="X204" s="16" t="n">
        <v>1</v>
      </c>
      <c r="Y204" s="16" t="n">
        <v>0</v>
      </c>
      <c r="Z204" s="16">
        <f>IF(X204&gt;0,IFERROR(VALUE(LEFT($D204,1)),1),0)</f>
        <v/>
      </c>
      <c r="AA204" s="16">
        <f>X204*Z204</f>
        <v/>
      </c>
      <c r="AB204" s="9">
        <f>W204*AA204</f>
        <v/>
      </c>
      <c r="AC204" s="9" t="n">
        <v>0</v>
      </c>
      <c r="AD204" s="16" t="n">
        <v>0</v>
      </c>
      <c r="AE204" s="16" t="n">
        <v>0</v>
      </c>
      <c r="AF204" s="16">
        <f>IF(AD204&gt;0,IFERROR(VALUE(LEFT($D204,1)),1),0)</f>
        <v/>
      </c>
      <c r="AG204" s="16">
        <f>AD204*AF204</f>
        <v/>
      </c>
      <c r="AH204" s="9">
        <f>AC204*AG204</f>
        <v/>
      </c>
      <c r="AI204" s="9" t="n">
        <v>0</v>
      </c>
      <c r="AJ204" s="16" t="n">
        <v>0</v>
      </c>
      <c r="AK204" s="16" t="n">
        <v>0</v>
      </c>
      <c r="AL204" s="16">
        <f>IF(AJ204&gt;0,IFERROR(VALUE(LEFT($D204,1)),1),0)</f>
        <v/>
      </c>
      <c r="AM204" s="16">
        <f>AJ204*AL204</f>
        <v/>
      </c>
      <c r="AN204" s="9">
        <f>AI204*AM204</f>
        <v/>
      </c>
    </row>
    <row r="205">
      <c r="A205" s="16" t="inlineStr">
        <is>
          <t>TK</t>
        </is>
      </c>
      <c r="B205" s="16" t="inlineStr">
        <is>
          <t>K.TK MÓZGOWIA</t>
        </is>
      </c>
      <c r="C205" s="16" t="inlineStr">
        <is>
          <t>TK Zwykłe</t>
        </is>
      </c>
      <c r="D205" s="16" t="inlineStr">
        <is>
          <t>1 okolica anatomiczna</t>
        </is>
      </c>
      <c r="E205" s="9" t="n">
        <v>0</v>
      </c>
      <c r="F205" s="16" t="n">
        <v>0</v>
      </c>
      <c r="G205" s="16" t="n">
        <v>0</v>
      </c>
      <c r="H205" s="16">
        <f>IF(F205&gt;0,IFERROR(VALUE(LEFT($D205,1)),1),0)</f>
        <v/>
      </c>
      <c r="I205" s="16">
        <f>F205*H205</f>
        <v/>
      </c>
      <c r="J205" s="9">
        <f>E205*I205</f>
        <v/>
      </c>
      <c r="K205" s="9" t="n">
        <v>0</v>
      </c>
      <c r="L205" s="16" t="n">
        <v>0</v>
      </c>
      <c r="M205" s="16" t="n">
        <v>0</v>
      </c>
      <c r="N205" s="16">
        <f>IF(L205&gt;0,IFERROR(VALUE(LEFT($D205,1)),1),0)</f>
        <v/>
      </c>
      <c r="O205" s="16">
        <f>L205*N205</f>
        <v/>
      </c>
      <c r="P205" s="9">
        <f>K205*O205</f>
        <v/>
      </c>
      <c r="Q205" s="9" t="n">
        <v>0</v>
      </c>
      <c r="R205" s="16" t="n">
        <v>0</v>
      </c>
      <c r="S205" s="16" t="n">
        <v>0</v>
      </c>
      <c r="T205" s="16">
        <f>IF(R205&gt;0,IFERROR(VALUE(LEFT($D205,1)),1),0)</f>
        <v/>
      </c>
      <c r="U205" s="16">
        <f>R205*T205</f>
        <v/>
      </c>
      <c r="V205" s="9">
        <f>Q205*U205</f>
        <v/>
      </c>
      <c r="W205" s="9" t="n">
        <v>120</v>
      </c>
      <c r="X205" s="16" t="n">
        <v>3</v>
      </c>
      <c r="Y205" s="16" t="n">
        <v>0</v>
      </c>
      <c r="Z205" s="16">
        <f>IF(X205&gt;0,IFERROR(VALUE(LEFT($D205,1)),1),0)</f>
        <v/>
      </c>
      <c r="AA205" s="16">
        <f>X205*Z205</f>
        <v/>
      </c>
      <c r="AB205" s="9">
        <f>W205*AA205</f>
        <v/>
      </c>
      <c r="AC205" s="9" t="n">
        <v>0</v>
      </c>
      <c r="AD205" s="16" t="n">
        <v>0</v>
      </c>
      <c r="AE205" s="16" t="n">
        <v>0</v>
      </c>
      <c r="AF205" s="16">
        <f>IF(AD205&gt;0,IFERROR(VALUE(LEFT($D205,1)),1),0)</f>
        <v/>
      </c>
      <c r="AG205" s="16">
        <f>AD205*AF205</f>
        <v/>
      </c>
      <c r="AH205" s="9">
        <f>AC205*AG205</f>
        <v/>
      </c>
      <c r="AI205" s="9" t="n">
        <v>0</v>
      </c>
      <c r="AJ205" s="16" t="n">
        <v>0</v>
      </c>
      <c r="AK205" s="16" t="n">
        <v>0</v>
      </c>
      <c r="AL205" s="16">
        <f>IF(AJ205&gt;0,IFERROR(VALUE(LEFT($D205,1)),1),0)</f>
        <v/>
      </c>
      <c r="AM205" s="16">
        <f>AJ205*AL205</f>
        <v/>
      </c>
      <c r="AN205" s="9">
        <f>AI205*AM205</f>
        <v/>
      </c>
    </row>
    <row r="206">
      <c r="A206" s="16" t="inlineStr">
        <is>
          <t>TK</t>
        </is>
      </c>
      <c r="B206" s="16" t="inlineStr">
        <is>
          <t>K.TK MÓZGOWIA I KRĘGOSŁUPA SZYJNEGO</t>
        </is>
      </c>
      <c r="C206" s="16" t="inlineStr">
        <is>
          <t>TK Zwykłe</t>
        </is>
      </c>
      <c r="D206" s="16" t="inlineStr">
        <is>
          <t>2 okolice anatomiczne</t>
        </is>
      </c>
      <c r="E206" s="9" t="n">
        <v>0</v>
      </c>
      <c r="F206" s="16" t="n">
        <v>0</v>
      </c>
      <c r="G206" s="16" t="n">
        <v>0</v>
      </c>
      <c r="H206" s="16">
        <f>IF(F206&gt;0,IFERROR(VALUE(LEFT($D206,1)),1),0)</f>
        <v/>
      </c>
      <c r="I206" s="16">
        <f>F206*H206</f>
        <v/>
      </c>
      <c r="J206" s="9">
        <f>E206*I206</f>
        <v/>
      </c>
      <c r="K206" s="9" t="n">
        <v>0</v>
      </c>
      <c r="L206" s="16" t="n">
        <v>0</v>
      </c>
      <c r="M206" s="16" t="n">
        <v>0</v>
      </c>
      <c r="N206" s="16">
        <f>IF(L206&gt;0,IFERROR(VALUE(LEFT($D206,1)),1),0)</f>
        <v/>
      </c>
      <c r="O206" s="16">
        <f>L206*N206</f>
        <v/>
      </c>
      <c r="P206" s="9">
        <f>K206*O206</f>
        <v/>
      </c>
      <c r="Q206" s="9" t="n">
        <v>0</v>
      </c>
      <c r="R206" s="16" t="n">
        <v>0</v>
      </c>
      <c r="S206" s="16" t="n">
        <v>0</v>
      </c>
      <c r="T206" s="16">
        <f>IF(R206&gt;0,IFERROR(VALUE(LEFT($D206,1)),1),0)</f>
        <v/>
      </c>
      <c r="U206" s="16">
        <f>R206*T206</f>
        <v/>
      </c>
      <c r="V206" s="9">
        <f>Q206*U206</f>
        <v/>
      </c>
      <c r="W206" s="9" t="n">
        <v>120</v>
      </c>
      <c r="X206" s="16" t="n">
        <v>1</v>
      </c>
      <c r="Y206" s="16" t="n">
        <v>0</v>
      </c>
      <c r="Z206" s="16">
        <f>IF(X206&gt;0,IFERROR(VALUE(LEFT($D206,1)),1),0)</f>
        <v/>
      </c>
      <c r="AA206" s="16">
        <f>X206*Z206</f>
        <v/>
      </c>
      <c r="AB206" s="9">
        <f>W206*AA206</f>
        <v/>
      </c>
      <c r="AC206" s="9" t="n">
        <v>0</v>
      </c>
      <c r="AD206" s="16" t="n">
        <v>0</v>
      </c>
      <c r="AE206" s="16" t="n">
        <v>0</v>
      </c>
      <c r="AF206" s="16">
        <f>IF(AD206&gt;0,IFERROR(VALUE(LEFT($D206,1)),1),0)</f>
        <v/>
      </c>
      <c r="AG206" s="16">
        <f>AD206*AF206</f>
        <v/>
      </c>
      <c r="AH206" s="9">
        <f>AC206*AG206</f>
        <v/>
      </c>
      <c r="AI206" s="9" t="n">
        <v>0</v>
      </c>
      <c r="AJ206" s="16" t="n">
        <v>0</v>
      </c>
      <c r="AK206" s="16" t="n">
        <v>0</v>
      </c>
      <c r="AL206" s="16">
        <f>IF(AJ206&gt;0,IFERROR(VALUE(LEFT($D206,1)),1),0)</f>
        <v/>
      </c>
      <c r="AM206" s="16">
        <f>AJ206*AL206</f>
        <v/>
      </c>
      <c r="AN206" s="9">
        <f>AI206*AM206</f>
        <v/>
      </c>
    </row>
    <row r="207">
      <c r="A207" s="16" t="inlineStr">
        <is>
          <t>TK</t>
        </is>
      </c>
      <c r="B207" s="16" t="inlineStr">
        <is>
          <t>Politrauma</t>
        </is>
      </c>
      <c r="C207" s="16" t="inlineStr">
        <is>
          <t>TK Zwykłe</t>
        </is>
      </c>
      <c r="D207" s="16" t="inlineStr">
        <is>
          <t>5 okolic anatomicznych</t>
        </is>
      </c>
      <c r="E207" s="9" t="n">
        <v>0</v>
      </c>
      <c r="F207" s="16" t="n">
        <v>0</v>
      </c>
      <c r="G207" s="16" t="n">
        <v>0</v>
      </c>
      <c r="H207" s="16">
        <f>IF(F207&gt;0,IFERROR(VALUE(LEFT($D207,1)),1),0)</f>
        <v/>
      </c>
      <c r="I207" s="16">
        <f>F207*H207</f>
        <v/>
      </c>
      <c r="J207" s="9">
        <f>E207*I207</f>
        <v/>
      </c>
      <c r="K207" s="9" t="n">
        <v>0</v>
      </c>
      <c r="L207" s="16" t="n">
        <v>0</v>
      </c>
      <c r="M207" s="16" t="n">
        <v>0</v>
      </c>
      <c r="N207" s="16">
        <f>IF(L207&gt;0,IFERROR(VALUE(LEFT($D207,1)),1),0)</f>
        <v/>
      </c>
      <c r="O207" s="16">
        <f>L207*N207</f>
        <v/>
      </c>
      <c r="P207" s="9">
        <f>K207*O207</f>
        <v/>
      </c>
      <c r="Q207" s="9" t="n">
        <v>0</v>
      </c>
      <c r="R207" s="16" t="n">
        <v>0</v>
      </c>
      <c r="S207" s="16" t="n">
        <v>0</v>
      </c>
      <c r="T207" s="16">
        <f>IF(R207&gt;0,IFERROR(VALUE(LEFT($D207,1)),1),0)</f>
        <v/>
      </c>
      <c r="U207" s="16">
        <f>R207*T207</f>
        <v/>
      </c>
      <c r="V207" s="9">
        <f>Q207*U207</f>
        <v/>
      </c>
      <c r="W207" s="9" t="n">
        <v>120</v>
      </c>
      <c r="X207" s="16" t="n">
        <v>1</v>
      </c>
      <c r="Y207" s="16" t="n">
        <v>0</v>
      </c>
      <c r="Z207" s="16">
        <f>IF(X207&gt;0,IFERROR(VALUE(LEFT($D207,1)),1),0)</f>
        <v/>
      </c>
      <c r="AA207" s="16">
        <f>X207*Z207</f>
        <v/>
      </c>
      <c r="AB207" s="9">
        <f>W207*AA207</f>
        <v/>
      </c>
      <c r="AC207" s="9" t="n">
        <v>0</v>
      </c>
      <c r="AD207" s="16" t="n">
        <v>0</v>
      </c>
      <c r="AE207" s="16" t="n">
        <v>0</v>
      </c>
      <c r="AF207" s="16">
        <f>IF(AD207&gt;0,IFERROR(VALUE(LEFT($D207,1)),1),0)</f>
        <v/>
      </c>
      <c r="AG207" s="16">
        <f>AD207*AF207</f>
        <v/>
      </c>
      <c r="AH207" s="9">
        <f>AC207*AG207</f>
        <v/>
      </c>
      <c r="AI207" s="9" t="n">
        <v>0</v>
      </c>
      <c r="AJ207" s="16" t="n">
        <v>0</v>
      </c>
      <c r="AK207" s="16" t="n">
        <v>0</v>
      </c>
      <c r="AL207" s="16">
        <f>IF(AJ207&gt;0,IFERROR(VALUE(LEFT($D207,1)),1),0)</f>
        <v/>
      </c>
      <c r="AM207" s="16">
        <f>AJ207*AL207</f>
        <v/>
      </c>
      <c r="AN207" s="9">
        <f>AI207*AM207</f>
        <v/>
      </c>
    </row>
    <row r="208">
      <c r="A208" s="16" t="inlineStr">
        <is>
          <t>TK</t>
        </is>
      </c>
      <c r="B208" s="16" t="inlineStr">
        <is>
          <t>TK - 5 procedur</t>
        </is>
      </c>
      <c r="C208" s="16" t="inlineStr">
        <is>
          <t>TK Zwykłe</t>
        </is>
      </c>
      <c r="D208" s="16" t="inlineStr">
        <is>
          <t>5 okolic anatomicznych</t>
        </is>
      </c>
      <c r="E208" s="9" t="n">
        <v>0</v>
      </c>
      <c r="F208" s="16" t="n">
        <v>0</v>
      </c>
      <c r="G208" s="16" t="n">
        <v>0</v>
      </c>
      <c r="H208" s="16">
        <f>IF(F208&gt;0,IFERROR(VALUE(LEFT($D208,1)),1),0)</f>
        <v/>
      </c>
      <c r="I208" s="16">
        <f>F208*H208</f>
        <v/>
      </c>
      <c r="J208" s="9">
        <f>E208*I208</f>
        <v/>
      </c>
      <c r="K208" s="9" t="n">
        <v>0</v>
      </c>
      <c r="L208" s="16" t="n">
        <v>0</v>
      </c>
      <c r="M208" s="16" t="n">
        <v>0</v>
      </c>
      <c r="N208" s="16">
        <f>IF(L208&gt;0,IFERROR(VALUE(LEFT($D208,1)),1),0)</f>
        <v/>
      </c>
      <c r="O208" s="16">
        <f>L208*N208</f>
        <v/>
      </c>
      <c r="P208" s="9">
        <f>K208*O208</f>
        <v/>
      </c>
      <c r="Q208" s="9" t="n">
        <v>0</v>
      </c>
      <c r="R208" s="16" t="n">
        <v>0</v>
      </c>
      <c r="S208" s="16" t="n">
        <v>0</v>
      </c>
      <c r="T208" s="16">
        <f>IF(R208&gt;0,IFERROR(VALUE(LEFT($D208,1)),1),0)</f>
        <v/>
      </c>
      <c r="U208" s="16">
        <f>R208*T208</f>
        <v/>
      </c>
      <c r="V208" s="9">
        <f>Q208*U208</f>
        <v/>
      </c>
      <c r="W208" s="9" t="n">
        <v>120</v>
      </c>
      <c r="X208" s="16" t="n">
        <v>2</v>
      </c>
      <c r="Y208" s="16" t="n">
        <v>0</v>
      </c>
      <c r="Z208" s="16">
        <f>IF(X208&gt;0,IFERROR(VALUE(LEFT($D208,1)),1),0)</f>
        <v/>
      </c>
      <c r="AA208" s="16">
        <f>X208*Z208</f>
        <v/>
      </c>
      <c r="AB208" s="9">
        <f>W208*AA208</f>
        <v/>
      </c>
      <c r="AC208" s="9" t="n">
        <v>0</v>
      </c>
      <c r="AD208" s="16" t="n">
        <v>0</v>
      </c>
      <c r="AE208" s="16" t="n">
        <v>0</v>
      </c>
      <c r="AF208" s="16">
        <f>IF(AD208&gt;0,IFERROR(VALUE(LEFT($D208,1)),1),0)</f>
        <v/>
      </c>
      <c r="AG208" s="16">
        <f>AD208*AF208</f>
        <v/>
      </c>
      <c r="AH208" s="9">
        <f>AC208*AG208</f>
        <v/>
      </c>
      <c r="AI208" s="9" t="n">
        <v>0</v>
      </c>
      <c r="AJ208" s="16" t="n">
        <v>0</v>
      </c>
      <c r="AK208" s="16" t="n">
        <v>0</v>
      </c>
      <c r="AL208" s="16">
        <f>IF(AJ208&gt;0,IFERROR(VALUE(LEFT($D208,1)),1),0)</f>
        <v/>
      </c>
      <c r="AM208" s="16">
        <f>AJ208*AL208</f>
        <v/>
      </c>
      <c r="AN208" s="9">
        <f>AI208*AM208</f>
        <v/>
      </c>
    </row>
    <row r="209">
      <c r="A209" s="16" t="inlineStr">
        <is>
          <t>TK</t>
        </is>
      </c>
      <c r="B209" s="16" t="inlineStr">
        <is>
          <t>TK - dwie procedury anatomiczne</t>
        </is>
      </c>
      <c r="C209" s="16" t="inlineStr">
        <is>
          <t>TK Zwykłe</t>
        </is>
      </c>
      <c r="D209" s="16" t="inlineStr">
        <is>
          <t>3 okolice anatomiczne</t>
        </is>
      </c>
      <c r="E209" s="9" t="n">
        <v>0</v>
      </c>
      <c r="F209" s="16" t="n">
        <v>0</v>
      </c>
      <c r="G209" s="16" t="n">
        <v>0</v>
      </c>
      <c r="H209" s="16">
        <f>IF(F209&gt;0,IFERROR(VALUE(LEFT($D209,1)),1),0)</f>
        <v/>
      </c>
      <c r="I209" s="16">
        <f>F209*H209</f>
        <v/>
      </c>
      <c r="J209" s="9">
        <f>E209*I209</f>
        <v/>
      </c>
      <c r="K209" s="9" t="n">
        <v>0</v>
      </c>
      <c r="L209" s="16" t="n">
        <v>0</v>
      </c>
      <c r="M209" s="16" t="n">
        <v>0</v>
      </c>
      <c r="N209" s="16">
        <f>IF(L209&gt;0,IFERROR(VALUE(LEFT($D209,1)),1),0)</f>
        <v/>
      </c>
      <c r="O209" s="16">
        <f>L209*N209</f>
        <v/>
      </c>
      <c r="P209" s="9">
        <f>K209*O209</f>
        <v/>
      </c>
      <c r="Q209" s="9" t="n">
        <v>0</v>
      </c>
      <c r="R209" s="16" t="n">
        <v>0</v>
      </c>
      <c r="S209" s="16" t="n">
        <v>0</v>
      </c>
      <c r="T209" s="16">
        <f>IF(R209&gt;0,IFERROR(VALUE(LEFT($D209,1)),1),0)</f>
        <v/>
      </c>
      <c r="U209" s="16">
        <f>R209*T209</f>
        <v/>
      </c>
      <c r="V209" s="9">
        <f>Q209*U209</f>
        <v/>
      </c>
      <c r="W209" s="9" t="n">
        <v>120</v>
      </c>
      <c r="X209" s="16" t="n">
        <v>1</v>
      </c>
      <c r="Y209" s="16" t="n">
        <v>0</v>
      </c>
      <c r="Z209" s="16">
        <f>IF(X209&gt;0,IFERROR(VALUE(LEFT($D209,1)),1),0)</f>
        <v/>
      </c>
      <c r="AA209" s="16">
        <f>X209*Z209</f>
        <v/>
      </c>
      <c r="AB209" s="9">
        <f>W209*AA209</f>
        <v/>
      </c>
      <c r="AC209" s="9" t="n">
        <v>0</v>
      </c>
      <c r="AD209" s="16" t="n">
        <v>0</v>
      </c>
      <c r="AE209" s="16" t="n">
        <v>0</v>
      </c>
      <c r="AF209" s="16">
        <f>IF(AD209&gt;0,IFERROR(VALUE(LEFT($D209,1)),1),0)</f>
        <v/>
      </c>
      <c r="AG209" s="16">
        <f>AD209*AF209</f>
        <v/>
      </c>
      <c r="AH209" s="9">
        <f>AC209*AG209</f>
        <v/>
      </c>
      <c r="AI209" s="9" t="n">
        <v>0</v>
      </c>
      <c r="AJ209" s="16" t="n">
        <v>0</v>
      </c>
      <c r="AK209" s="16" t="n">
        <v>0</v>
      </c>
      <c r="AL209" s="16">
        <f>IF(AJ209&gt;0,IFERROR(VALUE(LEFT($D209,1)),1),0)</f>
        <v/>
      </c>
      <c r="AM209" s="16">
        <f>AJ209*AL209</f>
        <v/>
      </c>
      <c r="AN209" s="9">
        <f>AI209*AM209</f>
        <v/>
      </c>
    </row>
    <row r="210">
      <c r="A210" s="16" t="inlineStr">
        <is>
          <t>TK</t>
        </is>
      </c>
      <c r="B210" s="16" t="inlineStr">
        <is>
          <t>TK - głowy</t>
        </is>
      </c>
      <c r="C210" s="16" t="inlineStr">
        <is>
          <t>TK Zwykłe</t>
        </is>
      </c>
      <c r="D210" s="16" t="inlineStr">
        <is>
          <t>1 okolica anatomiczna</t>
        </is>
      </c>
      <c r="E210" s="9" t="n">
        <v>0</v>
      </c>
      <c r="F210" s="16" t="n">
        <v>0</v>
      </c>
      <c r="G210" s="16" t="n">
        <v>0</v>
      </c>
      <c r="H210" s="16">
        <f>IF(F210&gt;0,IFERROR(VALUE(LEFT($D210,1)),1),0)</f>
        <v/>
      </c>
      <c r="I210" s="16">
        <f>F210*H210</f>
        <v/>
      </c>
      <c r="J210" s="9">
        <f>E210*I210</f>
        <v/>
      </c>
      <c r="K210" s="9" t="n">
        <v>0</v>
      </c>
      <c r="L210" s="16" t="n">
        <v>0</v>
      </c>
      <c r="M210" s="16" t="n">
        <v>0</v>
      </c>
      <c r="N210" s="16">
        <f>IF(L210&gt;0,IFERROR(VALUE(LEFT($D210,1)),1),0)</f>
        <v/>
      </c>
      <c r="O210" s="16">
        <f>L210*N210</f>
        <v/>
      </c>
      <c r="P210" s="9">
        <f>K210*O210</f>
        <v/>
      </c>
      <c r="Q210" s="9" t="n">
        <v>0</v>
      </c>
      <c r="R210" s="16" t="n">
        <v>0</v>
      </c>
      <c r="S210" s="16" t="n">
        <v>0</v>
      </c>
      <c r="T210" s="16">
        <f>IF(R210&gt;0,IFERROR(VALUE(LEFT($D210,1)),1),0)</f>
        <v/>
      </c>
      <c r="U210" s="16">
        <f>R210*T210</f>
        <v/>
      </c>
      <c r="V210" s="9">
        <f>Q210*U210</f>
        <v/>
      </c>
      <c r="W210" s="9" t="n">
        <v>120</v>
      </c>
      <c r="X210" s="16" t="n">
        <v>3</v>
      </c>
      <c r="Y210" s="16" t="n">
        <v>2</v>
      </c>
      <c r="Z210" s="16">
        <f>IF(X210&gt;0,IFERROR(VALUE(LEFT($D210,1)),1),0)</f>
        <v/>
      </c>
      <c r="AA210" s="16">
        <f>X210*Z210</f>
        <v/>
      </c>
      <c r="AB210" s="9">
        <f>W210*AA210</f>
        <v/>
      </c>
      <c r="AC210" s="9" t="n">
        <v>0</v>
      </c>
      <c r="AD210" s="16" t="n">
        <v>0</v>
      </c>
      <c r="AE210" s="16" t="n">
        <v>0</v>
      </c>
      <c r="AF210" s="16">
        <f>IF(AD210&gt;0,IFERROR(VALUE(LEFT($D210,1)),1),0)</f>
        <v/>
      </c>
      <c r="AG210" s="16">
        <f>AD210*AF210</f>
        <v/>
      </c>
      <c r="AH210" s="9">
        <f>AC210*AG210</f>
        <v/>
      </c>
      <c r="AI210" s="9" t="n">
        <v>0</v>
      </c>
      <c r="AJ210" s="16" t="n">
        <v>0</v>
      </c>
      <c r="AK210" s="16" t="n">
        <v>0</v>
      </c>
      <c r="AL210" s="16">
        <f>IF(AJ210&gt;0,IFERROR(VALUE(LEFT($D210,1)),1),0)</f>
        <v/>
      </c>
      <c r="AM210" s="16">
        <f>AJ210*AL210</f>
        <v/>
      </c>
      <c r="AN210" s="9">
        <f>AI210*AM210</f>
        <v/>
      </c>
    </row>
    <row r="211">
      <c r="A211" s="16" t="inlineStr">
        <is>
          <t>TK</t>
        </is>
      </c>
      <c r="B211" s="16" t="inlineStr">
        <is>
          <t>TK - j.brzusznej i miednicy bez i ze środkiem kontrastowym</t>
        </is>
      </c>
      <c r="C211" s="16" t="inlineStr">
        <is>
          <t>TK Zwykłe</t>
        </is>
      </c>
      <c r="D211" s="16" t="inlineStr">
        <is>
          <t>2 okolice anatomiczne</t>
        </is>
      </c>
      <c r="E211" s="9" t="n">
        <v>0</v>
      </c>
      <c r="F211" s="16" t="n">
        <v>0</v>
      </c>
      <c r="G211" s="16" t="n">
        <v>0</v>
      </c>
      <c r="H211" s="16">
        <f>IF(F211&gt;0,IFERROR(VALUE(LEFT($D211,1)),1),0)</f>
        <v/>
      </c>
      <c r="I211" s="16">
        <f>F211*H211</f>
        <v/>
      </c>
      <c r="J211" s="9">
        <f>E211*I211</f>
        <v/>
      </c>
      <c r="K211" s="9" t="n">
        <v>0</v>
      </c>
      <c r="L211" s="16" t="n">
        <v>0</v>
      </c>
      <c r="M211" s="16" t="n">
        <v>0</v>
      </c>
      <c r="N211" s="16">
        <f>IF(L211&gt;0,IFERROR(VALUE(LEFT($D211,1)),1),0)</f>
        <v/>
      </c>
      <c r="O211" s="16">
        <f>L211*N211</f>
        <v/>
      </c>
      <c r="P211" s="9">
        <f>K211*O211</f>
        <v/>
      </c>
      <c r="Q211" s="9" t="n">
        <v>0</v>
      </c>
      <c r="R211" s="16" t="n">
        <v>0</v>
      </c>
      <c r="S211" s="16" t="n">
        <v>0</v>
      </c>
      <c r="T211" s="16">
        <f>IF(R211&gt;0,IFERROR(VALUE(LEFT($D211,1)),1),0)</f>
        <v/>
      </c>
      <c r="U211" s="16">
        <f>R211*T211</f>
        <v/>
      </c>
      <c r="V211" s="9">
        <f>Q211*U211</f>
        <v/>
      </c>
      <c r="W211" s="9" t="n">
        <v>120</v>
      </c>
      <c r="X211" s="16" t="n">
        <v>1</v>
      </c>
      <c r="Y211" s="16" t="n">
        <v>0</v>
      </c>
      <c r="Z211" s="16">
        <f>IF(X211&gt;0,IFERROR(VALUE(LEFT($D211,1)),1),0)</f>
        <v/>
      </c>
      <c r="AA211" s="16">
        <f>X211*Z211</f>
        <v/>
      </c>
      <c r="AB211" s="9">
        <f>W211*AA211</f>
        <v/>
      </c>
      <c r="AC211" s="9" t="n">
        <v>0</v>
      </c>
      <c r="AD211" s="16" t="n">
        <v>0</v>
      </c>
      <c r="AE211" s="16" t="n">
        <v>0</v>
      </c>
      <c r="AF211" s="16">
        <f>IF(AD211&gt;0,IFERROR(VALUE(LEFT($D211,1)),1),0)</f>
        <v/>
      </c>
      <c r="AG211" s="16">
        <f>AD211*AF211</f>
        <v/>
      </c>
      <c r="AH211" s="9">
        <f>AC211*AG211</f>
        <v/>
      </c>
      <c r="AI211" s="9" t="n">
        <v>0</v>
      </c>
      <c r="AJ211" s="16" t="n">
        <v>0</v>
      </c>
      <c r="AK211" s="16" t="n">
        <v>0</v>
      </c>
      <c r="AL211" s="16">
        <f>IF(AJ211&gt;0,IFERROR(VALUE(LEFT($D211,1)),1),0)</f>
        <v/>
      </c>
      <c r="AM211" s="16">
        <f>AJ211*AL211</f>
        <v/>
      </c>
      <c r="AN211" s="9">
        <f>AI211*AM211</f>
        <v/>
      </c>
    </row>
    <row r="212">
      <c r="A212" s="16" t="inlineStr">
        <is>
          <t>TK</t>
        </is>
      </c>
      <c r="B212" s="16" t="inlineStr">
        <is>
          <t>TK - jama brzuszna i miednica z kontrastem</t>
        </is>
      </c>
      <c r="C212" s="16" t="inlineStr">
        <is>
          <t>TK Zwykłe</t>
        </is>
      </c>
      <c r="D212" s="16" t="inlineStr">
        <is>
          <t>2 okolice anatomiczne</t>
        </is>
      </c>
      <c r="E212" s="9" t="n">
        <v>0</v>
      </c>
      <c r="F212" s="16" t="n">
        <v>0</v>
      </c>
      <c r="G212" s="16" t="n">
        <v>0</v>
      </c>
      <c r="H212" s="16">
        <f>IF(F212&gt;0,IFERROR(VALUE(LEFT($D212,1)),1),0)</f>
        <v/>
      </c>
      <c r="I212" s="16">
        <f>F212*H212</f>
        <v/>
      </c>
      <c r="J212" s="9">
        <f>E212*I212</f>
        <v/>
      </c>
      <c r="K212" s="9" t="n">
        <v>0</v>
      </c>
      <c r="L212" s="16" t="n">
        <v>0</v>
      </c>
      <c r="M212" s="16" t="n">
        <v>0</v>
      </c>
      <c r="N212" s="16">
        <f>IF(L212&gt;0,IFERROR(VALUE(LEFT($D212,1)),1),0)</f>
        <v/>
      </c>
      <c r="O212" s="16">
        <f>L212*N212</f>
        <v/>
      </c>
      <c r="P212" s="9">
        <f>K212*O212</f>
        <v/>
      </c>
      <c r="Q212" s="9" t="n">
        <v>0</v>
      </c>
      <c r="R212" s="16" t="n">
        <v>0</v>
      </c>
      <c r="S212" s="16" t="n">
        <v>0</v>
      </c>
      <c r="T212" s="16">
        <f>IF(R212&gt;0,IFERROR(VALUE(LEFT($D212,1)),1),0)</f>
        <v/>
      </c>
      <c r="U212" s="16">
        <f>R212*T212</f>
        <v/>
      </c>
      <c r="V212" s="9">
        <f>Q212*U212</f>
        <v/>
      </c>
      <c r="W212" s="9" t="n">
        <v>120</v>
      </c>
      <c r="X212" s="16" t="n">
        <v>1</v>
      </c>
      <c r="Y212" s="16" t="n">
        <v>0</v>
      </c>
      <c r="Z212" s="16">
        <f>IF(X212&gt;0,IFERROR(VALUE(LEFT($D212,1)),1),0)</f>
        <v/>
      </c>
      <c r="AA212" s="16">
        <f>X212*Z212</f>
        <v/>
      </c>
      <c r="AB212" s="9">
        <f>W212*AA212</f>
        <v/>
      </c>
      <c r="AC212" s="9" t="n">
        <v>0</v>
      </c>
      <c r="AD212" s="16" t="n">
        <v>0</v>
      </c>
      <c r="AE212" s="16" t="n">
        <v>0</v>
      </c>
      <c r="AF212" s="16">
        <f>IF(AD212&gt;0,IFERROR(VALUE(LEFT($D212,1)),1),0)</f>
        <v/>
      </c>
      <c r="AG212" s="16">
        <f>AD212*AF212</f>
        <v/>
      </c>
      <c r="AH212" s="9">
        <f>AC212*AG212</f>
        <v/>
      </c>
      <c r="AI212" s="9" t="n">
        <v>0</v>
      </c>
      <c r="AJ212" s="16" t="n">
        <v>0</v>
      </c>
      <c r="AK212" s="16" t="n">
        <v>0</v>
      </c>
      <c r="AL212" s="16">
        <f>IF(AJ212&gt;0,IFERROR(VALUE(LEFT($D212,1)),1),0)</f>
        <v/>
      </c>
      <c r="AM212" s="16">
        <f>AJ212*AL212</f>
        <v/>
      </c>
      <c r="AN212" s="9">
        <f>AI212*AM212</f>
        <v/>
      </c>
    </row>
    <row r="213">
      <c r="A213" s="16" t="inlineStr">
        <is>
          <t>TK</t>
        </is>
      </c>
      <c r="B213" s="16" t="inlineStr">
        <is>
          <t>TK - kręgosłupa lędźwiowo-krzyżowego bez wz.kontrastowego</t>
        </is>
      </c>
      <c r="C213" s="16" t="inlineStr">
        <is>
          <t>TK Zwykłe</t>
        </is>
      </c>
      <c r="D213" s="16" t="inlineStr">
        <is>
          <t>1 okolica anatomiczna</t>
        </is>
      </c>
      <c r="E213" s="9" t="n">
        <v>0</v>
      </c>
      <c r="F213" s="16" t="n">
        <v>0</v>
      </c>
      <c r="G213" s="16" t="n">
        <v>0</v>
      </c>
      <c r="H213" s="16">
        <f>IF(F213&gt;0,IFERROR(VALUE(LEFT($D213,1)),1),0)</f>
        <v/>
      </c>
      <c r="I213" s="16">
        <f>F213*H213</f>
        <v/>
      </c>
      <c r="J213" s="9">
        <f>E213*I213</f>
        <v/>
      </c>
      <c r="K213" s="9" t="n">
        <v>0</v>
      </c>
      <c r="L213" s="16" t="n">
        <v>0</v>
      </c>
      <c r="M213" s="16" t="n">
        <v>0</v>
      </c>
      <c r="N213" s="16">
        <f>IF(L213&gt;0,IFERROR(VALUE(LEFT($D213,1)),1),0)</f>
        <v/>
      </c>
      <c r="O213" s="16">
        <f>L213*N213</f>
        <v/>
      </c>
      <c r="P213" s="9">
        <f>K213*O213</f>
        <v/>
      </c>
      <c r="Q213" s="9" t="n">
        <v>0</v>
      </c>
      <c r="R213" s="16" t="n">
        <v>0</v>
      </c>
      <c r="S213" s="16" t="n">
        <v>0</v>
      </c>
      <c r="T213" s="16">
        <f>IF(R213&gt;0,IFERROR(VALUE(LEFT($D213,1)),1),0)</f>
        <v/>
      </c>
      <c r="U213" s="16">
        <f>R213*T213</f>
        <v/>
      </c>
      <c r="V213" s="9">
        <f>Q213*U213</f>
        <v/>
      </c>
      <c r="W213" s="9" t="n">
        <v>120</v>
      </c>
      <c r="X213" s="16" t="n">
        <v>6</v>
      </c>
      <c r="Y213" s="16" t="n">
        <v>0</v>
      </c>
      <c r="Z213" s="16">
        <f>IF(X213&gt;0,IFERROR(VALUE(LEFT($D213,1)),1),0)</f>
        <v/>
      </c>
      <c r="AA213" s="16">
        <f>X213*Z213</f>
        <v/>
      </c>
      <c r="AB213" s="9">
        <f>W213*AA213</f>
        <v/>
      </c>
      <c r="AC213" s="9" t="n">
        <v>0</v>
      </c>
      <c r="AD213" s="16" t="n">
        <v>0</v>
      </c>
      <c r="AE213" s="16" t="n">
        <v>0</v>
      </c>
      <c r="AF213" s="16">
        <f>IF(AD213&gt;0,IFERROR(VALUE(LEFT($D213,1)),1),0)</f>
        <v/>
      </c>
      <c r="AG213" s="16">
        <f>AD213*AF213</f>
        <v/>
      </c>
      <c r="AH213" s="9">
        <f>AC213*AG213</f>
        <v/>
      </c>
      <c r="AI213" s="9" t="n">
        <v>0</v>
      </c>
      <c r="AJ213" s="16" t="n">
        <v>0</v>
      </c>
      <c r="AK213" s="16" t="n">
        <v>0</v>
      </c>
      <c r="AL213" s="16">
        <f>IF(AJ213&gt;0,IFERROR(VALUE(LEFT($D213,1)),1),0)</f>
        <v/>
      </c>
      <c r="AM213" s="16">
        <f>AJ213*AL213</f>
        <v/>
      </c>
      <c r="AN213" s="9">
        <f>AI213*AM213</f>
        <v/>
      </c>
    </row>
    <row r="214">
      <c r="A214" s="16" t="inlineStr">
        <is>
          <t>TK</t>
        </is>
      </c>
      <c r="B214" s="16" t="inlineStr">
        <is>
          <t>TK - kręgosłupa odc. L/S</t>
        </is>
      </c>
      <c r="C214" s="16" t="inlineStr">
        <is>
          <t>TK Zwykłe</t>
        </is>
      </c>
      <c r="D214" s="16" t="inlineStr">
        <is>
          <t>1 okolica anatomiczna</t>
        </is>
      </c>
      <c r="E214" s="9" t="n">
        <v>0</v>
      </c>
      <c r="F214" s="16" t="n">
        <v>0</v>
      </c>
      <c r="G214" s="16" t="n">
        <v>0</v>
      </c>
      <c r="H214" s="16">
        <f>IF(F214&gt;0,IFERROR(VALUE(LEFT($D214,1)),1),0)</f>
        <v/>
      </c>
      <c r="I214" s="16">
        <f>F214*H214</f>
        <v/>
      </c>
      <c r="J214" s="9">
        <f>E214*I214</f>
        <v/>
      </c>
      <c r="K214" s="9" t="n">
        <v>0</v>
      </c>
      <c r="L214" s="16" t="n">
        <v>0</v>
      </c>
      <c r="M214" s="16" t="n">
        <v>0</v>
      </c>
      <c r="N214" s="16">
        <f>IF(L214&gt;0,IFERROR(VALUE(LEFT($D214,1)),1),0)</f>
        <v/>
      </c>
      <c r="O214" s="16">
        <f>L214*N214</f>
        <v/>
      </c>
      <c r="P214" s="9">
        <f>K214*O214</f>
        <v/>
      </c>
      <c r="Q214" s="9" t="n">
        <v>0</v>
      </c>
      <c r="R214" s="16" t="n">
        <v>0</v>
      </c>
      <c r="S214" s="16" t="n">
        <v>0</v>
      </c>
      <c r="T214" s="16">
        <f>IF(R214&gt;0,IFERROR(VALUE(LEFT($D214,1)),1),0)</f>
        <v/>
      </c>
      <c r="U214" s="16">
        <f>R214*T214</f>
        <v/>
      </c>
      <c r="V214" s="9">
        <f>Q214*U214</f>
        <v/>
      </c>
      <c r="W214" s="9" t="n">
        <v>120</v>
      </c>
      <c r="X214" s="16" t="n">
        <v>1</v>
      </c>
      <c r="Y214" s="16" t="n">
        <v>0</v>
      </c>
      <c r="Z214" s="16">
        <f>IF(X214&gt;0,IFERROR(VALUE(LEFT($D214,1)),1),0)</f>
        <v/>
      </c>
      <c r="AA214" s="16">
        <f>X214*Z214</f>
        <v/>
      </c>
      <c r="AB214" s="9">
        <f>W214*AA214</f>
        <v/>
      </c>
      <c r="AC214" s="9" t="n">
        <v>0</v>
      </c>
      <c r="AD214" s="16" t="n">
        <v>0</v>
      </c>
      <c r="AE214" s="16" t="n">
        <v>0</v>
      </c>
      <c r="AF214" s="16">
        <f>IF(AD214&gt;0,IFERROR(VALUE(LEFT($D214,1)),1),0)</f>
        <v/>
      </c>
      <c r="AG214" s="16">
        <f>AD214*AF214</f>
        <v/>
      </c>
      <c r="AH214" s="9">
        <f>AC214*AG214</f>
        <v/>
      </c>
      <c r="AI214" s="9" t="n">
        <v>0</v>
      </c>
      <c r="AJ214" s="16" t="n">
        <v>0</v>
      </c>
      <c r="AK214" s="16" t="n">
        <v>0</v>
      </c>
      <c r="AL214" s="16">
        <f>IF(AJ214&gt;0,IFERROR(VALUE(LEFT($D214,1)),1),0)</f>
        <v/>
      </c>
      <c r="AM214" s="16">
        <f>AJ214*AL214</f>
        <v/>
      </c>
      <c r="AN214" s="9">
        <f>AI214*AM214</f>
        <v/>
      </c>
    </row>
    <row r="215">
      <c r="A215" s="16" t="inlineStr">
        <is>
          <t>TK</t>
        </is>
      </c>
      <c r="B215" s="16" t="inlineStr">
        <is>
          <t>TK - kręgosłupa piersiowego bez wz.kontrastowego</t>
        </is>
      </c>
      <c r="C215" s="16" t="inlineStr">
        <is>
          <t>TK Zwykłe</t>
        </is>
      </c>
      <c r="D215" s="16" t="inlineStr">
        <is>
          <t>1 okolica anatomiczna</t>
        </is>
      </c>
      <c r="E215" s="9" t="n">
        <v>0</v>
      </c>
      <c r="F215" s="16" t="n">
        <v>0</v>
      </c>
      <c r="G215" s="16" t="n">
        <v>0</v>
      </c>
      <c r="H215" s="16">
        <f>IF(F215&gt;0,IFERROR(VALUE(LEFT($D215,1)),1),0)</f>
        <v/>
      </c>
      <c r="I215" s="16">
        <f>F215*H215</f>
        <v/>
      </c>
      <c r="J215" s="9">
        <f>E215*I215</f>
        <v/>
      </c>
      <c r="K215" s="9" t="n">
        <v>0</v>
      </c>
      <c r="L215" s="16" t="n">
        <v>0</v>
      </c>
      <c r="M215" s="16" t="n">
        <v>0</v>
      </c>
      <c r="N215" s="16">
        <f>IF(L215&gt;0,IFERROR(VALUE(LEFT($D215,1)),1),0)</f>
        <v/>
      </c>
      <c r="O215" s="16">
        <f>L215*N215</f>
        <v/>
      </c>
      <c r="P215" s="9">
        <f>K215*O215</f>
        <v/>
      </c>
      <c r="Q215" s="9" t="n">
        <v>0</v>
      </c>
      <c r="R215" s="16" t="n">
        <v>0</v>
      </c>
      <c r="S215" s="16" t="n">
        <v>0</v>
      </c>
      <c r="T215" s="16">
        <f>IF(R215&gt;0,IFERROR(VALUE(LEFT($D215,1)),1),0)</f>
        <v/>
      </c>
      <c r="U215" s="16">
        <f>R215*T215</f>
        <v/>
      </c>
      <c r="V215" s="9">
        <f>Q215*U215</f>
        <v/>
      </c>
      <c r="W215" s="9" t="n">
        <v>120</v>
      </c>
      <c r="X215" s="16" t="n">
        <v>1</v>
      </c>
      <c r="Y215" s="16" t="n">
        <v>0</v>
      </c>
      <c r="Z215" s="16">
        <f>IF(X215&gt;0,IFERROR(VALUE(LEFT($D215,1)),1),0)</f>
        <v/>
      </c>
      <c r="AA215" s="16">
        <f>X215*Z215</f>
        <v/>
      </c>
      <c r="AB215" s="9">
        <f>W215*AA215</f>
        <v/>
      </c>
      <c r="AC215" s="9" t="n">
        <v>0</v>
      </c>
      <c r="AD215" s="16" t="n">
        <v>0</v>
      </c>
      <c r="AE215" s="16" t="n">
        <v>0</v>
      </c>
      <c r="AF215" s="16">
        <f>IF(AD215&gt;0,IFERROR(VALUE(LEFT($D215,1)),1),0)</f>
        <v/>
      </c>
      <c r="AG215" s="16">
        <f>AD215*AF215</f>
        <v/>
      </c>
      <c r="AH215" s="9">
        <f>AC215*AG215</f>
        <v/>
      </c>
      <c r="AI215" s="9" t="n">
        <v>0</v>
      </c>
      <c r="AJ215" s="16" t="n">
        <v>0</v>
      </c>
      <c r="AK215" s="16" t="n">
        <v>0</v>
      </c>
      <c r="AL215" s="16">
        <f>IF(AJ215&gt;0,IFERROR(VALUE(LEFT($D215,1)),1),0)</f>
        <v/>
      </c>
      <c r="AM215" s="16">
        <f>AJ215*AL215</f>
        <v/>
      </c>
      <c r="AN215" s="9">
        <f>AI215*AM215</f>
        <v/>
      </c>
    </row>
    <row r="216">
      <c r="A216" s="16" t="inlineStr">
        <is>
          <t>TK</t>
        </is>
      </c>
      <c r="B216" s="16" t="inlineStr">
        <is>
          <t>TK - kręgosłupa szyjnego bez wz.kontrastowego</t>
        </is>
      </c>
      <c r="C216" s="16" t="inlineStr">
        <is>
          <t>TK Zwykłe</t>
        </is>
      </c>
      <c r="D216" s="16" t="inlineStr">
        <is>
          <t>1 okolica anatomiczna</t>
        </is>
      </c>
      <c r="E216" s="9" t="n">
        <v>0</v>
      </c>
      <c r="F216" s="16" t="n">
        <v>0</v>
      </c>
      <c r="G216" s="16" t="n">
        <v>0</v>
      </c>
      <c r="H216" s="16">
        <f>IF(F216&gt;0,IFERROR(VALUE(LEFT($D216,1)),1),0)</f>
        <v/>
      </c>
      <c r="I216" s="16">
        <f>F216*H216</f>
        <v/>
      </c>
      <c r="J216" s="9">
        <f>E216*I216</f>
        <v/>
      </c>
      <c r="K216" s="9" t="n">
        <v>0</v>
      </c>
      <c r="L216" s="16" t="n">
        <v>0</v>
      </c>
      <c r="M216" s="16" t="n">
        <v>0</v>
      </c>
      <c r="N216" s="16">
        <f>IF(L216&gt;0,IFERROR(VALUE(LEFT($D216,1)),1),0)</f>
        <v/>
      </c>
      <c r="O216" s="16">
        <f>L216*N216</f>
        <v/>
      </c>
      <c r="P216" s="9">
        <f>K216*O216</f>
        <v/>
      </c>
      <c r="Q216" s="9" t="n">
        <v>0</v>
      </c>
      <c r="R216" s="16" t="n">
        <v>0</v>
      </c>
      <c r="S216" s="16" t="n">
        <v>0</v>
      </c>
      <c r="T216" s="16">
        <f>IF(R216&gt;0,IFERROR(VALUE(LEFT($D216,1)),1),0)</f>
        <v/>
      </c>
      <c r="U216" s="16">
        <f>R216*T216</f>
        <v/>
      </c>
      <c r="V216" s="9">
        <f>Q216*U216</f>
        <v/>
      </c>
      <c r="W216" s="9" t="n">
        <v>120</v>
      </c>
      <c r="X216" s="16" t="n">
        <v>2</v>
      </c>
      <c r="Y216" s="16" t="n">
        <v>0</v>
      </c>
      <c r="Z216" s="16">
        <f>IF(X216&gt;0,IFERROR(VALUE(LEFT($D216,1)),1),0)</f>
        <v/>
      </c>
      <c r="AA216" s="16">
        <f>X216*Z216</f>
        <v/>
      </c>
      <c r="AB216" s="9">
        <f>W216*AA216</f>
        <v/>
      </c>
      <c r="AC216" s="9" t="n">
        <v>0</v>
      </c>
      <c r="AD216" s="16" t="n">
        <v>0</v>
      </c>
      <c r="AE216" s="16" t="n">
        <v>0</v>
      </c>
      <c r="AF216" s="16">
        <f>IF(AD216&gt;0,IFERROR(VALUE(LEFT($D216,1)),1),0)</f>
        <v/>
      </c>
      <c r="AG216" s="16">
        <f>AD216*AF216</f>
        <v/>
      </c>
      <c r="AH216" s="9">
        <f>AC216*AG216</f>
        <v/>
      </c>
      <c r="AI216" s="9" t="n">
        <v>0</v>
      </c>
      <c r="AJ216" s="16" t="n">
        <v>0</v>
      </c>
      <c r="AK216" s="16" t="n">
        <v>0</v>
      </c>
      <c r="AL216" s="16">
        <f>IF(AJ216&gt;0,IFERROR(VALUE(LEFT($D216,1)),1),0)</f>
        <v/>
      </c>
      <c r="AM216" s="16">
        <f>AJ216*AL216</f>
        <v/>
      </c>
      <c r="AN216" s="9">
        <f>AI216*AM216</f>
        <v/>
      </c>
    </row>
    <row r="217">
      <c r="A217" s="16" t="inlineStr">
        <is>
          <t>TK</t>
        </is>
      </c>
      <c r="B217" s="16" t="inlineStr">
        <is>
          <t>TK GŁOWA</t>
        </is>
      </c>
      <c r="C217" s="16" t="inlineStr">
        <is>
          <t>TK Zwykłe</t>
        </is>
      </c>
      <c r="D217" s="16" t="inlineStr">
        <is>
          <t>1 okolica anatomiczna</t>
        </is>
      </c>
      <c r="E217" s="9" t="n">
        <v>0</v>
      </c>
      <c r="F217" s="16" t="n">
        <v>0</v>
      </c>
      <c r="G217" s="16" t="n">
        <v>0</v>
      </c>
      <c r="H217" s="16">
        <f>IF(F217&gt;0,IFERROR(VALUE(LEFT($D217,1)),1),0)</f>
        <v/>
      </c>
      <c r="I217" s="16">
        <f>F217*H217</f>
        <v/>
      </c>
      <c r="J217" s="9">
        <f>E217*I217</f>
        <v/>
      </c>
      <c r="K217" s="9" t="n">
        <v>0</v>
      </c>
      <c r="L217" s="16" t="n">
        <v>0</v>
      </c>
      <c r="M217" s="16" t="n">
        <v>0</v>
      </c>
      <c r="N217" s="16">
        <f>IF(L217&gt;0,IFERROR(VALUE(LEFT($D217,1)),1),0)</f>
        <v/>
      </c>
      <c r="O217" s="16">
        <f>L217*N217</f>
        <v/>
      </c>
      <c r="P217" s="9">
        <f>K217*O217</f>
        <v/>
      </c>
      <c r="Q217" s="9" t="n">
        <v>0</v>
      </c>
      <c r="R217" s="16" t="n">
        <v>0</v>
      </c>
      <c r="S217" s="16" t="n">
        <v>0</v>
      </c>
      <c r="T217" s="16">
        <f>IF(R217&gt;0,IFERROR(VALUE(LEFT($D217,1)),1),0)</f>
        <v/>
      </c>
      <c r="U217" s="16">
        <f>R217*T217</f>
        <v/>
      </c>
      <c r="V217" s="9">
        <f>Q217*U217</f>
        <v/>
      </c>
      <c r="W217" s="9" t="n">
        <v>120</v>
      </c>
      <c r="X217" s="16" t="n">
        <v>8</v>
      </c>
      <c r="Y217" s="16" t="n">
        <v>7</v>
      </c>
      <c r="Z217" s="16">
        <f>IF(X217&gt;0,IFERROR(VALUE(LEFT($D217,1)),1),0)</f>
        <v/>
      </c>
      <c r="AA217" s="16">
        <f>X217*Z217</f>
        <v/>
      </c>
      <c r="AB217" s="9">
        <f>W217*AA217</f>
        <v/>
      </c>
      <c r="AC217" s="9" t="n">
        <v>0</v>
      </c>
      <c r="AD217" s="16" t="n">
        <v>0</v>
      </c>
      <c r="AE217" s="16" t="n">
        <v>0</v>
      </c>
      <c r="AF217" s="16">
        <f>IF(AD217&gt;0,IFERROR(VALUE(LEFT($D217,1)),1),0)</f>
        <v/>
      </c>
      <c r="AG217" s="16">
        <f>AD217*AF217</f>
        <v/>
      </c>
      <c r="AH217" s="9">
        <f>AC217*AG217</f>
        <v/>
      </c>
      <c r="AI217" s="9" t="n">
        <v>0</v>
      </c>
      <c r="AJ217" s="16" t="n">
        <v>0</v>
      </c>
      <c r="AK217" s="16" t="n">
        <v>0</v>
      </c>
      <c r="AL217" s="16">
        <f>IF(AJ217&gt;0,IFERROR(VALUE(LEFT($D217,1)),1),0)</f>
        <v/>
      </c>
      <c r="AM217" s="16">
        <f>AJ217*AL217</f>
        <v/>
      </c>
      <c r="AN217" s="9">
        <f>AI217*AM217</f>
        <v/>
      </c>
    </row>
    <row r="218">
      <c r="A218" s="16" t="inlineStr">
        <is>
          <t>TK</t>
        </is>
      </c>
      <c r="B218" s="16" t="inlineStr">
        <is>
          <t>TK GŁOWY BEZ KONTRASTU</t>
        </is>
      </c>
      <c r="C218" s="16" t="inlineStr">
        <is>
          <t>TK Zwykłe</t>
        </is>
      </c>
      <c r="D218" s="16" t="inlineStr">
        <is>
          <t>1 okolica anatomiczna</t>
        </is>
      </c>
      <c r="E218" s="9" t="n">
        <v>0</v>
      </c>
      <c r="F218" s="16" t="n">
        <v>0</v>
      </c>
      <c r="G218" s="16" t="n">
        <v>0</v>
      </c>
      <c r="H218" s="16">
        <f>IF(F218&gt;0,IFERROR(VALUE(LEFT($D218,1)),1),0)</f>
        <v/>
      </c>
      <c r="I218" s="16">
        <f>F218*H218</f>
        <v/>
      </c>
      <c r="J218" s="9">
        <f>E218*I218</f>
        <v/>
      </c>
      <c r="K218" s="9" t="n">
        <v>0</v>
      </c>
      <c r="L218" s="16" t="n">
        <v>0</v>
      </c>
      <c r="M218" s="16" t="n">
        <v>0</v>
      </c>
      <c r="N218" s="16">
        <f>IF(L218&gt;0,IFERROR(VALUE(LEFT($D218,1)),1),0)</f>
        <v/>
      </c>
      <c r="O218" s="16">
        <f>L218*N218</f>
        <v/>
      </c>
      <c r="P218" s="9">
        <f>K218*O218</f>
        <v/>
      </c>
      <c r="Q218" s="9" t="n">
        <v>0</v>
      </c>
      <c r="R218" s="16" t="n">
        <v>0</v>
      </c>
      <c r="S218" s="16" t="n">
        <v>0</v>
      </c>
      <c r="T218" s="16">
        <f>IF(R218&gt;0,IFERROR(VALUE(LEFT($D218,1)),1),0)</f>
        <v/>
      </c>
      <c r="U218" s="16">
        <f>R218*T218</f>
        <v/>
      </c>
      <c r="V218" s="9">
        <f>Q218*U218</f>
        <v/>
      </c>
      <c r="W218" s="9" t="n">
        <v>120</v>
      </c>
      <c r="X218" s="16" t="n">
        <v>1</v>
      </c>
      <c r="Y218" s="16" t="n">
        <v>0</v>
      </c>
      <c r="Z218" s="16">
        <f>IF(X218&gt;0,IFERROR(VALUE(LEFT($D218,1)),1),0)</f>
        <v/>
      </c>
      <c r="AA218" s="16">
        <f>X218*Z218</f>
        <v/>
      </c>
      <c r="AB218" s="9">
        <f>W218*AA218</f>
        <v/>
      </c>
      <c r="AC218" s="9" t="n">
        <v>0</v>
      </c>
      <c r="AD218" s="16" t="n">
        <v>0</v>
      </c>
      <c r="AE218" s="16" t="n">
        <v>0</v>
      </c>
      <c r="AF218" s="16">
        <f>IF(AD218&gt;0,IFERROR(VALUE(LEFT($D218,1)),1),0)</f>
        <v/>
      </c>
      <c r="AG218" s="16">
        <f>AD218*AF218</f>
        <v/>
      </c>
      <c r="AH218" s="9">
        <f>AC218*AG218</f>
        <v/>
      </c>
      <c r="AI218" s="9" t="n">
        <v>0</v>
      </c>
      <c r="AJ218" s="16" t="n">
        <v>0</v>
      </c>
      <c r="AK218" s="16" t="n">
        <v>0</v>
      </c>
      <c r="AL218" s="16">
        <f>IF(AJ218&gt;0,IFERROR(VALUE(LEFT($D218,1)),1),0)</f>
        <v/>
      </c>
      <c r="AM218" s="16">
        <f>AJ218*AL218</f>
        <v/>
      </c>
      <c r="AN218" s="9">
        <f>AI218*AM218</f>
        <v/>
      </c>
    </row>
    <row r="219">
      <c r="A219" s="16" t="inlineStr">
        <is>
          <t>TK</t>
        </is>
      </c>
      <c r="B219" s="16" t="inlineStr">
        <is>
          <t>TK GŁOWY BEZ WZMOCNIENIA KONTRASTOWEGO</t>
        </is>
      </c>
      <c r="C219" s="16" t="inlineStr">
        <is>
          <t>TK Zwykłe</t>
        </is>
      </c>
      <c r="D219" s="16" t="inlineStr">
        <is>
          <t>1 okolica anatomiczna</t>
        </is>
      </c>
      <c r="E219" s="9" t="n">
        <v>0</v>
      </c>
      <c r="F219" s="16" t="n">
        <v>0</v>
      </c>
      <c r="G219" s="16" t="n">
        <v>0</v>
      </c>
      <c r="H219" s="16">
        <f>IF(F219&gt;0,IFERROR(VALUE(LEFT($D219,1)),1),0)</f>
        <v/>
      </c>
      <c r="I219" s="16">
        <f>F219*H219</f>
        <v/>
      </c>
      <c r="J219" s="9">
        <f>E219*I219</f>
        <v/>
      </c>
      <c r="K219" s="9" t="n">
        <v>0</v>
      </c>
      <c r="L219" s="16" t="n">
        <v>0</v>
      </c>
      <c r="M219" s="16" t="n">
        <v>0</v>
      </c>
      <c r="N219" s="16">
        <f>IF(L219&gt;0,IFERROR(VALUE(LEFT($D219,1)),1),0)</f>
        <v/>
      </c>
      <c r="O219" s="16">
        <f>L219*N219</f>
        <v/>
      </c>
      <c r="P219" s="9">
        <f>K219*O219</f>
        <v/>
      </c>
      <c r="Q219" s="9" t="n">
        <v>0</v>
      </c>
      <c r="R219" s="16" t="n">
        <v>0</v>
      </c>
      <c r="S219" s="16" t="n">
        <v>0</v>
      </c>
      <c r="T219" s="16">
        <f>IF(R219&gt;0,IFERROR(VALUE(LEFT($D219,1)),1),0)</f>
        <v/>
      </c>
      <c r="U219" s="16">
        <f>R219*T219</f>
        <v/>
      </c>
      <c r="V219" s="9">
        <f>Q219*U219</f>
        <v/>
      </c>
      <c r="W219" s="9" t="n">
        <v>120</v>
      </c>
      <c r="X219" s="16" t="n">
        <v>2</v>
      </c>
      <c r="Y219" s="16" t="n">
        <v>0</v>
      </c>
      <c r="Z219" s="16">
        <f>IF(X219&gt;0,IFERROR(VALUE(LEFT($D219,1)),1),0)</f>
        <v/>
      </c>
      <c r="AA219" s="16">
        <f>X219*Z219</f>
        <v/>
      </c>
      <c r="AB219" s="9">
        <f>W219*AA219</f>
        <v/>
      </c>
      <c r="AC219" s="9" t="n">
        <v>0</v>
      </c>
      <c r="AD219" s="16" t="n">
        <v>0</v>
      </c>
      <c r="AE219" s="16" t="n">
        <v>0</v>
      </c>
      <c r="AF219" s="16">
        <f>IF(AD219&gt;0,IFERROR(VALUE(LEFT($D219,1)),1),0)</f>
        <v/>
      </c>
      <c r="AG219" s="16">
        <f>AD219*AF219</f>
        <v/>
      </c>
      <c r="AH219" s="9">
        <f>AC219*AG219</f>
        <v/>
      </c>
      <c r="AI219" s="9" t="n">
        <v>0</v>
      </c>
      <c r="AJ219" s="16" t="n">
        <v>0</v>
      </c>
      <c r="AK219" s="16" t="n">
        <v>0</v>
      </c>
      <c r="AL219" s="16">
        <f>IF(AJ219&gt;0,IFERROR(VALUE(LEFT($D219,1)),1),0)</f>
        <v/>
      </c>
      <c r="AM219" s="16">
        <f>AJ219*AL219</f>
        <v/>
      </c>
      <c r="AN219" s="9">
        <f>AI219*AM219</f>
        <v/>
      </c>
    </row>
    <row r="220">
      <c r="A220" s="16" t="inlineStr">
        <is>
          <t>TK</t>
        </is>
      </c>
      <c r="B220" s="16" t="inlineStr">
        <is>
          <t>TK Głowa bez wzmocnienia kontrastowego</t>
        </is>
      </c>
      <c r="C220" s="16" t="inlineStr">
        <is>
          <t>TK Zwykłe</t>
        </is>
      </c>
      <c r="D220" s="16" t="inlineStr">
        <is>
          <t>1 okolica anatomiczna</t>
        </is>
      </c>
      <c r="E220" s="9" t="n">
        <v>0</v>
      </c>
      <c r="F220" s="16" t="n">
        <v>0</v>
      </c>
      <c r="G220" s="16" t="n">
        <v>0</v>
      </c>
      <c r="H220" s="16">
        <f>IF(F220&gt;0,IFERROR(VALUE(LEFT($D220,1)),1),0)</f>
        <v/>
      </c>
      <c r="I220" s="16">
        <f>F220*H220</f>
        <v/>
      </c>
      <c r="J220" s="9">
        <f>E220*I220</f>
        <v/>
      </c>
      <c r="K220" s="9" t="n">
        <v>0</v>
      </c>
      <c r="L220" s="16" t="n">
        <v>0</v>
      </c>
      <c r="M220" s="16" t="n">
        <v>0</v>
      </c>
      <c r="N220" s="16">
        <f>IF(L220&gt;0,IFERROR(VALUE(LEFT($D220,1)),1),0)</f>
        <v/>
      </c>
      <c r="O220" s="16">
        <f>L220*N220</f>
        <v/>
      </c>
      <c r="P220" s="9">
        <f>K220*O220</f>
        <v/>
      </c>
      <c r="Q220" s="9" t="n">
        <v>0</v>
      </c>
      <c r="R220" s="16" t="n">
        <v>0</v>
      </c>
      <c r="S220" s="16" t="n">
        <v>0</v>
      </c>
      <c r="T220" s="16">
        <f>IF(R220&gt;0,IFERROR(VALUE(LEFT($D220,1)),1),0)</f>
        <v/>
      </c>
      <c r="U220" s="16">
        <f>R220*T220</f>
        <v/>
      </c>
      <c r="V220" s="9">
        <f>Q220*U220</f>
        <v/>
      </c>
      <c r="W220" s="9" t="n">
        <v>120</v>
      </c>
      <c r="X220" s="16" t="n">
        <v>1</v>
      </c>
      <c r="Y220" s="16" t="n">
        <v>0</v>
      </c>
      <c r="Z220" s="16">
        <f>IF(X220&gt;0,IFERROR(VALUE(LEFT($D220,1)),1),0)</f>
        <v/>
      </c>
      <c r="AA220" s="16">
        <f>X220*Z220</f>
        <v/>
      </c>
      <c r="AB220" s="9">
        <f>W220*AA220</f>
        <v/>
      </c>
      <c r="AC220" s="9" t="n">
        <v>0</v>
      </c>
      <c r="AD220" s="16" t="n">
        <v>0</v>
      </c>
      <c r="AE220" s="16" t="n">
        <v>0</v>
      </c>
      <c r="AF220" s="16">
        <f>IF(AD220&gt;0,IFERROR(VALUE(LEFT($D220,1)),1),0)</f>
        <v/>
      </c>
      <c r="AG220" s="16">
        <f>AD220*AF220</f>
        <v/>
      </c>
      <c r="AH220" s="9">
        <f>AC220*AG220</f>
        <v/>
      </c>
      <c r="AI220" s="9" t="n">
        <v>0</v>
      </c>
      <c r="AJ220" s="16" t="n">
        <v>0</v>
      </c>
      <c r="AK220" s="16" t="n">
        <v>0</v>
      </c>
      <c r="AL220" s="16">
        <f>IF(AJ220&gt;0,IFERROR(VALUE(LEFT($D220,1)),1),0)</f>
        <v/>
      </c>
      <c r="AM220" s="16">
        <f>AJ220*AL220</f>
        <v/>
      </c>
      <c r="AN220" s="9">
        <f>AI220*AM220</f>
        <v/>
      </c>
    </row>
    <row r="221">
      <c r="A221" s="16" t="inlineStr">
        <is>
          <t>TK</t>
        </is>
      </c>
      <c r="B221" s="16" t="inlineStr">
        <is>
          <t>TK Głowy i twarzoczaszki - bez kontrastu</t>
        </is>
      </c>
      <c r="C221" s="16" t="inlineStr">
        <is>
          <t>TK Zwykłe</t>
        </is>
      </c>
      <c r="D221" s="16" t="inlineStr">
        <is>
          <t>2 okolice anatomiczne</t>
        </is>
      </c>
      <c r="E221" s="9" t="n">
        <v>0</v>
      </c>
      <c r="F221" s="16" t="n">
        <v>0</v>
      </c>
      <c r="G221" s="16" t="n">
        <v>0</v>
      </c>
      <c r="H221" s="16">
        <f>IF(F221&gt;0,IFERROR(VALUE(LEFT($D221,1)),1),0)</f>
        <v/>
      </c>
      <c r="I221" s="16">
        <f>F221*H221</f>
        <v/>
      </c>
      <c r="J221" s="9">
        <f>E221*I221</f>
        <v/>
      </c>
      <c r="K221" s="9" t="n">
        <v>0</v>
      </c>
      <c r="L221" s="16" t="n">
        <v>0</v>
      </c>
      <c r="M221" s="16" t="n">
        <v>0</v>
      </c>
      <c r="N221" s="16">
        <f>IF(L221&gt;0,IFERROR(VALUE(LEFT($D221,1)),1),0)</f>
        <v/>
      </c>
      <c r="O221" s="16">
        <f>L221*N221</f>
        <v/>
      </c>
      <c r="P221" s="9">
        <f>K221*O221</f>
        <v/>
      </c>
      <c r="Q221" s="9" t="n">
        <v>0</v>
      </c>
      <c r="R221" s="16" t="n">
        <v>0</v>
      </c>
      <c r="S221" s="16" t="n">
        <v>0</v>
      </c>
      <c r="T221" s="16">
        <f>IF(R221&gt;0,IFERROR(VALUE(LEFT($D221,1)),1),0)</f>
        <v/>
      </c>
      <c r="U221" s="16">
        <f>R221*T221</f>
        <v/>
      </c>
      <c r="V221" s="9">
        <f>Q221*U221</f>
        <v/>
      </c>
      <c r="W221" s="9" t="n">
        <v>120</v>
      </c>
      <c r="X221" s="16" t="n">
        <v>1</v>
      </c>
      <c r="Y221" s="16" t="n">
        <v>0</v>
      </c>
      <c r="Z221" s="16">
        <f>IF(X221&gt;0,IFERROR(VALUE(LEFT($D221,1)),1),0)</f>
        <v/>
      </c>
      <c r="AA221" s="16">
        <f>X221*Z221</f>
        <v/>
      </c>
      <c r="AB221" s="9">
        <f>W221*AA221</f>
        <v/>
      </c>
      <c r="AC221" s="9" t="n">
        <v>0</v>
      </c>
      <c r="AD221" s="16" t="n">
        <v>0</v>
      </c>
      <c r="AE221" s="16" t="n">
        <v>0</v>
      </c>
      <c r="AF221" s="16">
        <f>IF(AD221&gt;0,IFERROR(VALUE(LEFT($D221,1)),1),0)</f>
        <v/>
      </c>
      <c r="AG221" s="16">
        <f>AD221*AF221</f>
        <v/>
      </c>
      <c r="AH221" s="9">
        <f>AC221*AG221</f>
        <v/>
      </c>
      <c r="AI221" s="9" t="n">
        <v>0</v>
      </c>
      <c r="AJ221" s="16" t="n">
        <v>0</v>
      </c>
      <c r="AK221" s="16" t="n">
        <v>0</v>
      </c>
      <c r="AL221" s="16">
        <f>IF(AJ221&gt;0,IFERROR(VALUE(LEFT($D221,1)),1),0)</f>
        <v/>
      </c>
      <c r="AM221" s="16">
        <f>AJ221*AL221</f>
        <v/>
      </c>
      <c r="AN221" s="9">
        <f>AI221*AM221</f>
        <v/>
      </c>
    </row>
    <row r="222">
      <c r="A222" s="16" t="inlineStr">
        <is>
          <t>TK</t>
        </is>
      </c>
      <c r="B222" s="16" t="inlineStr">
        <is>
          <t>TK J. BRZUSZ. + MM</t>
        </is>
      </c>
      <c r="C222" s="16" t="inlineStr">
        <is>
          <t>TK Zwykłe</t>
        </is>
      </c>
      <c r="D222" s="16" t="inlineStr">
        <is>
          <t>2 okolice anatomiczne</t>
        </is>
      </c>
      <c r="E222" s="9" t="n">
        <v>0</v>
      </c>
      <c r="F222" s="16" t="n">
        <v>0</v>
      </c>
      <c r="G222" s="16" t="n">
        <v>0</v>
      </c>
      <c r="H222" s="16">
        <f>IF(F222&gt;0,IFERROR(VALUE(LEFT($D222,1)),1),0)</f>
        <v/>
      </c>
      <c r="I222" s="16">
        <f>F222*H222</f>
        <v/>
      </c>
      <c r="J222" s="9">
        <f>E222*I222</f>
        <v/>
      </c>
      <c r="K222" s="9" t="n">
        <v>0</v>
      </c>
      <c r="L222" s="16" t="n">
        <v>0</v>
      </c>
      <c r="M222" s="16" t="n">
        <v>0</v>
      </c>
      <c r="N222" s="16">
        <f>IF(L222&gt;0,IFERROR(VALUE(LEFT($D222,1)),1),0)</f>
        <v/>
      </c>
      <c r="O222" s="16">
        <f>L222*N222</f>
        <v/>
      </c>
      <c r="P222" s="9">
        <f>K222*O222</f>
        <v/>
      </c>
      <c r="Q222" s="9" t="n">
        <v>0</v>
      </c>
      <c r="R222" s="16" t="n">
        <v>0</v>
      </c>
      <c r="S222" s="16" t="n">
        <v>0</v>
      </c>
      <c r="T222" s="16">
        <f>IF(R222&gt;0,IFERROR(VALUE(LEFT($D222,1)),1),0)</f>
        <v/>
      </c>
      <c r="U222" s="16">
        <f>R222*T222</f>
        <v/>
      </c>
      <c r="V222" s="9">
        <f>Q222*U222</f>
        <v/>
      </c>
      <c r="W222" s="9" t="n">
        <v>120</v>
      </c>
      <c r="X222" s="16" t="n">
        <v>1</v>
      </c>
      <c r="Y222" s="16" t="n">
        <v>2</v>
      </c>
      <c r="Z222" s="16">
        <f>IF(X222&gt;0,IFERROR(VALUE(LEFT($D222,1)),1),0)</f>
        <v/>
      </c>
      <c r="AA222" s="16">
        <f>X222*Z222</f>
        <v/>
      </c>
      <c r="AB222" s="9">
        <f>W222*AA222</f>
        <v/>
      </c>
      <c r="AC222" s="9" t="n">
        <v>0</v>
      </c>
      <c r="AD222" s="16" t="n">
        <v>0</v>
      </c>
      <c r="AE222" s="16" t="n">
        <v>0</v>
      </c>
      <c r="AF222" s="16">
        <f>IF(AD222&gt;0,IFERROR(VALUE(LEFT($D222,1)),1),0)</f>
        <v/>
      </c>
      <c r="AG222" s="16">
        <f>AD222*AF222</f>
        <v/>
      </c>
      <c r="AH222" s="9">
        <f>AC222*AG222</f>
        <v/>
      </c>
      <c r="AI222" s="9" t="n">
        <v>0</v>
      </c>
      <c r="AJ222" s="16" t="n">
        <v>0</v>
      </c>
      <c r="AK222" s="16" t="n">
        <v>0</v>
      </c>
      <c r="AL222" s="16">
        <f>IF(AJ222&gt;0,IFERROR(VALUE(LEFT($D222,1)),1),0)</f>
        <v/>
      </c>
      <c r="AM222" s="16">
        <f>AJ222*AL222</f>
        <v/>
      </c>
      <c r="AN222" s="9">
        <f>AI222*AM222</f>
        <v/>
      </c>
    </row>
    <row r="223">
      <c r="A223" s="16" t="inlineStr">
        <is>
          <t>TK</t>
        </is>
      </c>
      <c r="B223" s="16" t="inlineStr">
        <is>
          <t>TK KL. PIER.</t>
        </is>
      </c>
      <c r="C223" s="16" t="inlineStr">
        <is>
          <t>TK Zwykłe</t>
        </is>
      </c>
      <c r="D223" s="16" t="inlineStr">
        <is>
          <t>1 okolica anatomiczna</t>
        </is>
      </c>
      <c r="E223" s="9" t="n">
        <v>0</v>
      </c>
      <c r="F223" s="16" t="n">
        <v>0</v>
      </c>
      <c r="G223" s="16" t="n">
        <v>0</v>
      </c>
      <c r="H223" s="16">
        <f>IF(F223&gt;0,IFERROR(VALUE(LEFT($D223,1)),1),0)</f>
        <v/>
      </c>
      <c r="I223" s="16">
        <f>F223*H223</f>
        <v/>
      </c>
      <c r="J223" s="9">
        <f>E223*I223</f>
        <v/>
      </c>
      <c r="K223" s="9" t="n">
        <v>0</v>
      </c>
      <c r="L223" s="16" t="n">
        <v>0</v>
      </c>
      <c r="M223" s="16" t="n">
        <v>0</v>
      </c>
      <c r="N223" s="16">
        <f>IF(L223&gt;0,IFERROR(VALUE(LEFT($D223,1)),1),0)</f>
        <v/>
      </c>
      <c r="O223" s="16">
        <f>L223*N223</f>
        <v/>
      </c>
      <c r="P223" s="9">
        <f>K223*O223</f>
        <v/>
      </c>
      <c r="Q223" s="9" t="n">
        <v>0</v>
      </c>
      <c r="R223" s="16" t="n">
        <v>0</v>
      </c>
      <c r="S223" s="16" t="n">
        <v>0</v>
      </c>
      <c r="T223" s="16">
        <f>IF(R223&gt;0,IFERROR(VALUE(LEFT($D223,1)),1),0)</f>
        <v/>
      </c>
      <c r="U223" s="16">
        <f>R223*T223</f>
        <v/>
      </c>
      <c r="V223" s="9">
        <f>Q223*U223</f>
        <v/>
      </c>
      <c r="W223" s="9" t="n">
        <v>120</v>
      </c>
      <c r="X223" s="16" t="n">
        <v>1</v>
      </c>
      <c r="Y223" s="16" t="n">
        <v>0</v>
      </c>
      <c r="Z223" s="16">
        <f>IF(X223&gt;0,IFERROR(VALUE(LEFT($D223,1)),1),0)</f>
        <v/>
      </c>
      <c r="AA223" s="16">
        <f>X223*Z223</f>
        <v/>
      </c>
      <c r="AB223" s="9">
        <f>W223*AA223</f>
        <v/>
      </c>
      <c r="AC223" s="9" t="n">
        <v>0</v>
      </c>
      <c r="AD223" s="16" t="n">
        <v>0</v>
      </c>
      <c r="AE223" s="16" t="n">
        <v>0</v>
      </c>
      <c r="AF223" s="16">
        <f>IF(AD223&gt;0,IFERROR(VALUE(LEFT($D223,1)),1),0)</f>
        <v/>
      </c>
      <c r="AG223" s="16">
        <f>AD223*AF223</f>
        <v/>
      </c>
      <c r="AH223" s="9">
        <f>AC223*AG223</f>
        <v/>
      </c>
      <c r="AI223" s="9" t="n">
        <v>0</v>
      </c>
      <c r="AJ223" s="16" t="n">
        <v>0</v>
      </c>
      <c r="AK223" s="16" t="n">
        <v>0</v>
      </c>
      <c r="AL223" s="16">
        <f>IF(AJ223&gt;0,IFERROR(VALUE(LEFT($D223,1)),1),0)</f>
        <v/>
      </c>
      <c r="AM223" s="16">
        <f>AJ223*AL223</f>
        <v/>
      </c>
      <c r="AN223" s="9">
        <f>AI223*AM223</f>
        <v/>
      </c>
    </row>
    <row r="224">
      <c r="A224" s="16" t="inlineStr">
        <is>
          <t>TK</t>
        </is>
      </c>
      <c r="B224" s="16" t="inlineStr">
        <is>
          <t>TK KL. PIER. LOW DOSE</t>
        </is>
      </c>
      <c r="C224" s="16" t="inlineStr">
        <is>
          <t>TK Zwykłe</t>
        </is>
      </c>
      <c r="D224" s="16" t="inlineStr">
        <is>
          <t>1 okolica anatomiczna</t>
        </is>
      </c>
      <c r="E224" s="9" t="n">
        <v>0</v>
      </c>
      <c r="F224" s="16" t="n">
        <v>0</v>
      </c>
      <c r="G224" s="16" t="n">
        <v>0</v>
      </c>
      <c r="H224" s="16">
        <f>IF(F224&gt;0,IFERROR(VALUE(LEFT($D224,1)),1),0)</f>
        <v/>
      </c>
      <c r="I224" s="16">
        <f>F224*H224</f>
        <v/>
      </c>
      <c r="J224" s="9">
        <f>E224*I224</f>
        <v/>
      </c>
      <c r="K224" s="9" t="n">
        <v>0</v>
      </c>
      <c r="L224" s="16" t="n">
        <v>0</v>
      </c>
      <c r="M224" s="16" t="n">
        <v>0</v>
      </c>
      <c r="N224" s="16">
        <f>IF(L224&gt;0,IFERROR(VALUE(LEFT($D224,1)),1),0)</f>
        <v/>
      </c>
      <c r="O224" s="16">
        <f>L224*N224</f>
        <v/>
      </c>
      <c r="P224" s="9">
        <f>K224*O224</f>
        <v/>
      </c>
      <c r="Q224" s="9" t="n">
        <v>0</v>
      </c>
      <c r="R224" s="16" t="n">
        <v>0</v>
      </c>
      <c r="S224" s="16" t="n">
        <v>0</v>
      </c>
      <c r="T224" s="16">
        <f>IF(R224&gt;0,IFERROR(VALUE(LEFT($D224,1)),1),0)</f>
        <v/>
      </c>
      <c r="U224" s="16">
        <f>R224*T224</f>
        <v/>
      </c>
      <c r="V224" s="9">
        <f>Q224*U224</f>
        <v/>
      </c>
      <c r="W224" s="9" t="n">
        <v>120</v>
      </c>
      <c r="X224" s="16" t="n">
        <v>1</v>
      </c>
      <c r="Y224" s="16" t="n">
        <v>1</v>
      </c>
      <c r="Z224" s="16">
        <f>IF(X224&gt;0,IFERROR(VALUE(LEFT($D224,1)),1),0)</f>
        <v/>
      </c>
      <c r="AA224" s="16">
        <f>X224*Z224</f>
        <v/>
      </c>
      <c r="AB224" s="9">
        <f>W224*AA224</f>
        <v/>
      </c>
      <c r="AC224" s="9" t="n">
        <v>0</v>
      </c>
      <c r="AD224" s="16" t="n">
        <v>0</v>
      </c>
      <c r="AE224" s="16" t="n">
        <v>0</v>
      </c>
      <c r="AF224" s="16">
        <f>IF(AD224&gt;0,IFERROR(VALUE(LEFT($D224,1)),1),0)</f>
        <v/>
      </c>
      <c r="AG224" s="16">
        <f>AD224*AF224</f>
        <v/>
      </c>
      <c r="AH224" s="9">
        <f>AC224*AG224</f>
        <v/>
      </c>
      <c r="AI224" s="9" t="n">
        <v>0</v>
      </c>
      <c r="AJ224" s="16" t="n">
        <v>0</v>
      </c>
      <c r="AK224" s="16" t="n">
        <v>0</v>
      </c>
      <c r="AL224" s="16">
        <f>IF(AJ224&gt;0,IFERROR(VALUE(LEFT($D224,1)),1),0)</f>
        <v/>
      </c>
      <c r="AM224" s="16">
        <f>AJ224*AL224</f>
        <v/>
      </c>
      <c r="AN224" s="9">
        <f>AI224*AM224</f>
        <v/>
      </c>
    </row>
    <row r="225">
      <c r="A225" s="16" t="inlineStr">
        <is>
          <t>TK</t>
        </is>
      </c>
      <c r="B225" s="16" t="inlineStr">
        <is>
          <t>TK głowy (mózgowia) wielofazowo</t>
        </is>
      </c>
      <c r="C225" s="16" t="inlineStr">
        <is>
          <t>TK Zwykłe</t>
        </is>
      </c>
      <c r="D225" s="16" t="inlineStr">
        <is>
          <t>1 okolica anatomiczna</t>
        </is>
      </c>
      <c r="E225" s="9" t="n">
        <v>0</v>
      </c>
      <c r="F225" s="16" t="n">
        <v>0</v>
      </c>
      <c r="G225" s="16" t="n">
        <v>0</v>
      </c>
      <c r="H225" s="16">
        <f>IF(F225&gt;0,IFERROR(VALUE(LEFT($D225,1)),1),0)</f>
        <v/>
      </c>
      <c r="I225" s="16">
        <f>F225*H225</f>
        <v/>
      </c>
      <c r="J225" s="9">
        <f>E225*I225</f>
        <v/>
      </c>
      <c r="K225" s="9" t="n">
        <v>0</v>
      </c>
      <c r="L225" s="16" t="n">
        <v>0</v>
      </c>
      <c r="M225" s="16" t="n">
        <v>0</v>
      </c>
      <c r="N225" s="16">
        <f>IF(L225&gt;0,IFERROR(VALUE(LEFT($D225,1)),1),0)</f>
        <v/>
      </c>
      <c r="O225" s="16">
        <f>L225*N225</f>
        <v/>
      </c>
      <c r="P225" s="9">
        <f>K225*O225</f>
        <v/>
      </c>
      <c r="Q225" s="9" t="n">
        <v>0</v>
      </c>
      <c r="R225" s="16" t="n">
        <v>0</v>
      </c>
      <c r="S225" s="16" t="n">
        <v>0</v>
      </c>
      <c r="T225" s="16">
        <f>IF(R225&gt;0,IFERROR(VALUE(LEFT($D225,1)),1),0)</f>
        <v/>
      </c>
      <c r="U225" s="16">
        <f>R225*T225</f>
        <v/>
      </c>
      <c r="V225" s="9">
        <f>Q225*U225</f>
        <v/>
      </c>
      <c r="W225" s="9" t="n">
        <v>120</v>
      </c>
      <c r="X225" s="16" t="n">
        <v>1</v>
      </c>
      <c r="Y225" s="16" t="n">
        <v>0</v>
      </c>
      <c r="Z225" s="16">
        <f>IF(X225&gt;0,IFERROR(VALUE(LEFT($D225,1)),1),0)</f>
        <v/>
      </c>
      <c r="AA225" s="16">
        <f>X225*Z225</f>
        <v/>
      </c>
      <c r="AB225" s="9">
        <f>W225*AA225</f>
        <v/>
      </c>
      <c r="AC225" s="9" t="n">
        <v>0</v>
      </c>
      <c r="AD225" s="16" t="n">
        <v>0</v>
      </c>
      <c r="AE225" s="16" t="n">
        <v>0</v>
      </c>
      <c r="AF225" s="16">
        <f>IF(AD225&gt;0,IFERROR(VALUE(LEFT($D225,1)),1),0)</f>
        <v/>
      </c>
      <c r="AG225" s="16">
        <f>AD225*AF225</f>
        <v/>
      </c>
      <c r="AH225" s="9">
        <f>AC225*AG225</f>
        <v/>
      </c>
      <c r="AI225" s="9" t="n">
        <v>0</v>
      </c>
      <c r="AJ225" s="16" t="n">
        <v>0</v>
      </c>
      <c r="AK225" s="16" t="n">
        <v>0</v>
      </c>
      <c r="AL225" s="16">
        <f>IF(AJ225&gt;0,IFERROR(VALUE(LEFT($D225,1)),1),0)</f>
        <v/>
      </c>
      <c r="AM225" s="16">
        <f>AJ225*AL225</f>
        <v/>
      </c>
      <c r="AN225" s="9">
        <f>AI225*AM225</f>
        <v/>
      </c>
    </row>
    <row r="226">
      <c r="A226" s="16" t="inlineStr">
        <is>
          <t>TK</t>
        </is>
      </c>
      <c r="B226" s="16" t="inlineStr">
        <is>
          <t>TK głowy (z kontrastem) [87.03 ]</t>
        </is>
      </c>
      <c r="C226" s="16" t="inlineStr">
        <is>
          <t>TK Zwykłe</t>
        </is>
      </c>
      <c r="D226" s="16" t="inlineStr">
        <is>
          <t>1 okolica anatomiczna</t>
        </is>
      </c>
      <c r="E226" s="9" t="n">
        <v>0</v>
      </c>
      <c r="F226" s="16" t="n">
        <v>0</v>
      </c>
      <c r="G226" s="16" t="n">
        <v>0</v>
      </c>
      <c r="H226" s="16">
        <f>IF(F226&gt;0,IFERROR(VALUE(LEFT($D226,1)),1),0)</f>
        <v/>
      </c>
      <c r="I226" s="16">
        <f>F226*H226</f>
        <v/>
      </c>
      <c r="J226" s="9">
        <f>E226*I226</f>
        <v/>
      </c>
      <c r="K226" s="9" t="n">
        <v>0</v>
      </c>
      <c r="L226" s="16" t="n">
        <v>0</v>
      </c>
      <c r="M226" s="16" t="n">
        <v>0</v>
      </c>
      <c r="N226" s="16">
        <f>IF(L226&gt;0,IFERROR(VALUE(LEFT($D226,1)),1),0)</f>
        <v/>
      </c>
      <c r="O226" s="16">
        <f>L226*N226</f>
        <v/>
      </c>
      <c r="P226" s="9">
        <f>K226*O226</f>
        <v/>
      </c>
      <c r="Q226" s="9" t="n">
        <v>0</v>
      </c>
      <c r="R226" s="16" t="n">
        <v>0</v>
      </c>
      <c r="S226" s="16" t="n">
        <v>0</v>
      </c>
      <c r="T226" s="16">
        <f>IF(R226&gt;0,IFERROR(VALUE(LEFT($D226,1)),1),0)</f>
        <v/>
      </c>
      <c r="U226" s="16">
        <f>R226*T226</f>
        <v/>
      </c>
      <c r="V226" s="9">
        <f>Q226*U226</f>
        <v/>
      </c>
      <c r="W226" s="9" t="n">
        <v>120</v>
      </c>
      <c r="X226" s="16" t="n">
        <v>1</v>
      </c>
      <c r="Y226" s="16" t="n">
        <v>0</v>
      </c>
      <c r="Z226" s="16">
        <f>IF(X226&gt;0,IFERROR(VALUE(LEFT($D226,1)),1),0)</f>
        <v/>
      </c>
      <c r="AA226" s="16">
        <f>X226*Z226</f>
        <v/>
      </c>
      <c r="AB226" s="9">
        <f>W226*AA226</f>
        <v/>
      </c>
      <c r="AC226" s="9" t="n">
        <v>0</v>
      </c>
      <c r="AD226" s="16" t="n">
        <v>0</v>
      </c>
      <c r="AE226" s="16" t="n">
        <v>0</v>
      </c>
      <c r="AF226" s="16">
        <f>IF(AD226&gt;0,IFERROR(VALUE(LEFT($D226,1)),1),0)</f>
        <v/>
      </c>
      <c r="AG226" s="16">
        <f>AD226*AF226</f>
        <v/>
      </c>
      <c r="AH226" s="9">
        <f>AC226*AG226</f>
        <v/>
      </c>
      <c r="AI226" s="9" t="n">
        <v>0</v>
      </c>
      <c r="AJ226" s="16" t="n">
        <v>0</v>
      </c>
      <c r="AK226" s="16" t="n">
        <v>0</v>
      </c>
      <c r="AL226" s="16">
        <f>IF(AJ226&gt;0,IFERROR(VALUE(LEFT($D226,1)),1),0)</f>
        <v/>
      </c>
      <c r="AM226" s="16">
        <f>AJ226*AL226</f>
        <v/>
      </c>
      <c r="AN226" s="9">
        <f>AI226*AM226</f>
        <v/>
      </c>
    </row>
    <row r="227">
      <c r="A227" s="16" t="inlineStr">
        <is>
          <t>TK</t>
        </is>
      </c>
      <c r="B227" s="16" t="inlineStr">
        <is>
          <t>TK głowy bez kontrastu</t>
        </is>
      </c>
      <c r="C227" s="16" t="inlineStr">
        <is>
          <t>TK Zwykłe</t>
        </is>
      </c>
      <c r="D227" s="16" t="inlineStr">
        <is>
          <t>1 okolica anatomiczna</t>
        </is>
      </c>
      <c r="E227" s="9" t="n">
        <v>0</v>
      </c>
      <c r="F227" s="16" t="n">
        <v>0</v>
      </c>
      <c r="G227" s="16" t="n">
        <v>0</v>
      </c>
      <c r="H227" s="16">
        <f>IF(F227&gt;0,IFERROR(VALUE(LEFT($D227,1)),1),0)</f>
        <v/>
      </c>
      <c r="I227" s="16">
        <f>F227*H227</f>
        <v/>
      </c>
      <c r="J227" s="9">
        <f>E227*I227</f>
        <v/>
      </c>
      <c r="K227" s="9" t="n">
        <v>120</v>
      </c>
      <c r="L227" s="16" t="n">
        <v>1</v>
      </c>
      <c r="M227" s="16" t="n">
        <v>0</v>
      </c>
      <c r="N227" s="16">
        <f>IF(L227&gt;0,IFERROR(VALUE(LEFT($D227,1)),1),0)</f>
        <v/>
      </c>
      <c r="O227" s="16">
        <f>L227*N227</f>
        <v/>
      </c>
      <c r="P227" s="9">
        <f>K227*O227</f>
        <v/>
      </c>
      <c r="Q227" s="9" t="n">
        <v>0</v>
      </c>
      <c r="R227" s="16" t="n">
        <v>0</v>
      </c>
      <c r="S227" s="16" t="n">
        <v>0</v>
      </c>
      <c r="T227" s="16">
        <f>IF(R227&gt;0,IFERROR(VALUE(LEFT($D227,1)),1),0)</f>
        <v/>
      </c>
      <c r="U227" s="16">
        <f>R227*T227</f>
        <v/>
      </c>
      <c r="V227" s="9">
        <f>Q227*U227</f>
        <v/>
      </c>
      <c r="W227" s="9" t="n">
        <v>120</v>
      </c>
      <c r="X227" s="16" t="n">
        <v>6</v>
      </c>
      <c r="Y227" s="16" t="n">
        <v>0</v>
      </c>
      <c r="Z227" s="16">
        <f>IF(X227&gt;0,IFERROR(VALUE(LEFT($D227,1)),1),0)</f>
        <v/>
      </c>
      <c r="AA227" s="16">
        <f>X227*Z227</f>
        <v/>
      </c>
      <c r="AB227" s="9">
        <f>W227*AA227</f>
        <v/>
      </c>
      <c r="AC227" s="9" t="n">
        <v>0</v>
      </c>
      <c r="AD227" s="16" t="n">
        <v>0</v>
      </c>
      <c r="AE227" s="16" t="n">
        <v>0</v>
      </c>
      <c r="AF227" s="16">
        <f>IF(AD227&gt;0,IFERROR(VALUE(LEFT($D227,1)),1),0)</f>
        <v/>
      </c>
      <c r="AG227" s="16">
        <f>AD227*AF227</f>
        <v/>
      </c>
      <c r="AH227" s="9">
        <f>AC227*AG227</f>
        <v/>
      </c>
      <c r="AI227" s="9" t="n">
        <v>0</v>
      </c>
      <c r="AJ227" s="16" t="n">
        <v>0</v>
      </c>
      <c r="AK227" s="16" t="n">
        <v>0</v>
      </c>
      <c r="AL227" s="16">
        <f>IF(AJ227&gt;0,IFERROR(VALUE(LEFT($D227,1)),1),0)</f>
        <v/>
      </c>
      <c r="AM227" s="16">
        <f>AJ227*AL227</f>
        <v/>
      </c>
      <c r="AN227" s="9">
        <f>AI227*AM227</f>
        <v/>
      </c>
    </row>
    <row r="228">
      <c r="A228" s="16" t="inlineStr">
        <is>
          <t>TK</t>
        </is>
      </c>
      <c r="B228" s="16" t="inlineStr">
        <is>
          <t>TK głowy bez kontrastu</t>
        </is>
      </c>
      <c r="C228" s="16" t="inlineStr">
        <is>
          <t>TK Zwykłe</t>
        </is>
      </c>
      <c r="D228" s="16" t="inlineStr">
        <is>
          <t>2 okolice anatomiczne</t>
        </is>
      </c>
      <c r="E228" s="9" t="n">
        <v>0</v>
      </c>
      <c r="F228" s="16" t="n">
        <v>0</v>
      </c>
      <c r="G228" s="16" t="n">
        <v>0</v>
      </c>
      <c r="H228" s="16">
        <f>IF(F228&gt;0,IFERROR(VALUE(LEFT($D228,1)),1),0)</f>
        <v/>
      </c>
      <c r="I228" s="16">
        <f>F228*H228</f>
        <v/>
      </c>
      <c r="J228" s="9">
        <f>E228*I228</f>
        <v/>
      </c>
      <c r="K228" s="9" t="n">
        <v>0</v>
      </c>
      <c r="L228" s="16" t="n">
        <v>0</v>
      </c>
      <c r="M228" s="16" t="n">
        <v>0</v>
      </c>
      <c r="N228" s="16">
        <f>IF(L228&gt;0,IFERROR(VALUE(LEFT($D228,1)),1),0)</f>
        <v/>
      </c>
      <c r="O228" s="16">
        <f>L228*N228</f>
        <v/>
      </c>
      <c r="P228" s="9">
        <f>K228*O228</f>
        <v/>
      </c>
      <c r="Q228" s="9" t="n">
        <v>0</v>
      </c>
      <c r="R228" s="16" t="n">
        <v>0</v>
      </c>
      <c r="S228" s="16" t="n">
        <v>0</v>
      </c>
      <c r="T228" s="16">
        <f>IF(R228&gt;0,IFERROR(VALUE(LEFT($D228,1)),1),0)</f>
        <v/>
      </c>
      <c r="U228" s="16">
        <f>R228*T228</f>
        <v/>
      </c>
      <c r="V228" s="9">
        <f>Q228*U228</f>
        <v/>
      </c>
      <c r="W228" s="9" t="n">
        <v>120</v>
      </c>
      <c r="X228" s="16" t="n">
        <v>1</v>
      </c>
      <c r="Y228" s="16" t="n">
        <v>0</v>
      </c>
      <c r="Z228" s="16">
        <f>IF(X228&gt;0,IFERROR(VALUE(LEFT($D228,1)),1),0)</f>
        <v/>
      </c>
      <c r="AA228" s="16">
        <f>X228*Z228</f>
        <v/>
      </c>
      <c r="AB228" s="9">
        <f>W228*AA228</f>
        <v/>
      </c>
      <c r="AC228" s="9" t="n">
        <v>0</v>
      </c>
      <c r="AD228" s="16" t="n">
        <v>0</v>
      </c>
      <c r="AE228" s="16" t="n">
        <v>0</v>
      </c>
      <c r="AF228" s="16">
        <f>IF(AD228&gt;0,IFERROR(VALUE(LEFT($D228,1)),1),0)</f>
        <v/>
      </c>
      <c r="AG228" s="16">
        <f>AD228*AF228</f>
        <v/>
      </c>
      <c r="AH228" s="9">
        <f>AC228*AG228</f>
        <v/>
      </c>
      <c r="AI228" s="9" t="n">
        <v>0</v>
      </c>
      <c r="AJ228" s="16" t="n">
        <v>0</v>
      </c>
      <c r="AK228" s="16" t="n">
        <v>0</v>
      </c>
      <c r="AL228" s="16">
        <f>IF(AJ228&gt;0,IFERROR(VALUE(LEFT($D228,1)),1),0)</f>
        <v/>
      </c>
      <c r="AM228" s="16">
        <f>AJ228*AL228</f>
        <v/>
      </c>
      <c r="AN228" s="9">
        <f>AI228*AM228</f>
        <v/>
      </c>
    </row>
    <row r="229">
      <c r="A229" s="16" t="inlineStr">
        <is>
          <t>TK</t>
        </is>
      </c>
      <c r="B229" s="16" t="inlineStr">
        <is>
          <t>TK głowy bez kontrastu [87.03 ]</t>
        </is>
      </c>
      <c r="C229" s="16" t="inlineStr">
        <is>
          <t>TK Zwykłe</t>
        </is>
      </c>
      <c r="D229" s="16" t="inlineStr">
        <is>
          <t>1 okolica anatomiczna</t>
        </is>
      </c>
      <c r="E229" s="9" t="n">
        <v>0</v>
      </c>
      <c r="F229" s="16" t="n">
        <v>0</v>
      </c>
      <c r="G229" s="16" t="n">
        <v>0</v>
      </c>
      <c r="H229" s="16">
        <f>IF(F229&gt;0,IFERROR(VALUE(LEFT($D229,1)),1),0)</f>
        <v/>
      </c>
      <c r="I229" s="16">
        <f>F229*H229</f>
        <v/>
      </c>
      <c r="J229" s="9">
        <f>E229*I229</f>
        <v/>
      </c>
      <c r="K229" s="9" t="n">
        <v>0</v>
      </c>
      <c r="L229" s="16" t="n">
        <v>0</v>
      </c>
      <c r="M229" s="16" t="n">
        <v>0</v>
      </c>
      <c r="N229" s="16">
        <f>IF(L229&gt;0,IFERROR(VALUE(LEFT($D229,1)),1),0)</f>
        <v/>
      </c>
      <c r="O229" s="16">
        <f>L229*N229</f>
        <v/>
      </c>
      <c r="P229" s="9">
        <f>K229*O229</f>
        <v/>
      </c>
      <c r="Q229" s="9" t="n">
        <v>0</v>
      </c>
      <c r="R229" s="16" t="n">
        <v>0</v>
      </c>
      <c r="S229" s="16" t="n">
        <v>0</v>
      </c>
      <c r="T229" s="16">
        <f>IF(R229&gt;0,IFERROR(VALUE(LEFT($D229,1)),1),0)</f>
        <v/>
      </c>
      <c r="U229" s="16">
        <f>R229*T229</f>
        <v/>
      </c>
      <c r="V229" s="9">
        <f>Q229*U229</f>
        <v/>
      </c>
      <c r="W229" s="9" t="n">
        <v>120</v>
      </c>
      <c r="X229" s="16" t="n">
        <v>5</v>
      </c>
      <c r="Y229" s="16" t="n">
        <v>2</v>
      </c>
      <c r="Z229" s="16">
        <f>IF(X229&gt;0,IFERROR(VALUE(LEFT($D229,1)),1),0)</f>
        <v/>
      </c>
      <c r="AA229" s="16">
        <f>X229*Z229</f>
        <v/>
      </c>
      <c r="AB229" s="9">
        <f>W229*AA229</f>
        <v/>
      </c>
      <c r="AC229" s="9" t="n">
        <v>0</v>
      </c>
      <c r="AD229" s="16" t="n">
        <v>0</v>
      </c>
      <c r="AE229" s="16" t="n">
        <v>0</v>
      </c>
      <c r="AF229" s="16">
        <f>IF(AD229&gt;0,IFERROR(VALUE(LEFT($D229,1)),1),0)</f>
        <v/>
      </c>
      <c r="AG229" s="16">
        <f>AD229*AF229</f>
        <v/>
      </c>
      <c r="AH229" s="9">
        <f>AC229*AG229</f>
        <v/>
      </c>
      <c r="AI229" s="9" t="n">
        <v>0</v>
      </c>
      <c r="AJ229" s="16" t="n">
        <v>0</v>
      </c>
      <c r="AK229" s="16" t="n">
        <v>0</v>
      </c>
      <c r="AL229" s="16">
        <f>IF(AJ229&gt;0,IFERROR(VALUE(LEFT($D229,1)),1),0)</f>
        <v/>
      </c>
      <c r="AM229" s="16">
        <f>AJ229*AL229</f>
        <v/>
      </c>
      <c r="AN229" s="9">
        <f>AI229*AM229</f>
        <v/>
      </c>
    </row>
    <row r="230">
      <c r="A230" s="16" t="inlineStr">
        <is>
          <t>TK</t>
        </is>
      </c>
      <c r="B230" s="16" t="inlineStr">
        <is>
          <t>TK głowy bez wzmocnienia kontrastowego</t>
        </is>
      </c>
      <c r="C230" s="16" t="inlineStr">
        <is>
          <t>TK Zwykłe</t>
        </is>
      </c>
      <c r="D230" s="16" t="inlineStr">
        <is>
          <t>1 okolica anatomiczna</t>
        </is>
      </c>
      <c r="E230" s="9" t="n">
        <v>0</v>
      </c>
      <c r="F230" s="16" t="n">
        <v>0</v>
      </c>
      <c r="G230" s="16" t="n">
        <v>0</v>
      </c>
      <c r="H230" s="16">
        <f>IF(F230&gt;0,IFERROR(VALUE(LEFT($D230,1)),1),0)</f>
        <v/>
      </c>
      <c r="I230" s="16">
        <f>F230*H230</f>
        <v/>
      </c>
      <c r="J230" s="9">
        <f>E230*I230</f>
        <v/>
      </c>
      <c r="K230" s="9" t="n">
        <v>0</v>
      </c>
      <c r="L230" s="16" t="n">
        <v>0</v>
      </c>
      <c r="M230" s="16" t="n">
        <v>0</v>
      </c>
      <c r="N230" s="16">
        <f>IF(L230&gt;0,IFERROR(VALUE(LEFT($D230,1)),1),0)</f>
        <v/>
      </c>
      <c r="O230" s="16">
        <f>L230*N230</f>
        <v/>
      </c>
      <c r="P230" s="9">
        <f>K230*O230</f>
        <v/>
      </c>
      <c r="Q230" s="9" t="n">
        <v>0</v>
      </c>
      <c r="R230" s="16" t="n">
        <v>0</v>
      </c>
      <c r="S230" s="16" t="n">
        <v>0</v>
      </c>
      <c r="T230" s="16">
        <f>IF(R230&gt;0,IFERROR(VALUE(LEFT($D230,1)),1),0)</f>
        <v/>
      </c>
      <c r="U230" s="16">
        <f>R230*T230</f>
        <v/>
      </c>
      <c r="V230" s="9">
        <f>Q230*U230</f>
        <v/>
      </c>
      <c r="W230" s="9" t="n">
        <v>120</v>
      </c>
      <c r="X230" s="16" t="n">
        <v>9</v>
      </c>
      <c r="Y230" s="16" t="n">
        <v>0</v>
      </c>
      <c r="Z230" s="16">
        <f>IF(X230&gt;0,IFERROR(VALUE(LEFT($D230,1)),1),0)</f>
        <v/>
      </c>
      <c r="AA230" s="16">
        <f>X230*Z230</f>
        <v/>
      </c>
      <c r="AB230" s="9">
        <f>W230*AA230</f>
        <v/>
      </c>
      <c r="AC230" s="9" t="n">
        <v>0</v>
      </c>
      <c r="AD230" s="16" t="n">
        <v>0</v>
      </c>
      <c r="AE230" s="16" t="n">
        <v>0</v>
      </c>
      <c r="AF230" s="16">
        <f>IF(AD230&gt;0,IFERROR(VALUE(LEFT($D230,1)),1),0)</f>
        <v/>
      </c>
      <c r="AG230" s="16">
        <f>AD230*AF230</f>
        <v/>
      </c>
      <c r="AH230" s="9">
        <f>AC230*AG230</f>
        <v/>
      </c>
      <c r="AI230" s="9" t="n">
        <v>0</v>
      </c>
      <c r="AJ230" s="16" t="n">
        <v>0</v>
      </c>
      <c r="AK230" s="16" t="n">
        <v>0</v>
      </c>
      <c r="AL230" s="16">
        <f>IF(AJ230&gt;0,IFERROR(VALUE(LEFT($D230,1)),1),0)</f>
        <v/>
      </c>
      <c r="AM230" s="16">
        <f>AJ230*AL230</f>
        <v/>
      </c>
      <c r="AN230" s="9">
        <f>AI230*AM230</f>
        <v/>
      </c>
    </row>
    <row r="231">
      <c r="A231" s="16" t="inlineStr">
        <is>
          <t>TK</t>
        </is>
      </c>
      <c r="B231" s="16" t="inlineStr">
        <is>
          <t>TK głowy bez wzmocnienia kontrastowego 87.030</t>
        </is>
      </c>
      <c r="C231" s="16" t="inlineStr">
        <is>
          <t>TK Zwykłe</t>
        </is>
      </c>
      <c r="D231" s="16" t="inlineStr">
        <is>
          <t>1 okolica anatomiczna</t>
        </is>
      </c>
      <c r="E231" s="9" t="n">
        <v>0</v>
      </c>
      <c r="F231" s="16" t="n">
        <v>0</v>
      </c>
      <c r="G231" s="16" t="n">
        <v>0</v>
      </c>
      <c r="H231" s="16">
        <f>IF(F231&gt;0,IFERROR(VALUE(LEFT($D231,1)),1),0)</f>
        <v/>
      </c>
      <c r="I231" s="16">
        <f>F231*H231</f>
        <v/>
      </c>
      <c r="J231" s="9">
        <f>E231*I231</f>
        <v/>
      </c>
      <c r="K231" s="9" t="n">
        <v>0</v>
      </c>
      <c r="L231" s="16" t="n">
        <v>0</v>
      </c>
      <c r="M231" s="16" t="n">
        <v>0</v>
      </c>
      <c r="N231" s="16">
        <f>IF(L231&gt;0,IFERROR(VALUE(LEFT($D231,1)),1),0)</f>
        <v/>
      </c>
      <c r="O231" s="16">
        <f>L231*N231</f>
        <v/>
      </c>
      <c r="P231" s="9">
        <f>K231*O231</f>
        <v/>
      </c>
      <c r="Q231" s="9" t="n">
        <v>0</v>
      </c>
      <c r="R231" s="16" t="n">
        <v>0</v>
      </c>
      <c r="S231" s="16" t="n">
        <v>0</v>
      </c>
      <c r="T231" s="16">
        <f>IF(R231&gt;0,IFERROR(VALUE(LEFT($D231,1)),1),0)</f>
        <v/>
      </c>
      <c r="U231" s="16">
        <f>R231*T231</f>
        <v/>
      </c>
      <c r="V231" s="9">
        <f>Q231*U231</f>
        <v/>
      </c>
      <c r="W231" s="9" t="n">
        <v>120</v>
      </c>
      <c r="X231" s="16" t="n">
        <v>7</v>
      </c>
      <c r="Y231" s="16" t="n">
        <v>0</v>
      </c>
      <c r="Z231" s="16">
        <f>IF(X231&gt;0,IFERROR(VALUE(LEFT($D231,1)),1),0)</f>
        <v/>
      </c>
      <c r="AA231" s="16">
        <f>X231*Z231</f>
        <v/>
      </c>
      <c r="AB231" s="9">
        <f>W231*AA231</f>
        <v/>
      </c>
      <c r="AC231" s="9" t="n">
        <v>0</v>
      </c>
      <c r="AD231" s="16" t="n">
        <v>0</v>
      </c>
      <c r="AE231" s="16" t="n">
        <v>0</v>
      </c>
      <c r="AF231" s="16">
        <f>IF(AD231&gt;0,IFERROR(VALUE(LEFT($D231,1)),1),0)</f>
        <v/>
      </c>
      <c r="AG231" s="16">
        <f>AD231*AF231</f>
        <v/>
      </c>
      <c r="AH231" s="9">
        <f>AC231*AG231</f>
        <v/>
      </c>
      <c r="AI231" s="9" t="n">
        <v>0</v>
      </c>
      <c r="AJ231" s="16" t="n">
        <v>0</v>
      </c>
      <c r="AK231" s="16" t="n">
        <v>0</v>
      </c>
      <c r="AL231" s="16">
        <f>IF(AJ231&gt;0,IFERROR(VALUE(LEFT($D231,1)),1),0)</f>
        <v/>
      </c>
      <c r="AM231" s="16">
        <f>AJ231*AL231</f>
        <v/>
      </c>
      <c r="AN231" s="9">
        <f>AI231*AM231</f>
        <v/>
      </c>
    </row>
    <row r="232">
      <c r="A232" s="16" t="inlineStr">
        <is>
          <t>TK</t>
        </is>
      </c>
      <c r="B232" s="16" t="inlineStr">
        <is>
          <t>TK głowy i klatki piersiowej przeglądowe</t>
        </is>
      </c>
      <c r="C232" s="16" t="inlineStr">
        <is>
          <t>TK Zwykłe</t>
        </is>
      </c>
      <c r="D232" s="16" t="inlineStr">
        <is>
          <t>2 okolice anatomiczne</t>
        </is>
      </c>
      <c r="E232" s="9" t="n">
        <v>0</v>
      </c>
      <c r="F232" s="16" t="n">
        <v>0</v>
      </c>
      <c r="G232" s="16" t="n">
        <v>0</v>
      </c>
      <c r="H232" s="16">
        <f>IF(F232&gt;0,IFERROR(VALUE(LEFT($D232,1)),1),0)</f>
        <v/>
      </c>
      <c r="I232" s="16">
        <f>F232*H232</f>
        <v/>
      </c>
      <c r="J232" s="9">
        <f>E232*I232</f>
        <v/>
      </c>
      <c r="K232" s="9" t="n">
        <v>0</v>
      </c>
      <c r="L232" s="16" t="n">
        <v>0</v>
      </c>
      <c r="M232" s="16" t="n">
        <v>0</v>
      </c>
      <c r="N232" s="16">
        <f>IF(L232&gt;0,IFERROR(VALUE(LEFT($D232,1)),1),0)</f>
        <v/>
      </c>
      <c r="O232" s="16">
        <f>L232*N232</f>
        <v/>
      </c>
      <c r="P232" s="9">
        <f>K232*O232</f>
        <v/>
      </c>
      <c r="Q232" s="9" t="n">
        <v>0</v>
      </c>
      <c r="R232" s="16" t="n">
        <v>0</v>
      </c>
      <c r="S232" s="16" t="n">
        <v>0</v>
      </c>
      <c r="T232" s="16">
        <f>IF(R232&gt;0,IFERROR(VALUE(LEFT($D232,1)),1),0)</f>
        <v/>
      </c>
      <c r="U232" s="16">
        <f>R232*T232</f>
        <v/>
      </c>
      <c r="V232" s="9">
        <f>Q232*U232</f>
        <v/>
      </c>
      <c r="W232" s="9" t="n">
        <v>120</v>
      </c>
      <c r="X232" s="16" t="n">
        <v>1</v>
      </c>
      <c r="Y232" s="16" t="n">
        <v>0</v>
      </c>
      <c r="Z232" s="16">
        <f>IF(X232&gt;0,IFERROR(VALUE(LEFT($D232,1)),1),0)</f>
        <v/>
      </c>
      <c r="AA232" s="16">
        <f>X232*Z232</f>
        <v/>
      </c>
      <c r="AB232" s="9">
        <f>W232*AA232</f>
        <v/>
      </c>
      <c r="AC232" s="9" t="n">
        <v>0</v>
      </c>
      <c r="AD232" s="16" t="n">
        <v>0</v>
      </c>
      <c r="AE232" s="16" t="n">
        <v>0</v>
      </c>
      <c r="AF232" s="16">
        <f>IF(AD232&gt;0,IFERROR(VALUE(LEFT($D232,1)),1),0)</f>
        <v/>
      </c>
      <c r="AG232" s="16">
        <f>AD232*AF232</f>
        <v/>
      </c>
      <c r="AH232" s="9">
        <f>AC232*AG232</f>
        <v/>
      </c>
      <c r="AI232" s="9" t="n">
        <v>0</v>
      </c>
      <c r="AJ232" s="16" t="n">
        <v>0</v>
      </c>
      <c r="AK232" s="16" t="n">
        <v>0</v>
      </c>
      <c r="AL232" s="16">
        <f>IF(AJ232&gt;0,IFERROR(VALUE(LEFT($D232,1)),1),0)</f>
        <v/>
      </c>
      <c r="AM232" s="16">
        <f>AJ232*AL232</f>
        <v/>
      </c>
      <c r="AN232" s="9">
        <f>AI232*AM232</f>
        <v/>
      </c>
    </row>
    <row r="233">
      <c r="A233" s="16" t="inlineStr">
        <is>
          <t>TK</t>
        </is>
      </c>
      <c r="B233" s="16" t="inlineStr">
        <is>
          <t>TK głowy i kręgosłupa szyjnego</t>
        </is>
      </c>
      <c r="C233" s="16" t="inlineStr">
        <is>
          <t>TK Zwykłe</t>
        </is>
      </c>
      <c r="D233" s="16" t="inlineStr">
        <is>
          <t>2 okolice anatomiczne</t>
        </is>
      </c>
      <c r="E233" s="9" t="n">
        <v>0</v>
      </c>
      <c r="F233" s="16" t="n">
        <v>0</v>
      </c>
      <c r="G233" s="16" t="n">
        <v>0</v>
      </c>
      <c r="H233" s="16">
        <f>IF(F233&gt;0,IFERROR(VALUE(LEFT($D233,1)),1),0)</f>
        <v/>
      </c>
      <c r="I233" s="16">
        <f>F233*H233</f>
        <v/>
      </c>
      <c r="J233" s="9">
        <f>E233*I233</f>
        <v/>
      </c>
      <c r="K233" s="9" t="n">
        <v>0</v>
      </c>
      <c r="L233" s="16" t="n">
        <v>0</v>
      </c>
      <c r="M233" s="16" t="n">
        <v>0</v>
      </c>
      <c r="N233" s="16">
        <f>IF(L233&gt;0,IFERROR(VALUE(LEFT($D233,1)),1),0)</f>
        <v/>
      </c>
      <c r="O233" s="16">
        <f>L233*N233</f>
        <v/>
      </c>
      <c r="P233" s="9">
        <f>K233*O233</f>
        <v/>
      </c>
      <c r="Q233" s="9" t="n">
        <v>0</v>
      </c>
      <c r="R233" s="16" t="n">
        <v>0</v>
      </c>
      <c r="S233" s="16" t="n">
        <v>0</v>
      </c>
      <c r="T233" s="16">
        <f>IF(R233&gt;0,IFERROR(VALUE(LEFT($D233,1)),1),0)</f>
        <v/>
      </c>
      <c r="U233" s="16">
        <f>R233*T233</f>
        <v/>
      </c>
      <c r="V233" s="9">
        <f>Q233*U233</f>
        <v/>
      </c>
      <c r="W233" s="9" t="n">
        <v>120</v>
      </c>
      <c r="X233" s="16" t="n">
        <v>1</v>
      </c>
      <c r="Y233" s="16" t="n">
        <v>0</v>
      </c>
      <c r="Z233" s="16">
        <f>IF(X233&gt;0,IFERROR(VALUE(LEFT($D233,1)),1),0)</f>
        <v/>
      </c>
      <c r="AA233" s="16">
        <f>X233*Z233</f>
        <v/>
      </c>
      <c r="AB233" s="9">
        <f>W233*AA233</f>
        <v/>
      </c>
      <c r="AC233" s="9" t="n">
        <v>0</v>
      </c>
      <c r="AD233" s="16" t="n">
        <v>0</v>
      </c>
      <c r="AE233" s="16" t="n">
        <v>0</v>
      </c>
      <c r="AF233" s="16">
        <f>IF(AD233&gt;0,IFERROR(VALUE(LEFT($D233,1)),1),0)</f>
        <v/>
      </c>
      <c r="AG233" s="16">
        <f>AD233*AF233</f>
        <v/>
      </c>
      <c r="AH233" s="9">
        <f>AC233*AG233</f>
        <v/>
      </c>
      <c r="AI233" s="9" t="n">
        <v>0</v>
      </c>
      <c r="AJ233" s="16" t="n">
        <v>0</v>
      </c>
      <c r="AK233" s="16" t="n">
        <v>0</v>
      </c>
      <c r="AL233" s="16">
        <f>IF(AJ233&gt;0,IFERROR(VALUE(LEFT($D233,1)),1),0)</f>
        <v/>
      </c>
      <c r="AM233" s="16">
        <f>AJ233*AL233</f>
        <v/>
      </c>
      <c r="AN233" s="9">
        <f>AI233*AM233</f>
        <v/>
      </c>
    </row>
    <row r="234">
      <c r="A234" s="16" t="inlineStr">
        <is>
          <t>TK</t>
        </is>
      </c>
      <c r="B234" s="16" t="inlineStr">
        <is>
          <t>TK głowy przeglądowa</t>
        </is>
      </c>
      <c r="C234" s="16" t="inlineStr">
        <is>
          <t>TK Zwykłe</t>
        </is>
      </c>
      <c r="D234" s="16" t="inlineStr">
        <is>
          <t>1 okolica anatomiczna</t>
        </is>
      </c>
      <c r="E234" s="9" t="n">
        <v>0</v>
      </c>
      <c r="F234" s="16" t="n">
        <v>0</v>
      </c>
      <c r="G234" s="16" t="n">
        <v>0</v>
      </c>
      <c r="H234" s="16">
        <f>IF(F234&gt;0,IFERROR(VALUE(LEFT($D234,1)),1),0)</f>
        <v/>
      </c>
      <c r="I234" s="16">
        <f>F234*H234</f>
        <v/>
      </c>
      <c r="J234" s="9">
        <f>E234*I234</f>
        <v/>
      </c>
      <c r="K234" s="9" t="n">
        <v>0</v>
      </c>
      <c r="L234" s="16" t="n">
        <v>0</v>
      </c>
      <c r="M234" s="16" t="n">
        <v>0</v>
      </c>
      <c r="N234" s="16">
        <f>IF(L234&gt;0,IFERROR(VALUE(LEFT($D234,1)),1),0)</f>
        <v/>
      </c>
      <c r="O234" s="16">
        <f>L234*N234</f>
        <v/>
      </c>
      <c r="P234" s="9">
        <f>K234*O234</f>
        <v/>
      </c>
      <c r="Q234" s="9" t="n">
        <v>0</v>
      </c>
      <c r="R234" s="16" t="n">
        <v>0</v>
      </c>
      <c r="S234" s="16" t="n">
        <v>0</v>
      </c>
      <c r="T234" s="16">
        <f>IF(R234&gt;0,IFERROR(VALUE(LEFT($D234,1)),1),0)</f>
        <v/>
      </c>
      <c r="U234" s="16">
        <f>R234*T234</f>
        <v/>
      </c>
      <c r="V234" s="9">
        <f>Q234*U234</f>
        <v/>
      </c>
      <c r="W234" s="9" t="n">
        <v>120</v>
      </c>
      <c r="X234" s="16" t="n">
        <v>1</v>
      </c>
      <c r="Y234" s="16" t="n">
        <v>0</v>
      </c>
      <c r="Z234" s="16">
        <f>IF(X234&gt;0,IFERROR(VALUE(LEFT($D234,1)),1),0)</f>
        <v/>
      </c>
      <c r="AA234" s="16">
        <f>X234*Z234</f>
        <v/>
      </c>
      <c r="AB234" s="9">
        <f>W234*AA234</f>
        <v/>
      </c>
      <c r="AC234" s="9" t="n">
        <v>0</v>
      </c>
      <c r="AD234" s="16" t="n">
        <v>0</v>
      </c>
      <c r="AE234" s="16" t="n">
        <v>0</v>
      </c>
      <c r="AF234" s="16">
        <f>IF(AD234&gt;0,IFERROR(VALUE(LEFT($D234,1)),1),0)</f>
        <v/>
      </c>
      <c r="AG234" s="16">
        <f>AD234*AF234</f>
        <v/>
      </c>
      <c r="AH234" s="9">
        <f>AC234*AG234</f>
        <v/>
      </c>
      <c r="AI234" s="9" t="n">
        <v>0</v>
      </c>
      <c r="AJ234" s="16" t="n">
        <v>0</v>
      </c>
      <c r="AK234" s="16" t="n">
        <v>0</v>
      </c>
      <c r="AL234" s="16">
        <f>IF(AJ234&gt;0,IFERROR(VALUE(LEFT($D234,1)),1),0)</f>
        <v/>
      </c>
      <c r="AM234" s="16">
        <f>AJ234*AL234</f>
        <v/>
      </c>
      <c r="AN234" s="9">
        <f>AI234*AM234</f>
        <v/>
      </c>
    </row>
    <row r="235">
      <c r="A235" s="16" t="inlineStr">
        <is>
          <t>TK</t>
        </is>
      </c>
      <c r="B235" s="16" t="inlineStr">
        <is>
          <t>TK głowy tylko z kontrastem</t>
        </is>
      </c>
      <c r="C235" s="16" t="inlineStr">
        <is>
          <t>TK Zwykłe</t>
        </is>
      </c>
      <c r="D235" s="16" t="inlineStr">
        <is>
          <t>1 okolica anatomiczna</t>
        </is>
      </c>
      <c r="E235" s="9" t="n">
        <v>0</v>
      </c>
      <c r="F235" s="16" t="n">
        <v>0</v>
      </c>
      <c r="G235" s="16" t="n">
        <v>0</v>
      </c>
      <c r="H235" s="16">
        <f>IF(F235&gt;0,IFERROR(VALUE(LEFT($D235,1)),1),0)</f>
        <v/>
      </c>
      <c r="I235" s="16">
        <f>F235*H235</f>
        <v/>
      </c>
      <c r="J235" s="9">
        <f>E235*I235</f>
        <v/>
      </c>
      <c r="K235" s="9" t="n">
        <v>0</v>
      </c>
      <c r="L235" s="16" t="n">
        <v>0</v>
      </c>
      <c r="M235" s="16" t="n">
        <v>0</v>
      </c>
      <c r="N235" s="16">
        <f>IF(L235&gt;0,IFERROR(VALUE(LEFT($D235,1)),1),0)</f>
        <v/>
      </c>
      <c r="O235" s="16">
        <f>L235*N235</f>
        <v/>
      </c>
      <c r="P235" s="9">
        <f>K235*O235</f>
        <v/>
      </c>
      <c r="Q235" s="9" t="n">
        <v>0</v>
      </c>
      <c r="R235" s="16" t="n">
        <v>0</v>
      </c>
      <c r="S235" s="16" t="n">
        <v>0</v>
      </c>
      <c r="T235" s="16">
        <f>IF(R235&gt;0,IFERROR(VALUE(LEFT($D235,1)),1),0)</f>
        <v/>
      </c>
      <c r="U235" s="16">
        <f>R235*T235</f>
        <v/>
      </c>
      <c r="V235" s="9">
        <f>Q235*U235</f>
        <v/>
      </c>
      <c r="W235" s="9" t="n">
        <v>120</v>
      </c>
      <c r="X235" s="16" t="n">
        <v>1</v>
      </c>
      <c r="Y235" s="16" t="n">
        <v>0</v>
      </c>
      <c r="Z235" s="16">
        <f>IF(X235&gt;0,IFERROR(VALUE(LEFT($D235,1)),1),0)</f>
        <v/>
      </c>
      <c r="AA235" s="16">
        <f>X235*Z235</f>
        <v/>
      </c>
      <c r="AB235" s="9">
        <f>W235*AA235</f>
        <v/>
      </c>
      <c r="AC235" s="9" t="n">
        <v>0</v>
      </c>
      <c r="AD235" s="16" t="n">
        <v>0</v>
      </c>
      <c r="AE235" s="16" t="n">
        <v>0</v>
      </c>
      <c r="AF235" s="16">
        <f>IF(AD235&gt;0,IFERROR(VALUE(LEFT($D235,1)),1),0)</f>
        <v/>
      </c>
      <c r="AG235" s="16">
        <f>AD235*AF235</f>
        <v/>
      </c>
      <c r="AH235" s="9">
        <f>AC235*AG235</f>
        <v/>
      </c>
      <c r="AI235" s="9" t="n">
        <v>0</v>
      </c>
      <c r="AJ235" s="16" t="n">
        <v>0</v>
      </c>
      <c r="AK235" s="16" t="n">
        <v>0</v>
      </c>
      <c r="AL235" s="16">
        <f>IF(AJ235&gt;0,IFERROR(VALUE(LEFT($D235,1)),1),0)</f>
        <v/>
      </c>
      <c r="AM235" s="16">
        <f>AJ235*AL235</f>
        <v/>
      </c>
      <c r="AN235" s="9">
        <f>AI235*AM235</f>
        <v/>
      </c>
    </row>
    <row r="236">
      <c r="A236" s="16" t="inlineStr">
        <is>
          <t>TK</t>
        </is>
      </c>
      <c r="B236" s="16" t="inlineStr">
        <is>
          <t>TK j.brzusznej i miednicy</t>
        </is>
      </c>
      <c r="C236" s="16" t="inlineStr">
        <is>
          <t>TK Zwykłe</t>
        </is>
      </c>
      <c r="D236" s="16" t="inlineStr">
        <is>
          <t>2 okolice anatomiczne</t>
        </is>
      </c>
      <c r="E236" s="9" t="n">
        <v>0</v>
      </c>
      <c r="F236" s="16" t="n">
        <v>0</v>
      </c>
      <c r="G236" s="16" t="n">
        <v>0</v>
      </c>
      <c r="H236" s="16">
        <f>IF(F236&gt;0,IFERROR(VALUE(LEFT($D236,1)),1),0)</f>
        <v/>
      </c>
      <c r="I236" s="16">
        <f>F236*H236</f>
        <v/>
      </c>
      <c r="J236" s="9">
        <f>E236*I236</f>
        <v/>
      </c>
      <c r="K236" s="9" t="n">
        <v>0</v>
      </c>
      <c r="L236" s="16" t="n">
        <v>0</v>
      </c>
      <c r="M236" s="16" t="n">
        <v>0</v>
      </c>
      <c r="N236" s="16">
        <f>IF(L236&gt;0,IFERROR(VALUE(LEFT($D236,1)),1),0)</f>
        <v/>
      </c>
      <c r="O236" s="16">
        <f>L236*N236</f>
        <v/>
      </c>
      <c r="P236" s="9">
        <f>K236*O236</f>
        <v/>
      </c>
      <c r="Q236" s="9" t="n">
        <v>0</v>
      </c>
      <c r="R236" s="16" t="n">
        <v>0</v>
      </c>
      <c r="S236" s="16" t="n">
        <v>0</v>
      </c>
      <c r="T236" s="16">
        <f>IF(R236&gt;0,IFERROR(VALUE(LEFT($D236,1)),1),0)</f>
        <v/>
      </c>
      <c r="U236" s="16">
        <f>R236*T236</f>
        <v/>
      </c>
      <c r="V236" s="9">
        <f>Q236*U236</f>
        <v/>
      </c>
      <c r="W236" s="9" t="n">
        <v>120</v>
      </c>
      <c r="X236" s="16" t="n">
        <v>18</v>
      </c>
      <c r="Y236" s="16" t="n">
        <v>0</v>
      </c>
      <c r="Z236" s="16">
        <f>IF(X236&gt;0,IFERROR(VALUE(LEFT($D236,1)),1),0)</f>
        <v/>
      </c>
      <c r="AA236" s="16">
        <f>X236*Z236</f>
        <v/>
      </c>
      <c r="AB236" s="9">
        <f>W236*AA236</f>
        <v/>
      </c>
      <c r="AC236" s="9" t="n">
        <v>120</v>
      </c>
      <c r="AD236" s="16" t="n">
        <v>1</v>
      </c>
      <c r="AE236" s="16" t="n">
        <v>0</v>
      </c>
      <c r="AF236" s="16">
        <f>IF(AD236&gt;0,IFERROR(VALUE(LEFT($D236,1)),1),0)</f>
        <v/>
      </c>
      <c r="AG236" s="16">
        <f>AD236*AF236</f>
        <v/>
      </c>
      <c r="AH236" s="9">
        <f>AC236*AG236</f>
        <v/>
      </c>
      <c r="AI236" s="9" t="n">
        <v>0</v>
      </c>
      <c r="AJ236" s="16" t="n">
        <v>0</v>
      </c>
      <c r="AK236" s="16" t="n">
        <v>0</v>
      </c>
      <c r="AL236" s="16">
        <f>IF(AJ236&gt;0,IFERROR(VALUE(LEFT($D236,1)),1),0)</f>
        <v/>
      </c>
      <c r="AM236" s="16">
        <f>AJ236*AL236</f>
        <v/>
      </c>
      <c r="AN236" s="9">
        <f>AI236*AM236</f>
        <v/>
      </c>
    </row>
    <row r="237">
      <c r="A237" s="16" t="inlineStr">
        <is>
          <t>TK</t>
        </is>
      </c>
      <c r="B237" s="16" t="inlineStr">
        <is>
          <t>TK j.brzusznej i miednicy bez i co najmniej dwie fazy ze wzmocnieniem kontrastowym</t>
        </is>
      </c>
      <c r="C237" s="16" t="inlineStr">
        <is>
          <t>TK Zwykłe</t>
        </is>
      </c>
      <c r="D237" s="16" t="inlineStr">
        <is>
          <t>2 okolice anatomiczne</t>
        </is>
      </c>
      <c r="E237" s="9" t="n">
        <v>0</v>
      </c>
      <c r="F237" s="16" t="n">
        <v>0</v>
      </c>
      <c r="G237" s="16" t="n">
        <v>0</v>
      </c>
      <c r="H237" s="16">
        <f>IF(F237&gt;0,IFERROR(VALUE(LEFT($D237,1)),1),0)</f>
        <v/>
      </c>
      <c r="I237" s="16">
        <f>F237*H237</f>
        <v/>
      </c>
      <c r="J237" s="9">
        <f>E237*I237</f>
        <v/>
      </c>
      <c r="K237" s="9" t="n">
        <v>0</v>
      </c>
      <c r="L237" s="16" t="n">
        <v>0</v>
      </c>
      <c r="M237" s="16" t="n">
        <v>0</v>
      </c>
      <c r="N237" s="16">
        <f>IF(L237&gt;0,IFERROR(VALUE(LEFT($D237,1)),1),0)</f>
        <v/>
      </c>
      <c r="O237" s="16">
        <f>L237*N237</f>
        <v/>
      </c>
      <c r="P237" s="9">
        <f>K237*O237</f>
        <v/>
      </c>
      <c r="Q237" s="9" t="n">
        <v>0</v>
      </c>
      <c r="R237" s="16" t="n">
        <v>0</v>
      </c>
      <c r="S237" s="16" t="n">
        <v>0</v>
      </c>
      <c r="T237" s="16">
        <f>IF(R237&gt;0,IFERROR(VALUE(LEFT($D237,1)),1),0)</f>
        <v/>
      </c>
      <c r="U237" s="16">
        <f>R237*T237</f>
        <v/>
      </c>
      <c r="V237" s="9">
        <f>Q237*U237</f>
        <v/>
      </c>
      <c r="W237" s="9" t="n">
        <v>120</v>
      </c>
      <c r="X237" s="16" t="n">
        <v>5</v>
      </c>
      <c r="Y237" s="16" t="n">
        <v>0</v>
      </c>
      <c r="Z237" s="16">
        <f>IF(X237&gt;0,IFERROR(VALUE(LEFT($D237,1)),1),0)</f>
        <v/>
      </c>
      <c r="AA237" s="16">
        <f>X237*Z237</f>
        <v/>
      </c>
      <c r="AB237" s="9">
        <f>W237*AA237</f>
        <v/>
      </c>
      <c r="AC237" s="9" t="n">
        <v>0</v>
      </c>
      <c r="AD237" s="16" t="n">
        <v>0</v>
      </c>
      <c r="AE237" s="16" t="n">
        <v>0</v>
      </c>
      <c r="AF237" s="16">
        <f>IF(AD237&gt;0,IFERROR(VALUE(LEFT($D237,1)),1),0)</f>
        <v/>
      </c>
      <c r="AG237" s="16">
        <f>AD237*AF237</f>
        <v/>
      </c>
      <c r="AH237" s="9">
        <f>AC237*AG237</f>
        <v/>
      </c>
      <c r="AI237" s="9" t="n">
        <v>0</v>
      </c>
      <c r="AJ237" s="16" t="n">
        <v>0</v>
      </c>
      <c r="AK237" s="16" t="n">
        <v>0</v>
      </c>
      <c r="AL237" s="16">
        <f>IF(AJ237&gt;0,IFERROR(VALUE(LEFT($D237,1)),1),0)</f>
        <v/>
      </c>
      <c r="AM237" s="16">
        <f>AJ237*AL237</f>
        <v/>
      </c>
      <c r="AN237" s="9">
        <f>AI237*AM237</f>
        <v/>
      </c>
    </row>
    <row r="238">
      <c r="A238" s="16" t="inlineStr">
        <is>
          <t>TK</t>
        </is>
      </c>
      <c r="B238" s="16" t="inlineStr">
        <is>
          <t>TK j.brzusznej i miednicy przeglądowa</t>
        </is>
      </c>
      <c r="C238" s="16" t="inlineStr">
        <is>
          <t>TK Zwykłe</t>
        </is>
      </c>
      <c r="D238" s="16" t="inlineStr">
        <is>
          <t>2 okolice anatomiczne</t>
        </is>
      </c>
      <c r="E238" s="9" t="n">
        <v>0</v>
      </c>
      <c r="F238" s="16" t="n">
        <v>0</v>
      </c>
      <c r="G238" s="16" t="n">
        <v>0</v>
      </c>
      <c r="H238" s="16">
        <f>IF(F238&gt;0,IFERROR(VALUE(LEFT($D238,1)),1),0)</f>
        <v/>
      </c>
      <c r="I238" s="16">
        <f>F238*H238</f>
        <v/>
      </c>
      <c r="J238" s="9">
        <f>E238*I238</f>
        <v/>
      </c>
      <c r="K238" s="9" t="n">
        <v>0</v>
      </c>
      <c r="L238" s="16" t="n">
        <v>0</v>
      </c>
      <c r="M238" s="16" t="n">
        <v>0</v>
      </c>
      <c r="N238" s="16">
        <f>IF(L238&gt;0,IFERROR(VALUE(LEFT($D238,1)),1),0)</f>
        <v/>
      </c>
      <c r="O238" s="16">
        <f>L238*N238</f>
        <v/>
      </c>
      <c r="P238" s="9">
        <f>K238*O238</f>
        <v/>
      </c>
      <c r="Q238" s="9" t="n">
        <v>0</v>
      </c>
      <c r="R238" s="16" t="n">
        <v>0</v>
      </c>
      <c r="S238" s="16" t="n">
        <v>0</v>
      </c>
      <c r="T238" s="16">
        <f>IF(R238&gt;0,IFERROR(VALUE(LEFT($D238,1)),1),0)</f>
        <v/>
      </c>
      <c r="U238" s="16">
        <f>R238*T238</f>
        <v/>
      </c>
      <c r="V238" s="9">
        <f>Q238*U238</f>
        <v/>
      </c>
      <c r="W238" s="9" t="n">
        <v>120</v>
      </c>
      <c r="X238" s="16" t="n">
        <v>2</v>
      </c>
      <c r="Y238" s="16" t="n">
        <v>0</v>
      </c>
      <c r="Z238" s="16">
        <f>IF(X238&gt;0,IFERROR(VALUE(LEFT($D238,1)),1),0)</f>
        <v/>
      </c>
      <c r="AA238" s="16">
        <f>X238*Z238</f>
        <v/>
      </c>
      <c r="AB238" s="9">
        <f>W238*AA238</f>
        <v/>
      </c>
      <c r="AC238" s="9" t="n">
        <v>0</v>
      </c>
      <c r="AD238" s="16" t="n">
        <v>0</v>
      </c>
      <c r="AE238" s="16" t="n">
        <v>0</v>
      </c>
      <c r="AF238" s="16">
        <f>IF(AD238&gt;0,IFERROR(VALUE(LEFT($D238,1)),1),0)</f>
        <v/>
      </c>
      <c r="AG238" s="16">
        <f>AD238*AF238</f>
        <v/>
      </c>
      <c r="AH238" s="9">
        <f>AC238*AG238</f>
        <v/>
      </c>
      <c r="AI238" s="9" t="n">
        <v>0</v>
      </c>
      <c r="AJ238" s="16" t="n">
        <v>0</v>
      </c>
      <c r="AK238" s="16" t="n">
        <v>0</v>
      </c>
      <c r="AL238" s="16">
        <f>IF(AJ238&gt;0,IFERROR(VALUE(LEFT($D238,1)),1),0)</f>
        <v/>
      </c>
      <c r="AM238" s="16">
        <f>AJ238*AL238</f>
        <v/>
      </c>
      <c r="AN238" s="9">
        <f>AI238*AM238</f>
        <v/>
      </c>
    </row>
    <row r="239">
      <c r="A239" s="16" t="inlineStr">
        <is>
          <t>TK</t>
        </is>
      </c>
      <c r="B239" s="16" t="inlineStr">
        <is>
          <t>TK j.brzusznej i miednicy z kontrastem</t>
        </is>
      </c>
      <c r="C239" s="16" t="inlineStr">
        <is>
          <t>TK Zwykłe</t>
        </is>
      </c>
      <c r="D239" s="16" t="inlineStr">
        <is>
          <t>2 okolice anatomiczne</t>
        </is>
      </c>
      <c r="E239" s="9" t="n">
        <v>0</v>
      </c>
      <c r="F239" s="16" t="n">
        <v>0</v>
      </c>
      <c r="G239" s="16" t="n">
        <v>0</v>
      </c>
      <c r="H239" s="16">
        <f>IF(F239&gt;0,IFERROR(VALUE(LEFT($D239,1)),1),0)</f>
        <v/>
      </c>
      <c r="I239" s="16">
        <f>F239*H239</f>
        <v/>
      </c>
      <c r="J239" s="9">
        <f>E239*I239</f>
        <v/>
      </c>
      <c r="K239" s="9" t="n">
        <v>0</v>
      </c>
      <c r="L239" s="16" t="n">
        <v>0</v>
      </c>
      <c r="M239" s="16" t="n">
        <v>0</v>
      </c>
      <c r="N239" s="16">
        <f>IF(L239&gt;0,IFERROR(VALUE(LEFT($D239,1)),1),0)</f>
        <v/>
      </c>
      <c r="O239" s="16">
        <f>L239*N239</f>
        <v/>
      </c>
      <c r="P239" s="9">
        <f>K239*O239</f>
        <v/>
      </c>
      <c r="Q239" s="9" t="n">
        <v>0</v>
      </c>
      <c r="R239" s="16" t="n">
        <v>0</v>
      </c>
      <c r="S239" s="16" t="n">
        <v>0</v>
      </c>
      <c r="T239" s="16">
        <f>IF(R239&gt;0,IFERROR(VALUE(LEFT($D239,1)),1),0)</f>
        <v/>
      </c>
      <c r="U239" s="16">
        <f>R239*T239</f>
        <v/>
      </c>
      <c r="V239" s="9">
        <f>Q239*U239</f>
        <v/>
      </c>
      <c r="W239" s="9" t="n">
        <v>120</v>
      </c>
      <c r="X239" s="16" t="n">
        <v>8</v>
      </c>
      <c r="Y239" s="16" t="n">
        <v>2</v>
      </c>
      <c r="Z239" s="16">
        <f>IF(X239&gt;0,IFERROR(VALUE(LEFT($D239,1)),1),0)</f>
        <v/>
      </c>
      <c r="AA239" s="16">
        <f>X239*Z239</f>
        <v/>
      </c>
      <c r="AB239" s="9">
        <f>W239*AA239</f>
        <v/>
      </c>
      <c r="AC239" s="9" t="n">
        <v>120</v>
      </c>
      <c r="AD239" s="16" t="n">
        <v>3</v>
      </c>
      <c r="AE239" s="16" t="n">
        <v>2</v>
      </c>
      <c r="AF239" s="16">
        <f>IF(AD239&gt;0,IFERROR(VALUE(LEFT($D239,1)),1),0)</f>
        <v/>
      </c>
      <c r="AG239" s="16">
        <f>AD239*AF239</f>
        <v/>
      </c>
      <c r="AH239" s="9">
        <f>AC239*AG239</f>
        <v/>
      </c>
      <c r="AI239" s="9" t="n">
        <v>0</v>
      </c>
      <c r="AJ239" s="16" t="n">
        <v>0</v>
      </c>
      <c r="AK239" s="16" t="n">
        <v>0</v>
      </c>
      <c r="AL239" s="16">
        <f>IF(AJ239&gt;0,IFERROR(VALUE(LEFT($D239,1)),1),0)</f>
        <v/>
      </c>
      <c r="AM239" s="16">
        <f>AJ239*AL239</f>
        <v/>
      </c>
      <c r="AN239" s="9">
        <f>AI239*AM239</f>
        <v/>
      </c>
    </row>
    <row r="240">
      <c r="A240" s="16" t="inlineStr">
        <is>
          <t>TK</t>
        </is>
      </c>
      <c r="B240" s="16" t="inlineStr">
        <is>
          <t>TK jamy brzusznej + miednica bez i z wzmocnieniem kontrastowym</t>
        </is>
      </c>
      <c r="C240" s="16" t="inlineStr">
        <is>
          <t>TK Zwykłe</t>
        </is>
      </c>
      <c r="D240" s="16" t="inlineStr">
        <is>
          <t>2 okolice anatomiczne</t>
        </is>
      </c>
      <c r="E240" s="9" t="n">
        <v>0</v>
      </c>
      <c r="F240" s="16" t="n">
        <v>0</v>
      </c>
      <c r="G240" s="16" t="n">
        <v>0</v>
      </c>
      <c r="H240" s="16">
        <f>IF(F240&gt;0,IFERROR(VALUE(LEFT($D240,1)),1),0)</f>
        <v/>
      </c>
      <c r="I240" s="16">
        <f>F240*H240</f>
        <v/>
      </c>
      <c r="J240" s="9">
        <f>E240*I240</f>
        <v/>
      </c>
      <c r="K240" s="9" t="n">
        <v>0</v>
      </c>
      <c r="L240" s="16" t="n">
        <v>0</v>
      </c>
      <c r="M240" s="16" t="n">
        <v>0</v>
      </c>
      <c r="N240" s="16">
        <f>IF(L240&gt;0,IFERROR(VALUE(LEFT($D240,1)),1),0)</f>
        <v/>
      </c>
      <c r="O240" s="16">
        <f>L240*N240</f>
        <v/>
      </c>
      <c r="P240" s="9">
        <f>K240*O240</f>
        <v/>
      </c>
      <c r="Q240" s="9" t="n">
        <v>0</v>
      </c>
      <c r="R240" s="16" t="n">
        <v>0</v>
      </c>
      <c r="S240" s="16" t="n">
        <v>0</v>
      </c>
      <c r="T240" s="16">
        <f>IF(R240&gt;0,IFERROR(VALUE(LEFT($D240,1)),1),0)</f>
        <v/>
      </c>
      <c r="U240" s="16">
        <f>R240*T240</f>
        <v/>
      </c>
      <c r="V240" s="9">
        <f>Q240*U240</f>
        <v/>
      </c>
      <c r="W240" s="9" t="n">
        <v>120</v>
      </c>
      <c r="X240" s="16" t="n">
        <v>1</v>
      </c>
      <c r="Y240" s="16" t="n">
        <v>0</v>
      </c>
      <c r="Z240" s="16">
        <f>IF(X240&gt;0,IFERROR(VALUE(LEFT($D240,1)),1),0)</f>
        <v/>
      </c>
      <c r="AA240" s="16">
        <f>X240*Z240</f>
        <v/>
      </c>
      <c r="AB240" s="9">
        <f>W240*AA240</f>
        <v/>
      </c>
      <c r="AC240" s="9" t="n">
        <v>120</v>
      </c>
      <c r="AD240" s="16" t="n">
        <v>1</v>
      </c>
      <c r="AE240" s="16" t="n">
        <v>0</v>
      </c>
      <c r="AF240" s="16">
        <f>IF(AD240&gt;0,IFERROR(VALUE(LEFT($D240,1)),1),0)</f>
        <v/>
      </c>
      <c r="AG240" s="16">
        <f>AD240*AF240</f>
        <v/>
      </c>
      <c r="AH240" s="9">
        <f>AC240*AG240</f>
        <v/>
      </c>
      <c r="AI240" s="9" t="n">
        <v>0</v>
      </c>
      <c r="AJ240" s="16" t="n">
        <v>0</v>
      </c>
      <c r="AK240" s="16" t="n">
        <v>0</v>
      </c>
      <c r="AL240" s="16">
        <f>IF(AJ240&gt;0,IFERROR(VALUE(LEFT($D240,1)),1),0)</f>
        <v/>
      </c>
      <c r="AM240" s="16">
        <f>AJ240*AL240</f>
        <v/>
      </c>
      <c r="AN240" s="9">
        <f>AI240*AM240</f>
        <v/>
      </c>
    </row>
    <row r="241">
      <c r="A241" s="16" t="inlineStr">
        <is>
          <t>TK</t>
        </is>
      </c>
      <c r="B241" s="16" t="inlineStr">
        <is>
          <t>TK jamy brzusznej bez kontrastu - kamica układu moczowego</t>
        </is>
      </c>
      <c r="C241" s="16" t="inlineStr">
        <is>
          <t>TK Zwykłe</t>
        </is>
      </c>
      <c r="D241" s="16" t="inlineStr">
        <is>
          <t>2 okolice anatomiczne</t>
        </is>
      </c>
      <c r="E241" s="9" t="n">
        <v>0</v>
      </c>
      <c r="F241" s="16" t="n">
        <v>0</v>
      </c>
      <c r="G241" s="16" t="n">
        <v>0</v>
      </c>
      <c r="H241" s="16">
        <f>IF(F241&gt;0,IFERROR(VALUE(LEFT($D241,1)),1),0)</f>
        <v/>
      </c>
      <c r="I241" s="16">
        <f>F241*H241</f>
        <v/>
      </c>
      <c r="J241" s="9">
        <f>E241*I241</f>
        <v/>
      </c>
      <c r="K241" s="9" t="n">
        <v>0</v>
      </c>
      <c r="L241" s="16" t="n">
        <v>0</v>
      </c>
      <c r="M241" s="16" t="n">
        <v>0</v>
      </c>
      <c r="N241" s="16">
        <f>IF(L241&gt;0,IFERROR(VALUE(LEFT($D241,1)),1),0)</f>
        <v/>
      </c>
      <c r="O241" s="16">
        <f>L241*N241</f>
        <v/>
      </c>
      <c r="P241" s="9">
        <f>K241*O241</f>
        <v/>
      </c>
      <c r="Q241" s="9" t="n">
        <v>0</v>
      </c>
      <c r="R241" s="16" t="n">
        <v>0</v>
      </c>
      <c r="S241" s="16" t="n">
        <v>0</v>
      </c>
      <c r="T241" s="16">
        <f>IF(R241&gt;0,IFERROR(VALUE(LEFT($D241,1)),1),0)</f>
        <v/>
      </c>
      <c r="U241" s="16">
        <f>R241*T241</f>
        <v/>
      </c>
      <c r="V241" s="9">
        <f>Q241*U241</f>
        <v/>
      </c>
      <c r="W241" s="9" t="n">
        <v>120</v>
      </c>
      <c r="X241" s="16" t="n">
        <v>2</v>
      </c>
      <c r="Y241" s="16" t="n">
        <v>0</v>
      </c>
      <c r="Z241" s="16">
        <f>IF(X241&gt;0,IFERROR(VALUE(LEFT($D241,1)),1),0)</f>
        <v/>
      </c>
      <c r="AA241" s="16">
        <f>X241*Z241</f>
        <v/>
      </c>
      <c r="AB241" s="9">
        <f>W241*AA241</f>
        <v/>
      </c>
      <c r="AC241" s="9" t="n">
        <v>0</v>
      </c>
      <c r="AD241" s="16" t="n">
        <v>0</v>
      </c>
      <c r="AE241" s="16" t="n">
        <v>0</v>
      </c>
      <c r="AF241" s="16">
        <f>IF(AD241&gt;0,IFERROR(VALUE(LEFT($D241,1)),1),0)</f>
        <v/>
      </c>
      <c r="AG241" s="16">
        <f>AD241*AF241</f>
        <v/>
      </c>
      <c r="AH241" s="9">
        <f>AC241*AG241</f>
        <v/>
      </c>
      <c r="AI241" s="9" t="n">
        <v>0</v>
      </c>
      <c r="AJ241" s="16" t="n">
        <v>0</v>
      </c>
      <c r="AK241" s="16" t="n">
        <v>0</v>
      </c>
      <c r="AL241" s="16">
        <f>IF(AJ241&gt;0,IFERROR(VALUE(LEFT($D241,1)),1),0)</f>
        <v/>
      </c>
      <c r="AM241" s="16">
        <f>AJ241*AL241</f>
        <v/>
      </c>
      <c r="AN241" s="9">
        <f>AI241*AM241</f>
        <v/>
      </c>
    </row>
    <row r="242">
      <c r="A242" s="16" t="inlineStr">
        <is>
          <t>TK</t>
        </is>
      </c>
      <c r="B242" s="16" t="inlineStr">
        <is>
          <t>TK jamy brzusznej i miednicy małej z kontrastem</t>
        </is>
      </c>
      <c r="C242" s="16" t="inlineStr">
        <is>
          <t>TK Zwykłe</t>
        </is>
      </c>
      <c r="D242" s="16" t="inlineStr">
        <is>
          <t>2 okolice anatomiczne</t>
        </is>
      </c>
      <c r="E242" s="9" t="n">
        <v>0</v>
      </c>
      <c r="F242" s="16" t="n">
        <v>0</v>
      </c>
      <c r="G242" s="16" t="n">
        <v>0</v>
      </c>
      <c r="H242" s="16">
        <f>IF(F242&gt;0,IFERROR(VALUE(LEFT($D242,1)),1),0)</f>
        <v/>
      </c>
      <c r="I242" s="16">
        <f>F242*H242</f>
        <v/>
      </c>
      <c r="J242" s="9">
        <f>E242*I242</f>
        <v/>
      </c>
      <c r="K242" s="9" t="n">
        <v>0</v>
      </c>
      <c r="L242" s="16" t="n">
        <v>0</v>
      </c>
      <c r="M242" s="16" t="n">
        <v>0</v>
      </c>
      <c r="N242" s="16">
        <f>IF(L242&gt;0,IFERROR(VALUE(LEFT($D242,1)),1),0)</f>
        <v/>
      </c>
      <c r="O242" s="16">
        <f>L242*N242</f>
        <v/>
      </c>
      <c r="P242" s="9">
        <f>K242*O242</f>
        <v/>
      </c>
      <c r="Q242" s="9" t="n">
        <v>0</v>
      </c>
      <c r="R242" s="16" t="n">
        <v>0</v>
      </c>
      <c r="S242" s="16" t="n">
        <v>0</v>
      </c>
      <c r="T242" s="16">
        <f>IF(R242&gt;0,IFERROR(VALUE(LEFT($D242,1)),1),0)</f>
        <v/>
      </c>
      <c r="U242" s="16">
        <f>R242*T242</f>
        <v/>
      </c>
      <c r="V242" s="9">
        <f>Q242*U242</f>
        <v/>
      </c>
      <c r="W242" s="9" t="n">
        <v>120</v>
      </c>
      <c r="X242" s="16" t="n">
        <v>2</v>
      </c>
      <c r="Y242" s="16" t="n">
        <v>0</v>
      </c>
      <c r="Z242" s="16">
        <f>IF(X242&gt;0,IFERROR(VALUE(LEFT($D242,1)),1),0)</f>
        <v/>
      </c>
      <c r="AA242" s="16">
        <f>X242*Z242</f>
        <v/>
      </c>
      <c r="AB242" s="9">
        <f>W242*AA242</f>
        <v/>
      </c>
      <c r="AC242" s="9" t="n">
        <v>0</v>
      </c>
      <c r="AD242" s="16" t="n">
        <v>0</v>
      </c>
      <c r="AE242" s="16" t="n">
        <v>0</v>
      </c>
      <c r="AF242" s="16">
        <f>IF(AD242&gt;0,IFERROR(VALUE(LEFT($D242,1)),1),0)</f>
        <v/>
      </c>
      <c r="AG242" s="16">
        <f>AD242*AF242</f>
        <v/>
      </c>
      <c r="AH242" s="9">
        <f>AC242*AG242</f>
        <v/>
      </c>
      <c r="AI242" s="9" t="n">
        <v>0</v>
      </c>
      <c r="AJ242" s="16" t="n">
        <v>0</v>
      </c>
      <c r="AK242" s="16" t="n">
        <v>0</v>
      </c>
      <c r="AL242" s="16">
        <f>IF(AJ242&gt;0,IFERROR(VALUE(LEFT($D242,1)),1),0)</f>
        <v/>
      </c>
      <c r="AM242" s="16">
        <f>AJ242*AL242</f>
        <v/>
      </c>
      <c r="AN242" s="9">
        <f>AI242*AM242</f>
        <v/>
      </c>
    </row>
    <row r="243">
      <c r="A243" s="16" t="inlineStr">
        <is>
          <t>TK</t>
        </is>
      </c>
      <c r="B243" s="16" t="inlineStr">
        <is>
          <t>TK jamy brzusznej i miednicy mniejszej - bez kontrastu</t>
        </is>
      </c>
      <c r="C243" s="16" t="inlineStr">
        <is>
          <t>TK Zwykłe</t>
        </is>
      </c>
      <c r="D243" s="16" t="inlineStr">
        <is>
          <t>2 okolice anatomiczne</t>
        </is>
      </c>
      <c r="E243" s="9" t="n">
        <v>0</v>
      </c>
      <c r="F243" s="16" t="n">
        <v>0</v>
      </c>
      <c r="G243" s="16" t="n">
        <v>0</v>
      </c>
      <c r="H243" s="16">
        <f>IF(F243&gt;0,IFERROR(VALUE(LEFT($D243,1)),1),0)</f>
        <v/>
      </c>
      <c r="I243" s="16">
        <f>F243*H243</f>
        <v/>
      </c>
      <c r="J243" s="9">
        <f>E243*I243</f>
        <v/>
      </c>
      <c r="K243" s="9" t="n">
        <v>0</v>
      </c>
      <c r="L243" s="16" t="n">
        <v>0</v>
      </c>
      <c r="M243" s="16" t="n">
        <v>0</v>
      </c>
      <c r="N243" s="16">
        <f>IF(L243&gt;0,IFERROR(VALUE(LEFT($D243,1)),1),0)</f>
        <v/>
      </c>
      <c r="O243" s="16">
        <f>L243*N243</f>
        <v/>
      </c>
      <c r="P243" s="9">
        <f>K243*O243</f>
        <v/>
      </c>
      <c r="Q243" s="9" t="n">
        <v>0</v>
      </c>
      <c r="R243" s="16" t="n">
        <v>0</v>
      </c>
      <c r="S243" s="16" t="n">
        <v>0</v>
      </c>
      <c r="T243" s="16">
        <f>IF(R243&gt;0,IFERROR(VALUE(LEFT($D243,1)),1),0)</f>
        <v/>
      </c>
      <c r="U243" s="16">
        <f>R243*T243</f>
        <v/>
      </c>
      <c r="V243" s="9">
        <f>Q243*U243</f>
        <v/>
      </c>
      <c r="W243" s="9" t="n">
        <v>120</v>
      </c>
      <c r="X243" s="16" t="n">
        <v>2</v>
      </c>
      <c r="Y243" s="16" t="n">
        <v>0</v>
      </c>
      <c r="Z243" s="16">
        <f>IF(X243&gt;0,IFERROR(VALUE(LEFT($D243,1)),1),0)</f>
        <v/>
      </c>
      <c r="AA243" s="16">
        <f>X243*Z243</f>
        <v/>
      </c>
      <c r="AB243" s="9">
        <f>W243*AA243</f>
        <v/>
      </c>
      <c r="AC243" s="9" t="n">
        <v>0</v>
      </c>
      <c r="AD243" s="16" t="n">
        <v>0</v>
      </c>
      <c r="AE243" s="16" t="n">
        <v>0</v>
      </c>
      <c r="AF243" s="16">
        <f>IF(AD243&gt;0,IFERROR(VALUE(LEFT($D243,1)),1),0)</f>
        <v/>
      </c>
      <c r="AG243" s="16">
        <f>AD243*AF243</f>
        <v/>
      </c>
      <c r="AH243" s="9">
        <f>AC243*AG243</f>
        <v/>
      </c>
      <c r="AI243" s="9" t="n">
        <v>0</v>
      </c>
      <c r="AJ243" s="16" t="n">
        <v>0</v>
      </c>
      <c r="AK243" s="16" t="n">
        <v>0</v>
      </c>
      <c r="AL243" s="16">
        <f>IF(AJ243&gt;0,IFERROR(VALUE(LEFT($D243,1)),1),0)</f>
        <v/>
      </c>
      <c r="AM243" s="16">
        <f>AJ243*AL243</f>
        <v/>
      </c>
      <c r="AN243" s="9">
        <f>AI243*AM243</f>
        <v/>
      </c>
    </row>
    <row r="244">
      <c r="A244" s="16" t="inlineStr">
        <is>
          <t>TK</t>
        </is>
      </c>
      <c r="B244" s="16" t="inlineStr">
        <is>
          <t>TK jamy brzusznej i miednicy z kontrastem</t>
        </is>
      </c>
      <c r="C244" s="16" t="inlineStr">
        <is>
          <t>TK Zwykłe</t>
        </is>
      </c>
      <c r="D244" s="16" t="inlineStr">
        <is>
          <t>2 okolice anatomiczne</t>
        </is>
      </c>
      <c r="E244" s="9" t="n">
        <v>0</v>
      </c>
      <c r="F244" s="16" t="n">
        <v>0</v>
      </c>
      <c r="G244" s="16" t="n">
        <v>0</v>
      </c>
      <c r="H244" s="16">
        <f>IF(F244&gt;0,IFERROR(VALUE(LEFT($D244,1)),1),0)</f>
        <v/>
      </c>
      <c r="I244" s="16">
        <f>F244*H244</f>
        <v/>
      </c>
      <c r="J244" s="9">
        <f>E244*I244</f>
        <v/>
      </c>
      <c r="K244" s="9" t="n">
        <v>0</v>
      </c>
      <c r="L244" s="16" t="n">
        <v>0</v>
      </c>
      <c r="M244" s="16" t="n">
        <v>0</v>
      </c>
      <c r="N244" s="16">
        <f>IF(L244&gt;0,IFERROR(VALUE(LEFT($D244,1)),1),0)</f>
        <v/>
      </c>
      <c r="O244" s="16">
        <f>L244*N244</f>
        <v/>
      </c>
      <c r="P244" s="9">
        <f>K244*O244</f>
        <v/>
      </c>
      <c r="Q244" s="9" t="n">
        <v>0</v>
      </c>
      <c r="R244" s="16" t="n">
        <v>0</v>
      </c>
      <c r="S244" s="16" t="n">
        <v>0</v>
      </c>
      <c r="T244" s="16">
        <f>IF(R244&gt;0,IFERROR(VALUE(LEFT($D244,1)),1),0)</f>
        <v/>
      </c>
      <c r="U244" s="16">
        <f>R244*T244</f>
        <v/>
      </c>
      <c r="V244" s="9">
        <f>Q244*U244</f>
        <v/>
      </c>
      <c r="W244" s="9" t="n">
        <v>120</v>
      </c>
      <c r="X244" s="16" t="n">
        <v>1</v>
      </c>
      <c r="Y244" s="16" t="n">
        <v>0</v>
      </c>
      <c r="Z244" s="16">
        <f>IF(X244&gt;0,IFERROR(VALUE(LEFT($D244,1)),1),0)</f>
        <v/>
      </c>
      <c r="AA244" s="16">
        <f>X244*Z244</f>
        <v/>
      </c>
      <c r="AB244" s="9">
        <f>W244*AA244</f>
        <v/>
      </c>
      <c r="AC244" s="9" t="n">
        <v>120</v>
      </c>
      <c r="AD244" s="16" t="n">
        <v>1</v>
      </c>
      <c r="AE244" s="16" t="n">
        <v>2</v>
      </c>
      <c r="AF244" s="16">
        <f>IF(AD244&gt;0,IFERROR(VALUE(LEFT($D244,1)),1),0)</f>
        <v/>
      </c>
      <c r="AG244" s="16">
        <f>AD244*AF244</f>
        <v/>
      </c>
      <c r="AH244" s="9">
        <f>AC244*AG244</f>
        <v/>
      </c>
      <c r="AI244" s="9" t="n">
        <v>0</v>
      </c>
      <c r="AJ244" s="16" t="n">
        <v>0</v>
      </c>
      <c r="AK244" s="16" t="n">
        <v>0</v>
      </c>
      <c r="AL244" s="16">
        <f>IF(AJ244&gt;0,IFERROR(VALUE(LEFT($D244,1)),1),0)</f>
        <v/>
      </c>
      <c r="AM244" s="16">
        <f>AJ244*AL244</f>
        <v/>
      </c>
      <c r="AN244" s="9">
        <f>AI244*AM244</f>
        <v/>
      </c>
    </row>
    <row r="245">
      <c r="A245" s="16" t="inlineStr">
        <is>
          <t>TK</t>
        </is>
      </c>
      <c r="B245" s="16" t="inlineStr">
        <is>
          <t>TK jamy brzusznej lub miednicy małej bez i ze wzmocnieniem kontrastowym; TK klatki piersiowej bez i ze wzmocnieniem kontrastowym</t>
        </is>
      </c>
      <c r="C245" s="16" t="inlineStr">
        <is>
          <t>TK Zwykłe</t>
        </is>
      </c>
      <c r="D245" s="16" t="inlineStr">
        <is>
          <t>3 okolice anatomiczne</t>
        </is>
      </c>
      <c r="E245" s="9" t="n">
        <v>0</v>
      </c>
      <c r="F245" s="16" t="n">
        <v>0</v>
      </c>
      <c r="G245" s="16" t="n">
        <v>0</v>
      </c>
      <c r="H245" s="16">
        <f>IF(F245&gt;0,IFERROR(VALUE(LEFT($D245,1)),1),0)</f>
        <v/>
      </c>
      <c r="I245" s="16">
        <f>F245*H245</f>
        <v/>
      </c>
      <c r="J245" s="9">
        <f>E245*I245</f>
        <v/>
      </c>
      <c r="K245" s="9" t="n">
        <v>0</v>
      </c>
      <c r="L245" s="16" t="n">
        <v>0</v>
      </c>
      <c r="M245" s="16" t="n">
        <v>0</v>
      </c>
      <c r="N245" s="16">
        <f>IF(L245&gt;0,IFERROR(VALUE(LEFT($D245,1)),1),0)</f>
        <v/>
      </c>
      <c r="O245" s="16">
        <f>L245*N245</f>
        <v/>
      </c>
      <c r="P245" s="9">
        <f>K245*O245</f>
        <v/>
      </c>
      <c r="Q245" s="9" t="n">
        <v>0</v>
      </c>
      <c r="R245" s="16" t="n">
        <v>0</v>
      </c>
      <c r="S245" s="16" t="n">
        <v>0</v>
      </c>
      <c r="T245" s="16">
        <f>IF(R245&gt;0,IFERROR(VALUE(LEFT($D245,1)),1),0)</f>
        <v/>
      </c>
      <c r="U245" s="16">
        <f>R245*T245</f>
        <v/>
      </c>
      <c r="V245" s="9">
        <f>Q245*U245</f>
        <v/>
      </c>
      <c r="W245" s="9" t="n">
        <v>120</v>
      </c>
      <c r="X245" s="16" t="n">
        <v>1</v>
      </c>
      <c r="Y245" s="16" t="n">
        <v>0</v>
      </c>
      <c r="Z245" s="16">
        <f>IF(X245&gt;0,IFERROR(VALUE(LEFT($D245,1)),1),0)</f>
        <v/>
      </c>
      <c r="AA245" s="16">
        <f>X245*Z245</f>
        <v/>
      </c>
      <c r="AB245" s="9">
        <f>W245*AA245</f>
        <v/>
      </c>
      <c r="AC245" s="9" t="n">
        <v>0</v>
      </c>
      <c r="AD245" s="16" t="n">
        <v>0</v>
      </c>
      <c r="AE245" s="16" t="n">
        <v>0</v>
      </c>
      <c r="AF245" s="16">
        <f>IF(AD245&gt;0,IFERROR(VALUE(LEFT($D245,1)),1),0)</f>
        <v/>
      </c>
      <c r="AG245" s="16">
        <f>AD245*AF245</f>
        <v/>
      </c>
      <c r="AH245" s="9">
        <f>AC245*AG245</f>
        <v/>
      </c>
      <c r="AI245" s="9" t="n">
        <v>0</v>
      </c>
      <c r="AJ245" s="16" t="n">
        <v>0</v>
      </c>
      <c r="AK245" s="16" t="n">
        <v>0</v>
      </c>
      <c r="AL245" s="16">
        <f>IF(AJ245&gt;0,IFERROR(VALUE(LEFT($D245,1)),1),0)</f>
        <v/>
      </c>
      <c r="AM245" s="16">
        <f>AJ245*AL245</f>
        <v/>
      </c>
      <c r="AN245" s="9">
        <f>AI245*AM245</f>
        <v/>
      </c>
    </row>
    <row r="246">
      <c r="A246" s="16" t="inlineStr">
        <is>
          <t>TK</t>
        </is>
      </c>
      <c r="B246" s="16" t="inlineStr">
        <is>
          <t>TK jamy brzusznej lub miednicy małej bez kontrastu</t>
        </is>
      </c>
      <c r="C246" s="16" t="inlineStr">
        <is>
          <t>TK Zwykłe</t>
        </is>
      </c>
      <c r="D246" s="16" t="inlineStr">
        <is>
          <t>2 okolice anatomiczne</t>
        </is>
      </c>
      <c r="E246" s="9" t="n">
        <v>0</v>
      </c>
      <c r="F246" s="16" t="n">
        <v>0</v>
      </c>
      <c r="G246" s="16" t="n">
        <v>0</v>
      </c>
      <c r="H246" s="16">
        <f>IF(F246&gt;0,IFERROR(VALUE(LEFT($D246,1)),1),0)</f>
        <v/>
      </c>
      <c r="I246" s="16">
        <f>F246*H246</f>
        <v/>
      </c>
      <c r="J246" s="9">
        <f>E246*I246</f>
        <v/>
      </c>
      <c r="K246" s="9" t="n">
        <v>0</v>
      </c>
      <c r="L246" s="16" t="n">
        <v>0</v>
      </c>
      <c r="M246" s="16" t="n">
        <v>0</v>
      </c>
      <c r="N246" s="16">
        <f>IF(L246&gt;0,IFERROR(VALUE(LEFT($D246,1)),1),0)</f>
        <v/>
      </c>
      <c r="O246" s="16">
        <f>L246*N246</f>
        <v/>
      </c>
      <c r="P246" s="9">
        <f>K246*O246</f>
        <v/>
      </c>
      <c r="Q246" s="9" t="n">
        <v>0</v>
      </c>
      <c r="R246" s="16" t="n">
        <v>0</v>
      </c>
      <c r="S246" s="16" t="n">
        <v>0</v>
      </c>
      <c r="T246" s="16">
        <f>IF(R246&gt;0,IFERROR(VALUE(LEFT($D246,1)),1),0)</f>
        <v/>
      </c>
      <c r="U246" s="16">
        <f>R246*T246</f>
        <v/>
      </c>
      <c r="V246" s="9">
        <f>Q246*U246</f>
        <v/>
      </c>
      <c r="W246" s="9" t="n">
        <v>120</v>
      </c>
      <c r="X246" s="16" t="n">
        <v>1</v>
      </c>
      <c r="Y246" s="16" t="n">
        <v>0</v>
      </c>
      <c r="Z246" s="16">
        <f>IF(X246&gt;0,IFERROR(VALUE(LEFT($D246,1)),1),0)</f>
        <v/>
      </c>
      <c r="AA246" s="16">
        <f>X246*Z246</f>
        <v/>
      </c>
      <c r="AB246" s="9">
        <f>W246*AA246</f>
        <v/>
      </c>
      <c r="AC246" s="9" t="n">
        <v>0</v>
      </c>
      <c r="AD246" s="16" t="n">
        <v>0</v>
      </c>
      <c r="AE246" s="16" t="n">
        <v>0</v>
      </c>
      <c r="AF246" s="16">
        <f>IF(AD246&gt;0,IFERROR(VALUE(LEFT($D246,1)),1),0)</f>
        <v/>
      </c>
      <c r="AG246" s="16">
        <f>AD246*AF246</f>
        <v/>
      </c>
      <c r="AH246" s="9">
        <f>AC246*AG246</f>
        <v/>
      </c>
      <c r="AI246" s="9" t="n">
        <v>0</v>
      </c>
      <c r="AJ246" s="16" t="n">
        <v>0</v>
      </c>
      <c r="AK246" s="16" t="n">
        <v>0</v>
      </c>
      <c r="AL246" s="16">
        <f>IF(AJ246&gt;0,IFERROR(VALUE(LEFT($D246,1)),1),0)</f>
        <v/>
      </c>
      <c r="AM246" s="16">
        <f>AJ246*AL246</f>
        <v/>
      </c>
      <c r="AN246" s="9">
        <f>AI246*AM246</f>
        <v/>
      </c>
    </row>
    <row r="247">
      <c r="A247" s="16" t="inlineStr">
        <is>
          <t>TK</t>
        </is>
      </c>
      <c r="B247" s="16" t="inlineStr">
        <is>
          <t>TK jamy brzusznej lub miednicy mniejszej bez wzmocnienia kontrastowego; TK klatki piersiowej bez wzmocnienia kontrastowego</t>
        </is>
      </c>
      <c r="C247" s="16" t="inlineStr">
        <is>
          <t>TK Zwykłe</t>
        </is>
      </c>
      <c r="D247" s="16" t="inlineStr">
        <is>
          <t>3 okolice anatomiczne</t>
        </is>
      </c>
      <c r="E247" s="9" t="n">
        <v>0</v>
      </c>
      <c r="F247" s="16" t="n">
        <v>0</v>
      </c>
      <c r="G247" s="16" t="n">
        <v>0</v>
      </c>
      <c r="H247" s="16">
        <f>IF(F247&gt;0,IFERROR(VALUE(LEFT($D247,1)),1),0)</f>
        <v/>
      </c>
      <c r="I247" s="16">
        <f>F247*H247</f>
        <v/>
      </c>
      <c r="J247" s="9">
        <f>E247*I247</f>
        <v/>
      </c>
      <c r="K247" s="9" t="n">
        <v>0</v>
      </c>
      <c r="L247" s="16" t="n">
        <v>0</v>
      </c>
      <c r="M247" s="16" t="n">
        <v>0</v>
      </c>
      <c r="N247" s="16">
        <f>IF(L247&gt;0,IFERROR(VALUE(LEFT($D247,1)),1),0)</f>
        <v/>
      </c>
      <c r="O247" s="16">
        <f>L247*N247</f>
        <v/>
      </c>
      <c r="P247" s="9">
        <f>K247*O247</f>
        <v/>
      </c>
      <c r="Q247" s="9" t="n">
        <v>0</v>
      </c>
      <c r="R247" s="16" t="n">
        <v>0</v>
      </c>
      <c r="S247" s="16" t="n">
        <v>0</v>
      </c>
      <c r="T247" s="16">
        <f>IF(R247&gt;0,IFERROR(VALUE(LEFT($D247,1)),1),0)</f>
        <v/>
      </c>
      <c r="U247" s="16">
        <f>R247*T247</f>
        <v/>
      </c>
      <c r="V247" s="9">
        <f>Q247*U247</f>
        <v/>
      </c>
      <c r="W247" s="9" t="n">
        <v>120</v>
      </c>
      <c r="X247" s="16" t="n">
        <v>1</v>
      </c>
      <c r="Y247" s="16" t="n">
        <v>0</v>
      </c>
      <c r="Z247" s="16">
        <f>IF(X247&gt;0,IFERROR(VALUE(LEFT($D247,1)),1),0)</f>
        <v/>
      </c>
      <c r="AA247" s="16">
        <f>X247*Z247</f>
        <v/>
      </c>
      <c r="AB247" s="9">
        <f>W247*AA247</f>
        <v/>
      </c>
      <c r="AC247" s="9" t="n">
        <v>0</v>
      </c>
      <c r="AD247" s="16" t="n">
        <v>0</v>
      </c>
      <c r="AE247" s="16" t="n">
        <v>0</v>
      </c>
      <c r="AF247" s="16">
        <f>IF(AD247&gt;0,IFERROR(VALUE(LEFT($D247,1)),1),0)</f>
        <v/>
      </c>
      <c r="AG247" s="16">
        <f>AD247*AF247</f>
        <v/>
      </c>
      <c r="AH247" s="9">
        <f>AC247*AG247</f>
        <v/>
      </c>
      <c r="AI247" s="9" t="n">
        <v>0</v>
      </c>
      <c r="AJ247" s="16" t="n">
        <v>0</v>
      </c>
      <c r="AK247" s="16" t="n">
        <v>0</v>
      </c>
      <c r="AL247" s="16">
        <f>IF(AJ247&gt;0,IFERROR(VALUE(LEFT($D247,1)),1),0)</f>
        <v/>
      </c>
      <c r="AM247" s="16">
        <f>AJ247*AL247</f>
        <v/>
      </c>
      <c r="AN247" s="9">
        <f>AI247*AM247</f>
        <v/>
      </c>
    </row>
    <row r="248">
      <c r="A248" s="16" t="inlineStr">
        <is>
          <t>TK</t>
        </is>
      </c>
      <c r="B248" s="16" t="inlineStr">
        <is>
          <t>TK jamy brzusznej z kontrastem</t>
        </is>
      </c>
      <c r="C248" s="16" t="inlineStr">
        <is>
          <t>TK Zwykłe</t>
        </is>
      </c>
      <c r="D248" s="16" t="inlineStr">
        <is>
          <t>2 okolice anatomiczne</t>
        </is>
      </c>
      <c r="E248" s="9" t="n">
        <v>0</v>
      </c>
      <c r="F248" s="16" t="n">
        <v>0</v>
      </c>
      <c r="G248" s="16" t="n">
        <v>0</v>
      </c>
      <c r="H248" s="16">
        <f>IF(F248&gt;0,IFERROR(VALUE(LEFT($D248,1)),1),0)</f>
        <v/>
      </c>
      <c r="I248" s="16">
        <f>F248*H248</f>
        <v/>
      </c>
      <c r="J248" s="9">
        <f>E248*I248</f>
        <v/>
      </c>
      <c r="K248" s="9" t="n">
        <v>0</v>
      </c>
      <c r="L248" s="16" t="n">
        <v>0</v>
      </c>
      <c r="M248" s="16" t="n">
        <v>0</v>
      </c>
      <c r="N248" s="16">
        <f>IF(L248&gt;0,IFERROR(VALUE(LEFT($D248,1)),1),0)</f>
        <v/>
      </c>
      <c r="O248" s="16">
        <f>L248*N248</f>
        <v/>
      </c>
      <c r="P248" s="9">
        <f>K248*O248</f>
        <v/>
      </c>
      <c r="Q248" s="9" t="n">
        <v>0</v>
      </c>
      <c r="R248" s="16" t="n">
        <v>0</v>
      </c>
      <c r="S248" s="16" t="n">
        <v>0</v>
      </c>
      <c r="T248" s="16">
        <f>IF(R248&gt;0,IFERROR(VALUE(LEFT($D248,1)),1),0)</f>
        <v/>
      </c>
      <c r="U248" s="16">
        <f>R248*T248</f>
        <v/>
      </c>
      <c r="V248" s="9">
        <f>Q248*U248</f>
        <v/>
      </c>
      <c r="W248" s="9" t="n">
        <v>120</v>
      </c>
      <c r="X248" s="16" t="n">
        <v>2</v>
      </c>
      <c r="Y248" s="16" t="n">
        <v>0</v>
      </c>
      <c r="Z248" s="16">
        <f>IF(X248&gt;0,IFERROR(VALUE(LEFT($D248,1)),1),0)</f>
        <v/>
      </c>
      <c r="AA248" s="16">
        <f>X248*Z248</f>
        <v/>
      </c>
      <c r="AB248" s="9">
        <f>W248*AA248</f>
        <v/>
      </c>
      <c r="AC248" s="9" t="n">
        <v>0</v>
      </c>
      <c r="AD248" s="16" t="n">
        <v>0</v>
      </c>
      <c r="AE248" s="16" t="n">
        <v>0</v>
      </c>
      <c r="AF248" s="16">
        <f>IF(AD248&gt;0,IFERROR(VALUE(LEFT($D248,1)),1),0)</f>
        <v/>
      </c>
      <c r="AG248" s="16">
        <f>AD248*AF248</f>
        <v/>
      </c>
      <c r="AH248" s="9">
        <f>AC248*AG248</f>
        <v/>
      </c>
      <c r="AI248" s="9" t="n">
        <v>0</v>
      </c>
      <c r="AJ248" s="16" t="n">
        <v>0</v>
      </c>
      <c r="AK248" s="16" t="n">
        <v>0</v>
      </c>
      <c r="AL248" s="16">
        <f>IF(AJ248&gt;0,IFERROR(VALUE(LEFT($D248,1)),1),0)</f>
        <v/>
      </c>
      <c r="AM248" s="16">
        <f>AJ248*AL248</f>
        <v/>
      </c>
      <c r="AN248" s="9">
        <f>AI248*AM248</f>
        <v/>
      </c>
    </row>
    <row r="249">
      <c r="A249" s="16" t="inlineStr">
        <is>
          <t>TK</t>
        </is>
      </c>
      <c r="B249" s="16" t="inlineStr">
        <is>
          <t>TK jamy brzusznej z miednica</t>
        </is>
      </c>
      <c r="C249" s="16" t="inlineStr">
        <is>
          <t>TK Zwykłe</t>
        </is>
      </c>
      <c r="D249" s="16" t="inlineStr">
        <is>
          <t>2 okolice anatomiczne</t>
        </is>
      </c>
      <c r="E249" s="9" t="n">
        <v>0</v>
      </c>
      <c r="F249" s="16" t="n">
        <v>0</v>
      </c>
      <c r="G249" s="16" t="n">
        <v>0</v>
      </c>
      <c r="H249" s="16">
        <f>IF(F249&gt;0,IFERROR(VALUE(LEFT($D249,1)),1),0)</f>
        <v/>
      </c>
      <c r="I249" s="16">
        <f>F249*H249</f>
        <v/>
      </c>
      <c r="J249" s="9">
        <f>E249*I249</f>
        <v/>
      </c>
      <c r="K249" s="9" t="n">
        <v>0</v>
      </c>
      <c r="L249" s="16" t="n">
        <v>0</v>
      </c>
      <c r="M249" s="16" t="n">
        <v>0</v>
      </c>
      <c r="N249" s="16">
        <f>IF(L249&gt;0,IFERROR(VALUE(LEFT($D249,1)),1),0)</f>
        <v/>
      </c>
      <c r="O249" s="16">
        <f>L249*N249</f>
        <v/>
      </c>
      <c r="P249" s="9">
        <f>K249*O249</f>
        <v/>
      </c>
      <c r="Q249" s="9" t="n">
        <v>0</v>
      </c>
      <c r="R249" s="16" t="n">
        <v>0</v>
      </c>
      <c r="S249" s="16" t="n">
        <v>0</v>
      </c>
      <c r="T249" s="16">
        <f>IF(R249&gt;0,IFERROR(VALUE(LEFT($D249,1)),1),0)</f>
        <v/>
      </c>
      <c r="U249" s="16">
        <f>R249*T249</f>
        <v/>
      </c>
      <c r="V249" s="9">
        <f>Q249*U249</f>
        <v/>
      </c>
      <c r="W249" s="9" t="n">
        <v>120</v>
      </c>
      <c r="X249" s="16" t="n">
        <v>1</v>
      </c>
      <c r="Y249" s="16" t="n">
        <v>0</v>
      </c>
      <c r="Z249" s="16">
        <f>IF(X249&gt;0,IFERROR(VALUE(LEFT($D249,1)),1),0)</f>
        <v/>
      </c>
      <c r="AA249" s="16">
        <f>X249*Z249</f>
        <v/>
      </c>
      <c r="AB249" s="9">
        <f>W249*AA249</f>
        <v/>
      </c>
      <c r="AC249" s="9" t="n">
        <v>0</v>
      </c>
      <c r="AD249" s="16" t="n">
        <v>0</v>
      </c>
      <c r="AE249" s="16" t="n">
        <v>0</v>
      </c>
      <c r="AF249" s="16">
        <f>IF(AD249&gt;0,IFERROR(VALUE(LEFT($D249,1)),1),0)</f>
        <v/>
      </c>
      <c r="AG249" s="16">
        <f>AD249*AF249</f>
        <v/>
      </c>
      <c r="AH249" s="9">
        <f>AC249*AG249</f>
        <v/>
      </c>
      <c r="AI249" s="9" t="n">
        <v>0</v>
      </c>
      <c r="AJ249" s="16" t="n">
        <v>0</v>
      </c>
      <c r="AK249" s="16" t="n">
        <v>0</v>
      </c>
      <c r="AL249" s="16">
        <f>IF(AJ249&gt;0,IFERROR(VALUE(LEFT($D249,1)),1),0)</f>
        <v/>
      </c>
      <c r="AM249" s="16">
        <f>AJ249*AL249</f>
        <v/>
      </c>
      <c r="AN249" s="9">
        <f>AI249*AM249</f>
        <v/>
      </c>
    </row>
    <row r="250">
      <c r="A250" s="16" t="inlineStr">
        <is>
          <t>TK</t>
        </is>
      </c>
      <c r="B250" s="16" t="inlineStr">
        <is>
          <t>TK kl.piersiowej bez i ze wzmocnieniem kontrastowym</t>
        </is>
      </c>
      <c r="C250" s="16" t="inlineStr">
        <is>
          <t>TK Zwykłe</t>
        </is>
      </c>
      <c r="D250" s="16" t="inlineStr">
        <is>
          <t>1 okolica anatomiczna</t>
        </is>
      </c>
      <c r="E250" s="9" t="n">
        <v>0</v>
      </c>
      <c r="F250" s="16" t="n">
        <v>0</v>
      </c>
      <c r="G250" s="16" t="n">
        <v>0</v>
      </c>
      <c r="H250" s="16">
        <f>IF(F250&gt;0,IFERROR(VALUE(LEFT($D250,1)),1),0)</f>
        <v/>
      </c>
      <c r="I250" s="16">
        <f>F250*H250</f>
        <v/>
      </c>
      <c r="J250" s="9">
        <f>E250*I250</f>
        <v/>
      </c>
      <c r="K250" s="9" t="n">
        <v>0</v>
      </c>
      <c r="L250" s="16" t="n">
        <v>0</v>
      </c>
      <c r="M250" s="16" t="n">
        <v>0</v>
      </c>
      <c r="N250" s="16">
        <f>IF(L250&gt;0,IFERROR(VALUE(LEFT($D250,1)),1),0)</f>
        <v/>
      </c>
      <c r="O250" s="16">
        <f>L250*N250</f>
        <v/>
      </c>
      <c r="P250" s="9">
        <f>K250*O250</f>
        <v/>
      </c>
      <c r="Q250" s="9" t="n">
        <v>0</v>
      </c>
      <c r="R250" s="16" t="n">
        <v>0</v>
      </c>
      <c r="S250" s="16" t="n">
        <v>0</v>
      </c>
      <c r="T250" s="16">
        <f>IF(R250&gt;0,IFERROR(VALUE(LEFT($D250,1)),1),0)</f>
        <v/>
      </c>
      <c r="U250" s="16">
        <f>R250*T250</f>
        <v/>
      </c>
      <c r="V250" s="9">
        <f>Q250*U250</f>
        <v/>
      </c>
      <c r="W250" s="9" t="n">
        <v>120</v>
      </c>
      <c r="X250" s="16" t="n">
        <v>1</v>
      </c>
      <c r="Y250" s="16" t="n">
        <v>0</v>
      </c>
      <c r="Z250" s="16">
        <f>IF(X250&gt;0,IFERROR(VALUE(LEFT($D250,1)),1),0)</f>
        <v/>
      </c>
      <c r="AA250" s="16">
        <f>X250*Z250</f>
        <v/>
      </c>
      <c r="AB250" s="9">
        <f>W250*AA250</f>
        <v/>
      </c>
      <c r="AC250" s="9" t="n">
        <v>0</v>
      </c>
      <c r="AD250" s="16" t="n">
        <v>0</v>
      </c>
      <c r="AE250" s="16" t="n">
        <v>0</v>
      </c>
      <c r="AF250" s="16">
        <f>IF(AD250&gt;0,IFERROR(VALUE(LEFT($D250,1)),1),0)</f>
        <v/>
      </c>
      <c r="AG250" s="16">
        <f>AD250*AF250</f>
        <v/>
      </c>
      <c r="AH250" s="9">
        <f>AC250*AG250</f>
        <v/>
      </c>
      <c r="AI250" s="9" t="n">
        <v>0</v>
      </c>
      <c r="AJ250" s="16" t="n">
        <v>0</v>
      </c>
      <c r="AK250" s="16" t="n">
        <v>0</v>
      </c>
      <c r="AL250" s="16">
        <f>IF(AJ250&gt;0,IFERROR(VALUE(LEFT($D250,1)),1),0)</f>
        <v/>
      </c>
      <c r="AM250" s="16">
        <f>AJ250*AL250</f>
        <v/>
      </c>
      <c r="AN250" s="9">
        <f>AI250*AM250</f>
        <v/>
      </c>
    </row>
    <row r="251">
      <c r="A251" s="16" t="inlineStr">
        <is>
          <t>TK</t>
        </is>
      </c>
      <c r="B251" s="16" t="inlineStr">
        <is>
          <t>TK kl.piersiowej bez wzmocnienia kontrastowego</t>
        </is>
      </c>
      <c r="C251" s="16" t="inlineStr">
        <is>
          <t>TK Zwykłe</t>
        </is>
      </c>
      <c r="D251" s="16" t="inlineStr">
        <is>
          <t>1 okolica anatomiczna</t>
        </is>
      </c>
      <c r="E251" s="9" t="n">
        <v>0</v>
      </c>
      <c r="F251" s="16" t="n">
        <v>0</v>
      </c>
      <c r="G251" s="16" t="n">
        <v>0</v>
      </c>
      <c r="H251" s="16">
        <f>IF(F251&gt;0,IFERROR(VALUE(LEFT($D251,1)),1),0)</f>
        <v/>
      </c>
      <c r="I251" s="16">
        <f>F251*H251</f>
        <v/>
      </c>
      <c r="J251" s="9">
        <f>E251*I251</f>
        <v/>
      </c>
      <c r="K251" s="9" t="n">
        <v>0</v>
      </c>
      <c r="L251" s="16" t="n">
        <v>0</v>
      </c>
      <c r="M251" s="16" t="n">
        <v>0</v>
      </c>
      <c r="N251" s="16">
        <f>IF(L251&gt;0,IFERROR(VALUE(LEFT($D251,1)),1),0)</f>
        <v/>
      </c>
      <c r="O251" s="16">
        <f>L251*N251</f>
        <v/>
      </c>
      <c r="P251" s="9">
        <f>K251*O251</f>
        <v/>
      </c>
      <c r="Q251" s="9" t="n">
        <v>0</v>
      </c>
      <c r="R251" s="16" t="n">
        <v>0</v>
      </c>
      <c r="S251" s="16" t="n">
        <v>0</v>
      </c>
      <c r="T251" s="16">
        <f>IF(R251&gt;0,IFERROR(VALUE(LEFT($D251,1)),1),0)</f>
        <v/>
      </c>
      <c r="U251" s="16">
        <f>R251*T251</f>
        <v/>
      </c>
      <c r="V251" s="9">
        <f>Q251*U251</f>
        <v/>
      </c>
      <c r="W251" s="9" t="n">
        <v>120</v>
      </c>
      <c r="X251" s="16" t="n">
        <v>1</v>
      </c>
      <c r="Y251" s="16" t="n">
        <v>0</v>
      </c>
      <c r="Z251" s="16">
        <f>IF(X251&gt;0,IFERROR(VALUE(LEFT($D251,1)),1),0)</f>
        <v/>
      </c>
      <c r="AA251" s="16">
        <f>X251*Z251</f>
        <v/>
      </c>
      <c r="AB251" s="9">
        <f>W251*AA251</f>
        <v/>
      </c>
      <c r="AC251" s="9" t="n">
        <v>0</v>
      </c>
      <c r="AD251" s="16" t="n">
        <v>0</v>
      </c>
      <c r="AE251" s="16" t="n">
        <v>0</v>
      </c>
      <c r="AF251" s="16">
        <f>IF(AD251&gt;0,IFERROR(VALUE(LEFT($D251,1)),1),0)</f>
        <v/>
      </c>
      <c r="AG251" s="16">
        <f>AD251*AF251</f>
        <v/>
      </c>
      <c r="AH251" s="9">
        <f>AC251*AG251</f>
        <v/>
      </c>
      <c r="AI251" s="9" t="n">
        <v>0</v>
      </c>
      <c r="AJ251" s="16" t="n">
        <v>0</v>
      </c>
      <c r="AK251" s="16" t="n">
        <v>0</v>
      </c>
      <c r="AL251" s="16">
        <f>IF(AJ251&gt;0,IFERROR(VALUE(LEFT($D251,1)),1),0)</f>
        <v/>
      </c>
      <c r="AM251" s="16">
        <f>AJ251*AL251</f>
        <v/>
      </c>
      <c r="AN251" s="9">
        <f>AI251*AM251</f>
        <v/>
      </c>
    </row>
    <row r="252">
      <c r="A252" s="16" t="inlineStr">
        <is>
          <t>TK</t>
        </is>
      </c>
      <c r="B252" s="16" t="inlineStr">
        <is>
          <t>TK klatki piersiowej</t>
        </is>
      </c>
      <c r="C252" s="16" t="inlineStr">
        <is>
          <t>TK Zwykłe</t>
        </is>
      </c>
      <c r="D252" s="16" t="inlineStr">
        <is>
          <t>1 okolica anatomiczna</t>
        </is>
      </c>
      <c r="E252" s="9" t="n">
        <v>0</v>
      </c>
      <c r="F252" s="16" t="n">
        <v>0</v>
      </c>
      <c r="G252" s="16" t="n">
        <v>0</v>
      </c>
      <c r="H252" s="16">
        <f>IF(F252&gt;0,IFERROR(VALUE(LEFT($D252,1)),1),0)</f>
        <v/>
      </c>
      <c r="I252" s="16">
        <f>F252*H252</f>
        <v/>
      </c>
      <c r="J252" s="9">
        <f>E252*I252</f>
        <v/>
      </c>
      <c r="K252" s="9" t="n">
        <v>0</v>
      </c>
      <c r="L252" s="16" t="n">
        <v>0</v>
      </c>
      <c r="M252" s="16" t="n">
        <v>0</v>
      </c>
      <c r="N252" s="16">
        <f>IF(L252&gt;0,IFERROR(VALUE(LEFT($D252,1)),1),0)</f>
        <v/>
      </c>
      <c r="O252" s="16">
        <f>L252*N252</f>
        <v/>
      </c>
      <c r="P252" s="9">
        <f>K252*O252</f>
        <v/>
      </c>
      <c r="Q252" s="9" t="n">
        <v>0</v>
      </c>
      <c r="R252" s="16" t="n">
        <v>0</v>
      </c>
      <c r="S252" s="16" t="n">
        <v>0</v>
      </c>
      <c r="T252" s="16">
        <f>IF(R252&gt;0,IFERROR(VALUE(LEFT($D252,1)),1),0)</f>
        <v/>
      </c>
      <c r="U252" s="16">
        <f>R252*T252</f>
        <v/>
      </c>
      <c r="V252" s="9">
        <f>Q252*U252</f>
        <v/>
      </c>
      <c r="W252" s="9" t="n">
        <v>120</v>
      </c>
      <c r="X252" s="16" t="n">
        <v>9</v>
      </c>
      <c r="Y252" s="16" t="n">
        <v>1</v>
      </c>
      <c r="Z252" s="16">
        <f>IF(X252&gt;0,IFERROR(VALUE(LEFT($D252,1)),1),0)</f>
        <v/>
      </c>
      <c r="AA252" s="16">
        <f>X252*Z252</f>
        <v/>
      </c>
      <c r="AB252" s="9">
        <f>W252*AA252</f>
        <v/>
      </c>
      <c r="AC252" s="9" t="n">
        <v>120</v>
      </c>
      <c r="AD252" s="16" t="n">
        <v>1</v>
      </c>
      <c r="AE252" s="16" t="n">
        <v>1</v>
      </c>
      <c r="AF252" s="16">
        <f>IF(AD252&gt;0,IFERROR(VALUE(LEFT($D252,1)),1),0)</f>
        <v/>
      </c>
      <c r="AG252" s="16">
        <f>AD252*AF252</f>
        <v/>
      </c>
      <c r="AH252" s="9">
        <f>AC252*AG252</f>
        <v/>
      </c>
      <c r="AI252" s="9" t="n">
        <v>110</v>
      </c>
      <c r="AJ252" s="16" t="n">
        <v>1</v>
      </c>
      <c r="AK252" s="16" t="n">
        <v>0</v>
      </c>
      <c r="AL252" s="16">
        <f>IF(AJ252&gt;0,IFERROR(VALUE(LEFT($D252,1)),1),0)</f>
        <v/>
      </c>
      <c r="AM252" s="16">
        <f>AJ252*AL252</f>
        <v/>
      </c>
      <c r="AN252" s="9">
        <f>AI252*AM252</f>
        <v/>
      </c>
    </row>
    <row r="253">
      <c r="A253" s="16" t="inlineStr">
        <is>
          <t>TK</t>
        </is>
      </c>
      <c r="B253" s="16" t="inlineStr">
        <is>
          <t>TK klatki piersiowej (bez kontrastu) [87.410 ]</t>
        </is>
      </c>
      <c r="C253" s="16" t="inlineStr">
        <is>
          <t>TK Zwykłe</t>
        </is>
      </c>
      <c r="D253" s="16" t="inlineStr">
        <is>
          <t>1 okolica anatomiczna</t>
        </is>
      </c>
      <c r="E253" s="9" t="n">
        <v>0</v>
      </c>
      <c r="F253" s="16" t="n">
        <v>0</v>
      </c>
      <c r="G253" s="16" t="n">
        <v>0</v>
      </c>
      <c r="H253" s="16">
        <f>IF(F253&gt;0,IFERROR(VALUE(LEFT($D253,1)),1),0)</f>
        <v/>
      </c>
      <c r="I253" s="16">
        <f>F253*H253</f>
        <v/>
      </c>
      <c r="J253" s="9">
        <f>E253*I253</f>
        <v/>
      </c>
      <c r="K253" s="9" t="n">
        <v>0</v>
      </c>
      <c r="L253" s="16" t="n">
        <v>0</v>
      </c>
      <c r="M253" s="16" t="n">
        <v>0</v>
      </c>
      <c r="N253" s="16">
        <f>IF(L253&gt;0,IFERROR(VALUE(LEFT($D253,1)),1),0)</f>
        <v/>
      </c>
      <c r="O253" s="16">
        <f>L253*N253</f>
        <v/>
      </c>
      <c r="P253" s="9">
        <f>K253*O253</f>
        <v/>
      </c>
      <c r="Q253" s="9" t="n">
        <v>0</v>
      </c>
      <c r="R253" s="16" t="n">
        <v>0</v>
      </c>
      <c r="S253" s="16" t="n">
        <v>0</v>
      </c>
      <c r="T253" s="16">
        <f>IF(R253&gt;0,IFERROR(VALUE(LEFT($D253,1)),1),0)</f>
        <v/>
      </c>
      <c r="U253" s="16">
        <f>R253*T253</f>
        <v/>
      </c>
      <c r="V253" s="9">
        <f>Q253*U253</f>
        <v/>
      </c>
      <c r="W253" s="9" t="n">
        <v>120</v>
      </c>
      <c r="X253" s="16" t="n">
        <v>3</v>
      </c>
      <c r="Y253" s="16" t="n">
        <v>0</v>
      </c>
      <c r="Z253" s="16">
        <f>IF(X253&gt;0,IFERROR(VALUE(LEFT($D253,1)),1),0)</f>
        <v/>
      </c>
      <c r="AA253" s="16">
        <f>X253*Z253</f>
        <v/>
      </c>
      <c r="AB253" s="9">
        <f>W253*AA253</f>
        <v/>
      </c>
      <c r="AC253" s="9" t="n">
        <v>0</v>
      </c>
      <c r="AD253" s="16" t="n">
        <v>0</v>
      </c>
      <c r="AE253" s="16" t="n">
        <v>0</v>
      </c>
      <c r="AF253" s="16">
        <f>IF(AD253&gt;0,IFERROR(VALUE(LEFT($D253,1)),1),0)</f>
        <v/>
      </c>
      <c r="AG253" s="16">
        <f>AD253*AF253</f>
        <v/>
      </c>
      <c r="AH253" s="9">
        <f>AC253*AG253</f>
        <v/>
      </c>
      <c r="AI253" s="9" t="n">
        <v>0</v>
      </c>
      <c r="AJ253" s="16" t="n">
        <v>0</v>
      </c>
      <c r="AK253" s="16" t="n">
        <v>0</v>
      </c>
      <c r="AL253" s="16">
        <f>IF(AJ253&gt;0,IFERROR(VALUE(LEFT($D253,1)),1),0)</f>
        <v/>
      </c>
      <c r="AM253" s="16">
        <f>AJ253*AL253</f>
        <v/>
      </c>
      <c r="AN253" s="9">
        <f>AI253*AM253</f>
        <v/>
      </c>
    </row>
    <row r="254">
      <c r="A254" s="16" t="inlineStr">
        <is>
          <t>TK</t>
        </is>
      </c>
      <c r="B254" s="16" t="inlineStr">
        <is>
          <t>TK klatki piersiowej bez kontrastu</t>
        </is>
      </c>
      <c r="C254" s="16" t="inlineStr">
        <is>
          <t>TK Zwykłe</t>
        </is>
      </c>
      <c r="D254" s="16" t="inlineStr">
        <is>
          <t>1 okolica anatomiczna</t>
        </is>
      </c>
      <c r="E254" s="9" t="n">
        <v>0</v>
      </c>
      <c r="F254" s="16" t="n">
        <v>0</v>
      </c>
      <c r="G254" s="16" t="n">
        <v>0</v>
      </c>
      <c r="H254" s="16">
        <f>IF(F254&gt;0,IFERROR(VALUE(LEFT($D254,1)),1),0)</f>
        <v/>
      </c>
      <c r="I254" s="16">
        <f>F254*H254</f>
        <v/>
      </c>
      <c r="J254" s="9">
        <f>E254*I254</f>
        <v/>
      </c>
      <c r="K254" s="9" t="n">
        <v>0</v>
      </c>
      <c r="L254" s="16" t="n">
        <v>0</v>
      </c>
      <c r="M254" s="16" t="n">
        <v>0</v>
      </c>
      <c r="N254" s="16">
        <f>IF(L254&gt;0,IFERROR(VALUE(LEFT($D254,1)),1),0)</f>
        <v/>
      </c>
      <c r="O254" s="16">
        <f>L254*N254</f>
        <v/>
      </c>
      <c r="P254" s="9">
        <f>K254*O254</f>
        <v/>
      </c>
      <c r="Q254" s="9" t="n">
        <v>0</v>
      </c>
      <c r="R254" s="16" t="n">
        <v>0</v>
      </c>
      <c r="S254" s="16" t="n">
        <v>0</v>
      </c>
      <c r="T254" s="16">
        <f>IF(R254&gt;0,IFERROR(VALUE(LEFT($D254,1)),1),0)</f>
        <v/>
      </c>
      <c r="U254" s="16">
        <f>R254*T254</f>
        <v/>
      </c>
      <c r="V254" s="9">
        <f>Q254*U254</f>
        <v/>
      </c>
      <c r="W254" s="9" t="n">
        <v>120</v>
      </c>
      <c r="X254" s="16" t="n">
        <v>2</v>
      </c>
      <c r="Y254" s="16" t="n">
        <v>0</v>
      </c>
      <c r="Z254" s="16">
        <f>IF(X254&gt;0,IFERROR(VALUE(LEFT($D254,1)),1),0)</f>
        <v/>
      </c>
      <c r="AA254" s="16">
        <f>X254*Z254</f>
        <v/>
      </c>
      <c r="AB254" s="9">
        <f>W254*AA254</f>
        <v/>
      </c>
      <c r="AC254" s="9" t="n">
        <v>120</v>
      </c>
      <c r="AD254" s="16" t="n">
        <v>1</v>
      </c>
      <c r="AE254" s="16" t="n">
        <v>0</v>
      </c>
      <c r="AF254" s="16">
        <f>IF(AD254&gt;0,IFERROR(VALUE(LEFT($D254,1)),1),0)</f>
        <v/>
      </c>
      <c r="AG254" s="16">
        <f>AD254*AF254</f>
        <v/>
      </c>
      <c r="AH254" s="9">
        <f>AC254*AG254</f>
        <v/>
      </c>
      <c r="AI254" s="9" t="n">
        <v>0</v>
      </c>
      <c r="AJ254" s="16" t="n">
        <v>0</v>
      </c>
      <c r="AK254" s="16" t="n">
        <v>0</v>
      </c>
      <c r="AL254" s="16">
        <f>IF(AJ254&gt;0,IFERROR(VALUE(LEFT($D254,1)),1),0)</f>
        <v/>
      </c>
      <c r="AM254" s="16">
        <f>AJ254*AL254</f>
        <v/>
      </c>
      <c r="AN254" s="9">
        <f>AI254*AM254</f>
        <v/>
      </c>
    </row>
    <row r="255">
      <c r="A255" s="16" t="inlineStr">
        <is>
          <t>TK</t>
        </is>
      </c>
      <c r="B255" s="16" t="inlineStr">
        <is>
          <t>TK klatki piersiowej bez wzmocnienia kontrastowego</t>
        </is>
      </c>
      <c r="C255" s="16" t="inlineStr">
        <is>
          <t>TK Zwykłe</t>
        </is>
      </c>
      <c r="D255" s="16" t="inlineStr">
        <is>
          <t>1 okolica anatomiczna</t>
        </is>
      </c>
      <c r="E255" s="9" t="n">
        <v>0</v>
      </c>
      <c r="F255" s="16" t="n">
        <v>0</v>
      </c>
      <c r="G255" s="16" t="n">
        <v>0</v>
      </c>
      <c r="H255" s="16">
        <f>IF(F255&gt;0,IFERROR(VALUE(LEFT($D255,1)),1),0)</f>
        <v/>
      </c>
      <c r="I255" s="16">
        <f>F255*H255</f>
        <v/>
      </c>
      <c r="J255" s="9">
        <f>E255*I255</f>
        <v/>
      </c>
      <c r="K255" s="9" t="n">
        <v>0</v>
      </c>
      <c r="L255" s="16" t="n">
        <v>0</v>
      </c>
      <c r="M255" s="16" t="n">
        <v>0</v>
      </c>
      <c r="N255" s="16">
        <f>IF(L255&gt;0,IFERROR(VALUE(LEFT($D255,1)),1),0)</f>
        <v/>
      </c>
      <c r="O255" s="16">
        <f>L255*N255</f>
        <v/>
      </c>
      <c r="P255" s="9">
        <f>K255*O255</f>
        <v/>
      </c>
      <c r="Q255" s="9" t="n">
        <v>0</v>
      </c>
      <c r="R255" s="16" t="n">
        <v>0</v>
      </c>
      <c r="S255" s="16" t="n">
        <v>0</v>
      </c>
      <c r="T255" s="16">
        <f>IF(R255&gt;0,IFERROR(VALUE(LEFT($D255,1)),1),0)</f>
        <v/>
      </c>
      <c r="U255" s="16">
        <f>R255*T255</f>
        <v/>
      </c>
      <c r="V255" s="9">
        <f>Q255*U255</f>
        <v/>
      </c>
      <c r="W255" s="9" t="n">
        <v>120</v>
      </c>
      <c r="X255" s="16" t="n">
        <v>3</v>
      </c>
      <c r="Y255" s="16" t="n">
        <v>0</v>
      </c>
      <c r="Z255" s="16">
        <f>IF(X255&gt;0,IFERROR(VALUE(LEFT($D255,1)),1),0)</f>
        <v/>
      </c>
      <c r="AA255" s="16">
        <f>X255*Z255</f>
        <v/>
      </c>
      <c r="AB255" s="9">
        <f>W255*AA255</f>
        <v/>
      </c>
      <c r="AC255" s="9" t="n">
        <v>0</v>
      </c>
      <c r="AD255" s="16" t="n">
        <v>0</v>
      </c>
      <c r="AE255" s="16" t="n">
        <v>0</v>
      </c>
      <c r="AF255" s="16">
        <f>IF(AD255&gt;0,IFERROR(VALUE(LEFT($D255,1)),1),0)</f>
        <v/>
      </c>
      <c r="AG255" s="16">
        <f>AD255*AF255</f>
        <v/>
      </c>
      <c r="AH255" s="9">
        <f>AC255*AG255</f>
        <v/>
      </c>
      <c r="AI255" s="9" t="n">
        <v>0</v>
      </c>
      <c r="AJ255" s="16" t="n">
        <v>0</v>
      </c>
      <c r="AK255" s="16" t="n">
        <v>0</v>
      </c>
      <c r="AL255" s="16">
        <f>IF(AJ255&gt;0,IFERROR(VALUE(LEFT($D255,1)),1),0)</f>
        <v/>
      </c>
      <c r="AM255" s="16">
        <f>AJ255*AL255</f>
        <v/>
      </c>
      <c r="AN255" s="9">
        <f>AI255*AM255</f>
        <v/>
      </c>
    </row>
    <row r="256">
      <c r="A256" s="16" t="inlineStr">
        <is>
          <t>TK</t>
        </is>
      </c>
      <c r="B256" s="16" t="inlineStr">
        <is>
          <t>TK klatki piersiowej i j.brzusznej z kontrastem</t>
        </is>
      </c>
      <c r="C256" s="16" t="inlineStr">
        <is>
          <t>TK Zwykłe</t>
        </is>
      </c>
      <c r="D256" s="16" t="inlineStr">
        <is>
          <t>2 okolice anatomiczne</t>
        </is>
      </c>
      <c r="E256" s="9" t="n">
        <v>0</v>
      </c>
      <c r="F256" s="16" t="n">
        <v>0</v>
      </c>
      <c r="G256" s="16" t="n">
        <v>0</v>
      </c>
      <c r="H256" s="16">
        <f>IF(F256&gt;0,IFERROR(VALUE(LEFT($D256,1)),1),0)</f>
        <v/>
      </c>
      <c r="I256" s="16">
        <f>F256*H256</f>
        <v/>
      </c>
      <c r="J256" s="9">
        <f>E256*I256</f>
        <v/>
      </c>
      <c r="K256" s="9" t="n">
        <v>0</v>
      </c>
      <c r="L256" s="16" t="n">
        <v>0</v>
      </c>
      <c r="M256" s="16" t="n">
        <v>0</v>
      </c>
      <c r="N256" s="16">
        <f>IF(L256&gt;0,IFERROR(VALUE(LEFT($D256,1)),1),0)</f>
        <v/>
      </c>
      <c r="O256" s="16">
        <f>L256*N256</f>
        <v/>
      </c>
      <c r="P256" s="9">
        <f>K256*O256</f>
        <v/>
      </c>
      <c r="Q256" s="9" t="n">
        <v>0</v>
      </c>
      <c r="R256" s="16" t="n">
        <v>0</v>
      </c>
      <c r="S256" s="16" t="n">
        <v>0</v>
      </c>
      <c r="T256" s="16">
        <f>IF(R256&gt;0,IFERROR(VALUE(LEFT($D256,1)),1),0)</f>
        <v/>
      </c>
      <c r="U256" s="16">
        <f>R256*T256</f>
        <v/>
      </c>
      <c r="V256" s="9">
        <f>Q256*U256</f>
        <v/>
      </c>
      <c r="W256" s="9" t="n">
        <v>120</v>
      </c>
      <c r="X256" s="16" t="n">
        <v>1</v>
      </c>
      <c r="Y256" s="16" t="n">
        <v>2</v>
      </c>
      <c r="Z256" s="16">
        <f>IF(X256&gt;0,IFERROR(VALUE(LEFT($D256,1)),1),0)</f>
        <v/>
      </c>
      <c r="AA256" s="16">
        <f>X256*Z256</f>
        <v/>
      </c>
      <c r="AB256" s="9">
        <f>W256*AA256</f>
        <v/>
      </c>
      <c r="AC256" s="9" t="n">
        <v>0</v>
      </c>
      <c r="AD256" s="16" t="n">
        <v>0</v>
      </c>
      <c r="AE256" s="16" t="n">
        <v>0</v>
      </c>
      <c r="AF256" s="16">
        <f>IF(AD256&gt;0,IFERROR(VALUE(LEFT($D256,1)),1),0)</f>
        <v/>
      </c>
      <c r="AG256" s="16">
        <f>AD256*AF256</f>
        <v/>
      </c>
      <c r="AH256" s="9">
        <f>AC256*AG256</f>
        <v/>
      </c>
      <c r="AI256" s="9" t="n">
        <v>0</v>
      </c>
      <c r="AJ256" s="16" t="n">
        <v>0</v>
      </c>
      <c r="AK256" s="16" t="n">
        <v>0</v>
      </c>
      <c r="AL256" s="16">
        <f>IF(AJ256&gt;0,IFERROR(VALUE(LEFT($D256,1)),1),0)</f>
        <v/>
      </c>
      <c r="AM256" s="16">
        <f>AJ256*AL256</f>
        <v/>
      </c>
      <c r="AN256" s="9">
        <f>AI256*AM256</f>
        <v/>
      </c>
    </row>
    <row r="257">
      <c r="A257" s="16" t="inlineStr">
        <is>
          <t>TK</t>
        </is>
      </c>
      <c r="B257" s="16" t="inlineStr">
        <is>
          <t>TK klatki piersiowej z kontrastem</t>
        </is>
      </c>
      <c r="C257" s="16" t="inlineStr">
        <is>
          <t>TK Zwykłe</t>
        </is>
      </c>
      <c r="D257" s="16" t="inlineStr">
        <is>
          <t>1 okolica anatomiczna</t>
        </is>
      </c>
      <c r="E257" s="9" t="n">
        <v>0</v>
      </c>
      <c r="F257" s="16" t="n">
        <v>0</v>
      </c>
      <c r="G257" s="16" t="n">
        <v>0</v>
      </c>
      <c r="H257" s="16">
        <f>IF(F257&gt;0,IFERROR(VALUE(LEFT($D257,1)),1),0)</f>
        <v/>
      </c>
      <c r="I257" s="16">
        <f>F257*H257</f>
        <v/>
      </c>
      <c r="J257" s="9">
        <f>E257*I257</f>
        <v/>
      </c>
      <c r="K257" s="9" t="n">
        <v>0</v>
      </c>
      <c r="L257" s="16" t="n">
        <v>0</v>
      </c>
      <c r="M257" s="16" t="n">
        <v>0</v>
      </c>
      <c r="N257" s="16">
        <f>IF(L257&gt;0,IFERROR(VALUE(LEFT($D257,1)),1),0)</f>
        <v/>
      </c>
      <c r="O257" s="16">
        <f>L257*N257</f>
        <v/>
      </c>
      <c r="P257" s="9">
        <f>K257*O257</f>
        <v/>
      </c>
      <c r="Q257" s="9" t="n">
        <v>0</v>
      </c>
      <c r="R257" s="16" t="n">
        <v>0</v>
      </c>
      <c r="S257" s="16" t="n">
        <v>0</v>
      </c>
      <c r="T257" s="16">
        <f>IF(R257&gt;0,IFERROR(VALUE(LEFT($D257,1)),1),0)</f>
        <v/>
      </c>
      <c r="U257" s="16">
        <f>R257*T257</f>
        <v/>
      </c>
      <c r="V257" s="9">
        <f>Q257*U257</f>
        <v/>
      </c>
      <c r="W257" s="9" t="n">
        <v>120</v>
      </c>
      <c r="X257" s="16" t="n">
        <v>2</v>
      </c>
      <c r="Y257" s="16" t="n">
        <v>0</v>
      </c>
      <c r="Z257" s="16">
        <f>IF(X257&gt;0,IFERROR(VALUE(LEFT($D257,1)),1),0)</f>
        <v/>
      </c>
      <c r="AA257" s="16">
        <f>X257*Z257</f>
        <v/>
      </c>
      <c r="AB257" s="9">
        <f>W257*AA257</f>
        <v/>
      </c>
      <c r="AC257" s="9" t="n">
        <v>0</v>
      </c>
      <c r="AD257" s="16" t="n">
        <v>0</v>
      </c>
      <c r="AE257" s="16" t="n">
        <v>0</v>
      </c>
      <c r="AF257" s="16">
        <f>IF(AD257&gt;0,IFERROR(VALUE(LEFT($D257,1)),1),0)</f>
        <v/>
      </c>
      <c r="AG257" s="16">
        <f>AD257*AF257</f>
        <v/>
      </c>
      <c r="AH257" s="9">
        <f>AC257*AG257</f>
        <v/>
      </c>
      <c r="AI257" s="9" t="n">
        <v>110</v>
      </c>
      <c r="AJ257" s="16" t="n">
        <v>1</v>
      </c>
      <c r="AK257" s="16" t="n">
        <v>1</v>
      </c>
      <c r="AL257" s="16">
        <f>IF(AJ257&gt;0,IFERROR(VALUE(LEFT($D257,1)),1),0)</f>
        <v/>
      </c>
      <c r="AM257" s="16">
        <f>AJ257*AL257</f>
        <v/>
      </c>
      <c r="AN257" s="9">
        <f>AI257*AM257</f>
        <v/>
      </c>
    </row>
    <row r="258">
      <c r="A258" s="16" t="inlineStr">
        <is>
          <t>TK</t>
        </is>
      </c>
      <c r="B258" s="16" t="inlineStr">
        <is>
          <t>TK klatki piersiowej, j.brzusznej i miednicy</t>
        </is>
      </c>
      <c r="C258" s="16" t="inlineStr">
        <is>
          <t>TK Zwykłe</t>
        </is>
      </c>
      <c r="D258" s="16" t="inlineStr">
        <is>
          <t>3 okolice anatomiczne</t>
        </is>
      </c>
      <c r="E258" s="9" t="n">
        <v>0</v>
      </c>
      <c r="F258" s="16" t="n">
        <v>0</v>
      </c>
      <c r="G258" s="16" t="n">
        <v>0</v>
      </c>
      <c r="H258" s="16">
        <f>IF(F258&gt;0,IFERROR(VALUE(LEFT($D258,1)),1),0)</f>
        <v/>
      </c>
      <c r="I258" s="16">
        <f>F258*H258</f>
        <v/>
      </c>
      <c r="J258" s="9">
        <f>E258*I258</f>
        <v/>
      </c>
      <c r="K258" s="9" t="n">
        <v>0</v>
      </c>
      <c r="L258" s="16" t="n">
        <v>0</v>
      </c>
      <c r="M258" s="16" t="n">
        <v>0</v>
      </c>
      <c r="N258" s="16">
        <f>IF(L258&gt;0,IFERROR(VALUE(LEFT($D258,1)),1),0)</f>
        <v/>
      </c>
      <c r="O258" s="16">
        <f>L258*N258</f>
        <v/>
      </c>
      <c r="P258" s="9">
        <f>K258*O258</f>
        <v/>
      </c>
      <c r="Q258" s="9" t="n">
        <v>0</v>
      </c>
      <c r="R258" s="16" t="n">
        <v>0</v>
      </c>
      <c r="S258" s="16" t="n">
        <v>0</v>
      </c>
      <c r="T258" s="16">
        <f>IF(R258&gt;0,IFERROR(VALUE(LEFT($D258,1)),1),0)</f>
        <v/>
      </c>
      <c r="U258" s="16">
        <f>R258*T258</f>
        <v/>
      </c>
      <c r="V258" s="9">
        <f>Q258*U258</f>
        <v/>
      </c>
      <c r="W258" s="9" t="n">
        <v>120</v>
      </c>
      <c r="X258" s="16" t="n">
        <v>1</v>
      </c>
      <c r="Y258" s="16" t="n">
        <v>0</v>
      </c>
      <c r="Z258" s="16">
        <f>IF(X258&gt;0,IFERROR(VALUE(LEFT($D258,1)),1),0)</f>
        <v/>
      </c>
      <c r="AA258" s="16">
        <f>X258*Z258</f>
        <v/>
      </c>
      <c r="AB258" s="9">
        <f>W258*AA258</f>
        <v/>
      </c>
      <c r="AC258" s="9" t="n">
        <v>120</v>
      </c>
      <c r="AD258" s="16" t="n">
        <v>1</v>
      </c>
      <c r="AE258" s="16" t="n">
        <v>0</v>
      </c>
      <c r="AF258" s="16">
        <f>IF(AD258&gt;0,IFERROR(VALUE(LEFT($D258,1)),1),0)</f>
        <v/>
      </c>
      <c r="AG258" s="16">
        <f>AD258*AF258</f>
        <v/>
      </c>
      <c r="AH258" s="9">
        <f>AC258*AG258</f>
        <v/>
      </c>
      <c r="AI258" s="9" t="n">
        <v>0</v>
      </c>
      <c r="AJ258" s="16" t="n">
        <v>0</v>
      </c>
      <c r="AK258" s="16" t="n">
        <v>0</v>
      </c>
      <c r="AL258" s="16">
        <f>IF(AJ258&gt;0,IFERROR(VALUE(LEFT($D258,1)),1),0)</f>
        <v/>
      </c>
      <c r="AM258" s="16">
        <f>AJ258*AL258</f>
        <v/>
      </c>
      <c r="AN258" s="9">
        <f>AI258*AM258</f>
        <v/>
      </c>
    </row>
    <row r="259">
      <c r="A259" s="16" t="inlineStr">
        <is>
          <t>TK</t>
        </is>
      </c>
      <c r="B259" s="16" t="inlineStr">
        <is>
          <t>TK klatki piersiowej, jamy brzusznej i miednicy z kontrastem</t>
        </is>
      </c>
      <c r="C259" s="16" t="inlineStr">
        <is>
          <t>TK Zwykłe</t>
        </is>
      </c>
      <c r="D259" s="16" t="inlineStr">
        <is>
          <t>3 okolice anatomiczne</t>
        </is>
      </c>
      <c r="E259" s="9" t="n">
        <v>0</v>
      </c>
      <c r="F259" s="16" t="n">
        <v>0</v>
      </c>
      <c r="G259" s="16" t="n">
        <v>0</v>
      </c>
      <c r="H259" s="16">
        <f>IF(F259&gt;0,IFERROR(VALUE(LEFT($D259,1)),1),0)</f>
        <v/>
      </c>
      <c r="I259" s="16">
        <f>F259*H259</f>
        <v/>
      </c>
      <c r="J259" s="9">
        <f>E259*I259</f>
        <v/>
      </c>
      <c r="K259" s="9" t="n">
        <v>0</v>
      </c>
      <c r="L259" s="16" t="n">
        <v>0</v>
      </c>
      <c r="M259" s="16" t="n">
        <v>0</v>
      </c>
      <c r="N259" s="16">
        <f>IF(L259&gt;0,IFERROR(VALUE(LEFT($D259,1)),1),0)</f>
        <v/>
      </c>
      <c r="O259" s="16">
        <f>L259*N259</f>
        <v/>
      </c>
      <c r="P259" s="9">
        <f>K259*O259</f>
        <v/>
      </c>
      <c r="Q259" s="9" t="n">
        <v>0</v>
      </c>
      <c r="R259" s="16" t="n">
        <v>0</v>
      </c>
      <c r="S259" s="16" t="n">
        <v>0</v>
      </c>
      <c r="T259" s="16">
        <f>IF(R259&gt;0,IFERROR(VALUE(LEFT($D259,1)),1),0)</f>
        <v/>
      </c>
      <c r="U259" s="16">
        <f>R259*T259</f>
        <v/>
      </c>
      <c r="V259" s="9">
        <f>Q259*U259</f>
        <v/>
      </c>
      <c r="W259" s="9" t="n">
        <v>120</v>
      </c>
      <c r="X259" s="16" t="n">
        <v>1</v>
      </c>
      <c r="Y259" s="16" t="n">
        <v>0</v>
      </c>
      <c r="Z259" s="16">
        <f>IF(X259&gt;0,IFERROR(VALUE(LEFT($D259,1)),1),0)</f>
        <v/>
      </c>
      <c r="AA259" s="16">
        <f>X259*Z259</f>
        <v/>
      </c>
      <c r="AB259" s="9">
        <f>W259*AA259</f>
        <v/>
      </c>
      <c r="AC259" s="9" t="n">
        <v>0</v>
      </c>
      <c r="AD259" s="16" t="n">
        <v>0</v>
      </c>
      <c r="AE259" s="16" t="n">
        <v>0</v>
      </c>
      <c r="AF259" s="16">
        <f>IF(AD259&gt;0,IFERROR(VALUE(LEFT($D259,1)),1),0)</f>
        <v/>
      </c>
      <c r="AG259" s="16">
        <f>AD259*AF259</f>
        <v/>
      </c>
      <c r="AH259" s="9">
        <f>AC259*AG259</f>
        <v/>
      </c>
      <c r="AI259" s="9" t="n">
        <v>0</v>
      </c>
      <c r="AJ259" s="16" t="n">
        <v>0</v>
      </c>
      <c r="AK259" s="16" t="n">
        <v>0</v>
      </c>
      <c r="AL259" s="16">
        <f>IF(AJ259&gt;0,IFERROR(VALUE(LEFT($D259,1)),1),0)</f>
        <v/>
      </c>
      <c r="AM259" s="16">
        <f>AJ259*AL259</f>
        <v/>
      </c>
      <c r="AN259" s="9">
        <f>AI259*AM259</f>
        <v/>
      </c>
    </row>
    <row r="260">
      <c r="A260" s="16" t="inlineStr">
        <is>
          <t>TK</t>
        </is>
      </c>
      <c r="B260" s="16" t="inlineStr">
        <is>
          <t>TK klp brzucha i miednicy bez kontrastu</t>
        </is>
      </c>
      <c r="C260" s="16" t="inlineStr">
        <is>
          <t>TK Zwykłe</t>
        </is>
      </c>
      <c r="D260" s="16" t="inlineStr">
        <is>
          <t>3 okolice anatomiczne</t>
        </is>
      </c>
      <c r="E260" s="9" t="n">
        <v>0</v>
      </c>
      <c r="F260" s="16" t="n">
        <v>0</v>
      </c>
      <c r="G260" s="16" t="n">
        <v>0</v>
      </c>
      <c r="H260" s="16">
        <f>IF(F260&gt;0,IFERROR(VALUE(LEFT($D260,1)),1),0)</f>
        <v/>
      </c>
      <c r="I260" s="16">
        <f>F260*H260</f>
        <v/>
      </c>
      <c r="J260" s="9">
        <f>E260*I260</f>
        <v/>
      </c>
      <c r="K260" s="9" t="n">
        <v>0</v>
      </c>
      <c r="L260" s="16" t="n">
        <v>0</v>
      </c>
      <c r="M260" s="16" t="n">
        <v>0</v>
      </c>
      <c r="N260" s="16">
        <f>IF(L260&gt;0,IFERROR(VALUE(LEFT($D260,1)),1),0)</f>
        <v/>
      </c>
      <c r="O260" s="16">
        <f>L260*N260</f>
        <v/>
      </c>
      <c r="P260" s="9">
        <f>K260*O260</f>
        <v/>
      </c>
      <c r="Q260" s="9" t="n">
        <v>0</v>
      </c>
      <c r="R260" s="16" t="n">
        <v>0</v>
      </c>
      <c r="S260" s="16" t="n">
        <v>0</v>
      </c>
      <c r="T260" s="16">
        <f>IF(R260&gt;0,IFERROR(VALUE(LEFT($D260,1)),1),0)</f>
        <v/>
      </c>
      <c r="U260" s="16">
        <f>R260*T260</f>
        <v/>
      </c>
      <c r="V260" s="9">
        <f>Q260*U260</f>
        <v/>
      </c>
      <c r="W260" s="9" t="n">
        <v>120</v>
      </c>
      <c r="X260" s="16" t="n">
        <v>1</v>
      </c>
      <c r="Y260" s="16" t="n">
        <v>0</v>
      </c>
      <c r="Z260" s="16">
        <f>IF(X260&gt;0,IFERROR(VALUE(LEFT($D260,1)),1),0)</f>
        <v/>
      </c>
      <c r="AA260" s="16">
        <f>X260*Z260</f>
        <v/>
      </c>
      <c r="AB260" s="9">
        <f>W260*AA260</f>
        <v/>
      </c>
      <c r="AC260" s="9" t="n">
        <v>0</v>
      </c>
      <c r="AD260" s="16" t="n">
        <v>0</v>
      </c>
      <c r="AE260" s="16" t="n">
        <v>0</v>
      </c>
      <c r="AF260" s="16">
        <f>IF(AD260&gt;0,IFERROR(VALUE(LEFT($D260,1)),1),0)</f>
        <v/>
      </c>
      <c r="AG260" s="16">
        <f>AD260*AF260</f>
        <v/>
      </c>
      <c r="AH260" s="9">
        <f>AC260*AG260</f>
        <v/>
      </c>
      <c r="AI260" s="9" t="n">
        <v>0</v>
      </c>
      <c r="AJ260" s="16" t="n">
        <v>0</v>
      </c>
      <c r="AK260" s="16" t="n">
        <v>0</v>
      </c>
      <c r="AL260" s="16">
        <f>IF(AJ260&gt;0,IFERROR(VALUE(LEFT($D260,1)),1),0)</f>
        <v/>
      </c>
      <c r="AM260" s="16">
        <f>AJ260*AL260</f>
        <v/>
      </c>
      <c r="AN260" s="9">
        <f>AI260*AM260</f>
        <v/>
      </c>
    </row>
    <row r="261">
      <c r="A261" s="16" t="inlineStr">
        <is>
          <t>TK</t>
        </is>
      </c>
      <c r="B261" s="16" t="inlineStr">
        <is>
          <t>TK kości i/lub stawów k.górnej bez kontrastu</t>
        </is>
      </c>
      <c r="C261" s="16" t="inlineStr">
        <is>
          <t>TK Zwykłe</t>
        </is>
      </c>
      <c r="D261" s="16" t="inlineStr">
        <is>
          <t>1 okolica anatomiczna</t>
        </is>
      </c>
      <c r="E261" s="9" t="n">
        <v>0</v>
      </c>
      <c r="F261" s="16" t="n">
        <v>0</v>
      </c>
      <c r="G261" s="16" t="n">
        <v>0</v>
      </c>
      <c r="H261" s="16">
        <f>IF(F261&gt;0,IFERROR(VALUE(LEFT($D261,1)),1),0)</f>
        <v/>
      </c>
      <c r="I261" s="16">
        <f>F261*H261</f>
        <v/>
      </c>
      <c r="J261" s="9">
        <f>E261*I261</f>
        <v/>
      </c>
      <c r="K261" s="9" t="n">
        <v>0</v>
      </c>
      <c r="L261" s="16" t="n">
        <v>0</v>
      </c>
      <c r="M261" s="16" t="n">
        <v>0</v>
      </c>
      <c r="N261" s="16">
        <f>IF(L261&gt;0,IFERROR(VALUE(LEFT($D261,1)),1),0)</f>
        <v/>
      </c>
      <c r="O261" s="16">
        <f>L261*N261</f>
        <v/>
      </c>
      <c r="P261" s="9">
        <f>K261*O261</f>
        <v/>
      </c>
      <c r="Q261" s="9" t="n">
        <v>0</v>
      </c>
      <c r="R261" s="16" t="n">
        <v>0</v>
      </c>
      <c r="S261" s="16" t="n">
        <v>0</v>
      </c>
      <c r="T261" s="16">
        <f>IF(R261&gt;0,IFERROR(VALUE(LEFT($D261,1)),1),0)</f>
        <v/>
      </c>
      <c r="U261" s="16">
        <f>R261*T261</f>
        <v/>
      </c>
      <c r="V261" s="9">
        <f>Q261*U261</f>
        <v/>
      </c>
      <c r="W261" s="9" t="n">
        <v>140</v>
      </c>
      <c r="X261" s="16" t="n">
        <v>1</v>
      </c>
      <c r="Y261" s="16" t="n">
        <v>0</v>
      </c>
      <c r="Z261" s="16">
        <f>IF(X261&gt;0,IFERROR(VALUE(LEFT($D261,1)),1),0)</f>
        <v/>
      </c>
      <c r="AA261" s="16">
        <f>X261*Z261</f>
        <v/>
      </c>
      <c r="AB261" s="9">
        <f>W261*AA261</f>
        <v/>
      </c>
      <c r="AC261" s="9" t="n">
        <v>0</v>
      </c>
      <c r="AD261" s="16" t="n">
        <v>0</v>
      </c>
      <c r="AE261" s="16" t="n">
        <v>0</v>
      </c>
      <c r="AF261" s="16">
        <f>IF(AD261&gt;0,IFERROR(VALUE(LEFT($D261,1)),1),0)</f>
        <v/>
      </c>
      <c r="AG261" s="16">
        <f>AD261*AF261</f>
        <v/>
      </c>
      <c r="AH261" s="9">
        <f>AC261*AG261</f>
        <v/>
      </c>
      <c r="AI261" s="9" t="n">
        <v>0</v>
      </c>
      <c r="AJ261" s="16" t="n">
        <v>0</v>
      </c>
      <c r="AK261" s="16" t="n">
        <v>0</v>
      </c>
      <c r="AL261" s="16">
        <f>IF(AJ261&gt;0,IFERROR(VALUE(LEFT($D261,1)),1),0)</f>
        <v/>
      </c>
      <c r="AM261" s="16">
        <f>AJ261*AL261</f>
        <v/>
      </c>
      <c r="AN261" s="9">
        <f>AI261*AM261</f>
        <v/>
      </c>
    </row>
    <row r="262">
      <c r="A262" s="16" t="inlineStr">
        <is>
          <t>TK</t>
        </is>
      </c>
      <c r="B262" s="16" t="inlineStr">
        <is>
          <t>TK kręgosłupa lędźwiowo-krzyżowego bez wzmocnienia kontrastowego</t>
        </is>
      </c>
      <c r="C262" s="16" t="inlineStr">
        <is>
          <t>TK Zwykłe</t>
        </is>
      </c>
      <c r="D262" s="16" t="inlineStr">
        <is>
          <t>1 okolica anatomiczna</t>
        </is>
      </c>
      <c r="E262" s="9" t="n">
        <v>0</v>
      </c>
      <c r="F262" s="16" t="n">
        <v>0</v>
      </c>
      <c r="G262" s="16" t="n">
        <v>0</v>
      </c>
      <c r="H262" s="16">
        <f>IF(F262&gt;0,IFERROR(VALUE(LEFT($D262,1)),1),0)</f>
        <v/>
      </c>
      <c r="I262" s="16">
        <f>F262*H262</f>
        <v/>
      </c>
      <c r="J262" s="9">
        <f>E262*I262</f>
        <v/>
      </c>
      <c r="K262" s="9" t="n">
        <v>0</v>
      </c>
      <c r="L262" s="16" t="n">
        <v>0</v>
      </c>
      <c r="M262" s="16" t="n">
        <v>0</v>
      </c>
      <c r="N262" s="16">
        <f>IF(L262&gt;0,IFERROR(VALUE(LEFT($D262,1)),1),0)</f>
        <v/>
      </c>
      <c r="O262" s="16">
        <f>L262*N262</f>
        <v/>
      </c>
      <c r="P262" s="9">
        <f>K262*O262</f>
        <v/>
      </c>
      <c r="Q262" s="9" t="n">
        <v>0</v>
      </c>
      <c r="R262" s="16" t="n">
        <v>0</v>
      </c>
      <c r="S262" s="16" t="n">
        <v>0</v>
      </c>
      <c r="T262" s="16">
        <f>IF(R262&gt;0,IFERROR(VALUE(LEFT($D262,1)),1),0)</f>
        <v/>
      </c>
      <c r="U262" s="16">
        <f>R262*T262</f>
        <v/>
      </c>
      <c r="V262" s="9">
        <f>Q262*U262</f>
        <v/>
      </c>
      <c r="W262" s="9" t="n">
        <v>120</v>
      </c>
      <c r="X262" s="16" t="n">
        <v>1</v>
      </c>
      <c r="Y262" s="16" t="n">
        <v>0</v>
      </c>
      <c r="Z262" s="16">
        <f>IF(X262&gt;0,IFERROR(VALUE(LEFT($D262,1)),1),0)</f>
        <v/>
      </c>
      <c r="AA262" s="16">
        <f>X262*Z262</f>
        <v/>
      </c>
      <c r="AB262" s="9">
        <f>W262*AA262</f>
        <v/>
      </c>
      <c r="AC262" s="9" t="n">
        <v>0</v>
      </c>
      <c r="AD262" s="16" t="n">
        <v>0</v>
      </c>
      <c r="AE262" s="16" t="n">
        <v>0</v>
      </c>
      <c r="AF262" s="16">
        <f>IF(AD262&gt;0,IFERROR(VALUE(LEFT($D262,1)),1),0)</f>
        <v/>
      </c>
      <c r="AG262" s="16">
        <f>AD262*AF262</f>
        <v/>
      </c>
      <c r="AH262" s="9">
        <f>AC262*AG262</f>
        <v/>
      </c>
      <c r="AI262" s="9" t="n">
        <v>0</v>
      </c>
      <c r="AJ262" s="16" t="n">
        <v>0</v>
      </c>
      <c r="AK262" s="16" t="n">
        <v>0</v>
      </c>
      <c r="AL262" s="16">
        <f>IF(AJ262&gt;0,IFERROR(VALUE(LEFT($D262,1)),1),0)</f>
        <v/>
      </c>
      <c r="AM262" s="16">
        <f>AJ262*AL262</f>
        <v/>
      </c>
      <c r="AN262" s="9">
        <f>AI262*AM262</f>
        <v/>
      </c>
    </row>
    <row r="263">
      <c r="A263" s="16" t="inlineStr">
        <is>
          <t>TK</t>
        </is>
      </c>
      <c r="B263" s="16" t="inlineStr">
        <is>
          <t>TK kręgosłupa lędźwiowo-krzyżowego bez wzmocnienia kontrastwego</t>
        </is>
      </c>
      <c r="C263" s="16" t="inlineStr">
        <is>
          <t>TK Zwykłe</t>
        </is>
      </c>
      <c r="D263" s="16" t="inlineStr">
        <is>
          <t>1 okolica anatomiczna</t>
        </is>
      </c>
      <c r="E263" s="9" t="n">
        <v>0</v>
      </c>
      <c r="F263" s="16" t="n">
        <v>0</v>
      </c>
      <c r="G263" s="16" t="n">
        <v>0</v>
      </c>
      <c r="H263" s="16">
        <f>IF(F263&gt;0,IFERROR(VALUE(LEFT($D263,1)),1),0)</f>
        <v/>
      </c>
      <c r="I263" s="16">
        <f>F263*H263</f>
        <v/>
      </c>
      <c r="J263" s="9">
        <f>E263*I263</f>
        <v/>
      </c>
      <c r="K263" s="9" t="n">
        <v>0</v>
      </c>
      <c r="L263" s="16" t="n">
        <v>0</v>
      </c>
      <c r="M263" s="16" t="n">
        <v>0</v>
      </c>
      <c r="N263" s="16">
        <f>IF(L263&gt;0,IFERROR(VALUE(LEFT($D263,1)),1),0)</f>
        <v/>
      </c>
      <c r="O263" s="16">
        <f>L263*N263</f>
        <v/>
      </c>
      <c r="P263" s="9">
        <f>K263*O263</f>
        <v/>
      </c>
      <c r="Q263" s="9" t="n">
        <v>0</v>
      </c>
      <c r="R263" s="16" t="n">
        <v>0</v>
      </c>
      <c r="S263" s="16" t="n">
        <v>0</v>
      </c>
      <c r="T263" s="16">
        <f>IF(R263&gt;0,IFERROR(VALUE(LEFT($D263,1)),1),0)</f>
        <v/>
      </c>
      <c r="U263" s="16">
        <f>R263*T263</f>
        <v/>
      </c>
      <c r="V263" s="9">
        <f>Q263*U263</f>
        <v/>
      </c>
      <c r="W263" s="9" t="n">
        <v>120</v>
      </c>
      <c r="X263" s="16" t="n">
        <v>1</v>
      </c>
      <c r="Y263" s="16" t="n">
        <v>0</v>
      </c>
      <c r="Z263" s="16">
        <f>IF(X263&gt;0,IFERROR(VALUE(LEFT($D263,1)),1),0)</f>
        <v/>
      </c>
      <c r="AA263" s="16">
        <f>X263*Z263</f>
        <v/>
      </c>
      <c r="AB263" s="9">
        <f>W263*AA263</f>
        <v/>
      </c>
      <c r="AC263" s="9" t="n">
        <v>0</v>
      </c>
      <c r="AD263" s="16" t="n">
        <v>0</v>
      </c>
      <c r="AE263" s="16" t="n">
        <v>0</v>
      </c>
      <c r="AF263" s="16">
        <f>IF(AD263&gt;0,IFERROR(VALUE(LEFT($D263,1)),1),0)</f>
        <v/>
      </c>
      <c r="AG263" s="16">
        <f>AD263*AF263</f>
        <v/>
      </c>
      <c r="AH263" s="9">
        <f>AC263*AG263</f>
        <v/>
      </c>
      <c r="AI263" s="9" t="n">
        <v>0</v>
      </c>
      <c r="AJ263" s="16" t="n">
        <v>0</v>
      </c>
      <c r="AK263" s="16" t="n">
        <v>0</v>
      </c>
      <c r="AL263" s="16">
        <f>IF(AJ263&gt;0,IFERROR(VALUE(LEFT($D263,1)),1),0)</f>
        <v/>
      </c>
      <c r="AM263" s="16">
        <f>AJ263*AL263</f>
        <v/>
      </c>
      <c r="AN263" s="9">
        <f>AI263*AM263</f>
        <v/>
      </c>
    </row>
    <row r="264">
      <c r="A264" s="16" t="inlineStr">
        <is>
          <t>TK</t>
        </is>
      </c>
      <c r="B264" s="16" t="inlineStr">
        <is>
          <t>TK kręgosłupa odc. C</t>
        </is>
      </c>
      <c r="C264" s="16" t="inlineStr">
        <is>
          <t>TK Zwykłe</t>
        </is>
      </c>
      <c r="D264" s="16" t="inlineStr">
        <is>
          <t>1 okolica anatomiczna</t>
        </is>
      </c>
      <c r="E264" s="9" t="n">
        <v>0</v>
      </c>
      <c r="F264" s="16" t="n">
        <v>0</v>
      </c>
      <c r="G264" s="16" t="n">
        <v>0</v>
      </c>
      <c r="H264" s="16">
        <f>IF(F264&gt;0,IFERROR(VALUE(LEFT($D264,1)),1),0)</f>
        <v/>
      </c>
      <c r="I264" s="16">
        <f>F264*H264</f>
        <v/>
      </c>
      <c r="J264" s="9">
        <f>E264*I264</f>
        <v/>
      </c>
      <c r="K264" s="9" t="n">
        <v>0</v>
      </c>
      <c r="L264" s="16" t="n">
        <v>0</v>
      </c>
      <c r="M264" s="16" t="n">
        <v>0</v>
      </c>
      <c r="N264" s="16">
        <f>IF(L264&gt;0,IFERROR(VALUE(LEFT($D264,1)),1),0)</f>
        <v/>
      </c>
      <c r="O264" s="16">
        <f>L264*N264</f>
        <v/>
      </c>
      <c r="P264" s="9">
        <f>K264*O264</f>
        <v/>
      </c>
      <c r="Q264" s="9" t="n">
        <v>0</v>
      </c>
      <c r="R264" s="16" t="n">
        <v>0</v>
      </c>
      <c r="S264" s="16" t="n">
        <v>0</v>
      </c>
      <c r="T264" s="16">
        <f>IF(R264&gt;0,IFERROR(VALUE(LEFT($D264,1)),1),0)</f>
        <v/>
      </c>
      <c r="U264" s="16">
        <f>R264*T264</f>
        <v/>
      </c>
      <c r="V264" s="9">
        <f>Q264*U264</f>
        <v/>
      </c>
      <c r="W264" s="9" t="n">
        <v>120</v>
      </c>
      <c r="X264" s="16" t="n">
        <v>2</v>
      </c>
      <c r="Y264" s="16" t="n">
        <v>0</v>
      </c>
      <c r="Z264" s="16">
        <f>IF(X264&gt;0,IFERROR(VALUE(LEFT($D264,1)),1),0)</f>
        <v/>
      </c>
      <c r="AA264" s="16">
        <f>X264*Z264</f>
        <v/>
      </c>
      <c r="AB264" s="9">
        <f>W264*AA264</f>
        <v/>
      </c>
      <c r="AC264" s="9" t="n">
        <v>0</v>
      </c>
      <c r="AD264" s="16" t="n">
        <v>0</v>
      </c>
      <c r="AE264" s="16" t="n">
        <v>0</v>
      </c>
      <c r="AF264" s="16">
        <f>IF(AD264&gt;0,IFERROR(VALUE(LEFT($D264,1)),1),0)</f>
        <v/>
      </c>
      <c r="AG264" s="16">
        <f>AD264*AF264</f>
        <v/>
      </c>
      <c r="AH264" s="9">
        <f>AC264*AG264</f>
        <v/>
      </c>
      <c r="AI264" s="9" t="n">
        <v>0</v>
      </c>
      <c r="AJ264" s="16" t="n">
        <v>0</v>
      </c>
      <c r="AK264" s="16" t="n">
        <v>0</v>
      </c>
      <c r="AL264" s="16">
        <f>IF(AJ264&gt;0,IFERROR(VALUE(LEFT($D264,1)),1),0)</f>
        <v/>
      </c>
      <c r="AM264" s="16">
        <f>AJ264*AL264</f>
        <v/>
      </c>
      <c r="AN264" s="9">
        <f>AI264*AM264</f>
        <v/>
      </c>
    </row>
    <row r="265">
      <c r="A265" s="16" t="inlineStr">
        <is>
          <t>TK</t>
        </is>
      </c>
      <c r="B265" s="16" t="inlineStr">
        <is>
          <t>TK kręgosłupa odc. L/S</t>
        </is>
      </c>
      <c r="C265" s="16" t="inlineStr">
        <is>
          <t>TK Zwykłe</t>
        </is>
      </c>
      <c r="D265" s="16" t="inlineStr">
        <is>
          <t>1 okolica anatomiczna</t>
        </is>
      </c>
      <c r="E265" s="9" t="n">
        <v>0</v>
      </c>
      <c r="F265" s="16" t="n">
        <v>0</v>
      </c>
      <c r="G265" s="16" t="n">
        <v>0</v>
      </c>
      <c r="H265" s="16">
        <f>IF(F265&gt;0,IFERROR(VALUE(LEFT($D265,1)),1),0)</f>
        <v/>
      </c>
      <c r="I265" s="16">
        <f>F265*H265</f>
        <v/>
      </c>
      <c r="J265" s="9">
        <f>E265*I265</f>
        <v/>
      </c>
      <c r="K265" s="9" t="n">
        <v>0</v>
      </c>
      <c r="L265" s="16" t="n">
        <v>0</v>
      </c>
      <c r="M265" s="16" t="n">
        <v>0</v>
      </c>
      <c r="N265" s="16">
        <f>IF(L265&gt;0,IFERROR(VALUE(LEFT($D265,1)),1),0)</f>
        <v/>
      </c>
      <c r="O265" s="16">
        <f>L265*N265</f>
        <v/>
      </c>
      <c r="P265" s="9">
        <f>K265*O265</f>
        <v/>
      </c>
      <c r="Q265" s="9" t="n">
        <v>0</v>
      </c>
      <c r="R265" s="16" t="n">
        <v>0</v>
      </c>
      <c r="S265" s="16" t="n">
        <v>0</v>
      </c>
      <c r="T265" s="16">
        <f>IF(R265&gt;0,IFERROR(VALUE(LEFT($D265,1)),1),0)</f>
        <v/>
      </c>
      <c r="U265" s="16">
        <f>R265*T265</f>
        <v/>
      </c>
      <c r="V265" s="9">
        <f>Q265*U265</f>
        <v/>
      </c>
      <c r="W265" s="9" t="n">
        <v>120</v>
      </c>
      <c r="X265" s="16" t="n">
        <v>2</v>
      </c>
      <c r="Y265" s="16" t="n">
        <v>0</v>
      </c>
      <c r="Z265" s="16">
        <f>IF(X265&gt;0,IFERROR(VALUE(LEFT($D265,1)),1),0)</f>
        <v/>
      </c>
      <c r="AA265" s="16">
        <f>X265*Z265</f>
        <v/>
      </c>
      <c r="AB265" s="9">
        <f>W265*AA265</f>
        <v/>
      </c>
      <c r="AC265" s="9" t="n">
        <v>120</v>
      </c>
      <c r="AD265" s="16" t="n">
        <v>1</v>
      </c>
      <c r="AE265" s="16" t="n">
        <v>1</v>
      </c>
      <c r="AF265" s="16">
        <f>IF(AD265&gt;0,IFERROR(VALUE(LEFT($D265,1)),1),0)</f>
        <v/>
      </c>
      <c r="AG265" s="16">
        <f>AD265*AF265</f>
        <v/>
      </c>
      <c r="AH265" s="9">
        <f>AC265*AG265</f>
        <v/>
      </c>
      <c r="AI265" s="9" t="n">
        <v>0</v>
      </c>
      <c r="AJ265" s="16" t="n">
        <v>0</v>
      </c>
      <c r="AK265" s="16" t="n">
        <v>0</v>
      </c>
      <c r="AL265" s="16">
        <f>IF(AJ265&gt;0,IFERROR(VALUE(LEFT($D265,1)),1),0)</f>
        <v/>
      </c>
      <c r="AM265" s="16">
        <f>AJ265*AL265</f>
        <v/>
      </c>
      <c r="AN265" s="9">
        <f>AI265*AM265</f>
        <v/>
      </c>
    </row>
    <row r="266">
      <c r="A266" s="16" t="inlineStr">
        <is>
          <t>TK</t>
        </is>
      </c>
      <c r="B266" s="16" t="inlineStr">
        <is>
          <t>TK kręgosłupa piersiowego bez wzmocnienia kontrastowego</t>
        </is>
      </c>
      <c r="C266" s="16" t="inlineStr">
        <is>
          <t>TK Zwykłe</t>
        </is>
      </c>
      <c r="D266" s="16" t="inlineStr">
        <is>
          <t>1 okolica anatomiczna</t>
        </is>
      </c>
      <c r="E266" s="9" t="n">
        <v>0</v>
      </c>
      <c r="F266" s="16" t="n">
        <v>0</v>
      </c>
      <c r="G266" s="16" t="n">
        <v>0</v>
      </c>
      <c r="H266" s="16">
        <f>IF(F266&gt;0,IFERROR(VALUE(LEFT($D266,1)),1),0)</f>
        <v/>
      </c>
      <c r="I266" s="16">
        <f>F266*H266</f>
        <v/>
      </c>
      <c r="J266" s="9">
        <f>E266*I266</f>
        <v/>
      </c>
      <c r="K266" s="9" t="n">
        <v>0</v>
      </c>
      <c r="L266" s="16" t="n">
        <v>0</v>
      </c>
      <c r="M266" s="16" t="n">
        <v>0</v>
      </c>
      <c r="N266" s="16">
        <f>IF(L266&gt;0,IFERROR(VALUE(LEFT($D266,1)),1),0)</f>
        <v/>
      </c>
      <c r="O266" s="16">
        <f>L266*N266</f>
        <v/>
      </c>
      <c r="P266" s="9">
        <f>K266*O266</f>
        <v/>
      </c>
      <c r="Q266" s="9" t="n">
        <v>0</v>
      </c>
      <c r="R266" s="16" t="n">
        <v>0</v>
      </c>
      <c r="S266" s="16" t="n">
        <v>0</v>
      </c>
      <c r="T266" s="16">
        <f>IF(R266&gt;0,IFERROR(VALUE(LEFT($D266,1)),1),0)</f>
        <v/>
      </c>
      <c r="U266" s="16">
        <f>R266*T266</f>
        <v/>
      </c>
      <c r="V266" s="9">
        <f>Q266*U266</f>
        <v/>
      </c>
      <c r="W266" s="9" t="n">
        <v>120</v>
      </c>
      <c r="X266" s="16" t="n">
        <v>1</v>
      </c>
      <c r="Y266" s="16" t="n">
        <v>0</v>
      </c>
      <c r="Z266" s="16">
        <f>IF(X266&gt;0,IFERROR(VALUE(LEFT($D266,1)),1),0)</f>
        <v/>
      </c>
      <c r="AA266" s="16">
        <f>X266*Z266</f>
        <v/>
      </c>
      <c r="AB266" s="9">
        <f>W266*AA266</f>
        <v/>
      </c>
      <c r="AC266" s="9" t="n">
        <v>0</v>
      </c>
      <c r="AD266" s="16" t="n">
        <v>0</v>
      </c>
      <c r="AE266" s="16" t="n">
        <v>0</v>
      </c>
      <c r="AF266" s="16">
        <f>IF(AD266&gt;0,IFERROR(VALUE(LEFT($D266,1)),1),0)</f>
        <v/>
      </c>
      <c r="AG266" s="16">
        <f>AD266*AF266</f>
        <v/>
      </c>
      <c r="AH266" s="9">
        <f>AC266*AG266</f>
        <v/>
      </c>
      <c r="AI266" s="9" t="n">
        <v>0</v>
      </c>
      <c r="AJ266" s="16" t="n">
        <v>0</v>
      </c>
      <c r="AK266" s="16" t="n">
        <v>0</v>
      </c>
      <c r="AL266" s="16">
        <f>IF(AJ266&gt;0,IFERROR(VALUE(LEFT($D266,1)),1),0)</f>
        <v/>
      </c>
      <c r="AM266" s="16">
        <f>AJ266*AL266</f>
        <v/>
      </c>
      <c r="AN266" s="9">
        <f>AI266*AM266</f>
        <v/>
      </c>
    </row>
    <row r="267">
      <c r="A267" s="16" t="inlineStr">
        <is>
          <t>TK</t>
        </is>
      </c>
      <c r="B267" s="16" t="inlineStr">
        <is>
          <t>TK kręgosłupa szyjnego bez wzmocnienia kontrastowego</t>
        </is>
      </c>
      <c r="C267" s="16" t="inlineStr">
        <is>
          <t>TK Zwykłe</t>
        </is>
      </c>
      <c r="D267" s="16" t="inlineStr">
        <is>
          <t>1 okolica anatomiczna</t>
        </is>
      </c>
      <c r="E267" s="9" t="n">
        <v>0</v>
      </c>
      <c r="F267" s="16" t="n">
        <v>0</v>
      </c>
      <c r="G267" s="16" t="n">
        <v>0</v>
      </c>
      <c r="H267" s="16">
        <f>IF(F267&gt;0,IFERROR(VALUE(LEFT($D267,1)),1),0)</f>
        <v/>
      </c>
      <c r="I267" s="16">
        <f>F267*H267</f>
        <v/>
      </c>
      <c r="J267" s="9">
        <f>E267*I267</f>
        <v/>
      </c>
      <c r="K267" s="9" t="n">
        <v>0</v>
      </c>
      <c r="L267" s="16" t="n">
        <v>0</v>
      </c>
      <c r="M267" s="16" t="n">
        <v>0</v>
      </c>
      <c r="N267" s="16">
        <f>IF(L267&gt;0,IFERROR(VALUE(LEFT($D267,1)),1),0)</f>
        <v/>
      </c>
      <c r="O267" s="16">
        <f>L267*N267</f>
        <v/>
      </c>
      <c r="P267" s="9">
        <f>K267*O267</f>
        <v/>
      </c>
      <c r="Q267" s="9" t="n">
        <v>0</v>
      </c>
      <c r="R267" s="16" t="n">
        <v>0</v>
      </c>
      <c r="S267" s="16" t="n">
        <v>0</v>
      </c>
      <c r="T267" s="16">
        <f>IF(R267&gt;0,IFERROR(VALUE(LEFT($D267,1)),1),0)</f>
        <v/>
      </c>
      <c r="U267" s="16">
        <f>R267*T267</f>
        <v/>
      </c>
      <c r="V267" s="9">
        <f>Q267*U267</f>
        <v/>
      </c>
      <c r="W267" s="9" t="n">
        <v>120</v>
      </c>
      <c r="X267" s="16" t="n">
        <v>2</v>
      </c>
      <c r="Y267" s="16" t="n">
        <v>0</v>
      </c>
      <c r="Z267" s="16">
        <f>IF(X267&gt;0,IFERROR(VALUE(LEFT($D267,1)),1),0)</f>
        <v/>
      </c>
      <c r="AA267" s="16">
        <f>X267*Z267</f>
        <v/>
      </c>
      <c r="AB267" s="9">
        <f>W267*AA267</f>
        <v/>
      </c>
      <c r="AC267" s="9" t="n">
        <v>0</v>
      </c>
      <c r="AD267" s="16" t="n">
        <v>0</v>
      </c>
      <c r="AE267" s="16" t="n">
        <v>0</v>
      </c>
      <c r="AF267" s="16">
        <f>IF(AD267&gt;0,IFERROR(VALUE(LEFT($D267,1)),1),0)</f>
        <v/>
      </c>
      <c r="AG267" s="16">
        <f>AD267*AF267</f>
        <v/>
      </c>
      <c r="AH267" s="9">
        <f>AC267*AG267</f>
        <v/>
      </c>
      <c r="AI267" s="9" t="n">
        <v>0</v>
      </c>
      <c r="AJ267" s="16" t="n">
        <v>0</v>
      </c>
      <c r="AK267" s="16" t="n">
        <v>0</v>
      </c>
      <c r="AL267" s="16">
        <f>IF(AJ267&gt;0,IFERROR(VALUE(LEFT($D267,1)),1),0)</f>
        <v/>
      </c>
      <c r="AM267" s="16">
        <f>AJ267*AL267</f>
        <v/>
      </c>
      <c r="AN267" s="9">
        <f>AI267*AM267</f>
        <v/>
      </c>
    </row>
    <row r="268">
      <c r="A268" s="16" t="inlineStr">
        <is>
          <t>TK</t>
        </is>
      </c>
      <c r="B268" s="16" t="inlineStr">
        <is>
          <t>TK kręgosłupa szyjnego przeglądowa</t>
        </is>
      </c>
      <c r="C268" s="16" t="inlineStr">
        <is>
          <t>TK Zwykłe</t>
        </is>
      </c>
      <c r="D268" s="16" t="inlineStr">
        <is>
          <t>1 okolica anatomiczna</t>
        </is>
      </c>
      <c r="E268" s="9" t="n">
        <v>0</v>
      </c>
      <c r="F268" s="16" t="n">
        <v>0</v>
      </c>
      <c r="G268" s="16" t="n">
        <v>0</v>
      </c>
      <c r="H268" s="16">
        <f>IF(F268&gt;0,IFERROR(VALUE(LEFT($D268,1)),1),0)</f>
        <v/>
      </c>
      <c r="I268" s="16">
        <f>F268*H268</f>
        <v/>
      </c>
      <c r="J268" s="9">
        <f>E268*I268</f>
        <v/>
      </c>
      <c r="K268" s="9" t="n">
        <v>0</v>
      </c>
      <c r="L268" s="16" t="n">
        <v>0</v>
      </c>
      <c r="M268" s="16" t="n">
        <v>0</v>
      </c>
      <c r="N268" s="16">
        <f>IF(L268&gt;0,IFERROR(VALUE(LEFT($D268,1)),1),0)</f>
        <v/>
      </c>
      <c r="O268" s="16">
        <f>L268*N268</f>
        <v/>
      </c>
      <c r="P268" s="9">
        <f>K268*O268</f>
        <v/>
      </c>
      <c r="Q268" s="9" t="n">
        <v>0</v>
      </c>
      <c r="R268" s="16" t="n">
        <v>0</v>
      </c>
      <c r="S268" s="16" t="n">
        <v>0</v>
      </c>
      <c r="T268" s="16">
        <f>IF(R268&gt;0,IFERROR(VALUE(LEFT($D268,1)),1),0)</f>
        <v/>
      </c>
      <c r="U268" s="16">
        <f>R268*T268</f>
        <v/>
      </c>
      <c r="V268" s="9">
        <f>Q268*U268</f>
        <v/>
      </c>
      <c r="W268" s="9" t="n">
        <v>120</v>
      </c>
      <c r="X268" s="16" t="n">
        <v>1</v>
      </c>
      <c r="Y268" s="16" t="n">
        <v>0</v>
      </c>
      <c r="Z268" s="16">
        <f>IF(X268&gt;0,IFERROR(VALUE(LEFT($D268,1)),1),0)</f>
        <v/>
      </c>
      <c r="AA268" s="16">
        <f>X268*Z268</f>
        <v/>
      </c>
      <c r="AB268" s="9">
        <f>W268*AA268</f>
        <v/>
      </c>
      <c r="AC268" s="9" t="n">
        <v>0</v>
      </c>
      <c r="AD268" s="16" t="n">
        <v>0</v>
      </c>
      <c r="AE268" s="16" t="n">
        <v>0</v>
      </c>
      <c r="AF268" s="16">
        <f>IF(AD268&gt;0,IFERROR(VALUE(LEFT($D268,1)),1),0)</f>
        <v/>
      </c>
      <c r="AG268" s="16">
        <f>AD268*AF268</f>
        <v/>
      </c>
      <c r="AH268" s="9">
        <f>AC268*AG268</f>
        <v/>
      </c>
      <c r="AI268" s="9" t="n">
        <v>0</v>
      </c>
      <c r="AJ268" s="16" t="n">
        <v>0</v>
      </c>
      <c r="AK268" s="16" t="n">
        <v>0</v>
      </c>
      <c r="AL268" s="16">
        <f>IF(AJ268&gt;0,IFERROR(VALUE(LEFT($D268,1)),1),0)</f>
        <v/>
      </c>
      <c r="AM268" s="16">
        <f>AJ268*AL268</f>
        <v/>
      </c>
      <c r="AN268" s="9">
        <f>AI268*AM268</f>
        <v/>
      </c>
    </row>
    <row r="269">
      <c r="A269" s="16" t="inlineStr">
        <is>
          <t>TK</t>
        </is>
      </c>
      <c r="B269" s="16" t="inlineStr">
        <is>
          <t>TK kręgosłupa – odcinek lędźwiowy</t>
        </is>
      </c>
      <c r="C269" s="16" t="inlineStr">
        <is>
          <t>TK Zwykłe</t>
        </is>
      </c>
      <c r="D269" s="16" t="inlineStr">
        <is>
          <t>1 okolica anatomiczna</t>
        </is>
      </c>
      <c r="E269" s="9" t="n">
        <v>0</v>
      </c>
      <c r="F269" s="16" t="n">
        <v>0</v>
      </c>
      <c r="G269" s="16" t="n">
        <v>0</v>
      </c>
      <c r="H269" s="16">
        <f>IF(F269&gt;0,IFERROR(VALUE(LEFT($D269,1)),1),0)</f>
        <v/>
      </c>
      <c r="I269" s="16">
        <f>F269*H269</f>
        <v/>
      </c>
      <c r="J269" s="9">
        <f>E269*I269</f>
        <v/>
      </c>
      <c r="K269" s="9" t="n">
        <v>0</v>
      </c>
      <c r="L269" s="16" t="n">
        <v>0</v>
      </c>
      <c r="M269" s="16" t="n">
        <v>0</v>
      </c>
      <c r="N269" s="16">
        <f>IF(L269&gt;0,IFERROR(VALUE(LEFT($D269,1)),1),0)</f>
        <v/>
      </c>
      <c r="O269" s="16">
        <f>L269*N269</f>
        <v/>
      </c>
      <c r="P269" s="9">
        <f>K269*O269</f>
        <v/>
      </c>
      <c r="Q269" s="9" t="n">
        <v>0</v>
      </c>
      <c r="R269" s="16" t="n">
        <v>0</v>
      </c>
      <c r="S269" s="16" t="n">
        <v>0</v>
      </c>
      <c r="T269" s="16">
        <f>IF(R269&gt;0,IFERROR(VALUE(LEFT($D269,1)),1),0)</f>
        <v/>
      </c>
      <c r="U269" s="16">
        <f>R269*T269</f>
        <v/>
      </c>
      <c r="V269" s="9">
        <f>Q269*U269</f>
        <v/>
      </c>
      <c r="W269" s="9" t="n">
        <v>120</v>
      </c>
      <c r="X269" s="16" t="n">
        <v>1</v>
      </c>
      <c r="Y269" s="16" t="n">
        <v>0</v>
      </c>
      <c r="Z269" s="16">
        <f>IF(X269&gt;0,IFERROR(VALUE(LEFT($D269,1)),1),0)</f>
        <v/>
      </c>
      <c r="AA269" s="16">
        <f>X269*Z269</f>
        <v/>
      </c>
      <c r="AB269" s="9">
        <f>W269*AA269</f>
        <v/>
      </c>
      <c r="AC269" s="9" t="n">
        <v>0</v>
      </c>
      <c r="AD269" s="16" t="n">
        <v>0</v>
      </c>
      <c r="AE269" s="16" t="n">
        <v>0</v>
      </c>
      <c r="AF269" s="16">
        <f>IF(AD269&gt;0,IFERROR(VALUE(LEFT($D269,1)),1),0)</f>
        <v/>
      </c>
      <c r="AG269" s="16">
        <f>AD269*AF269</f>
        <v/>
      </c>
      <c r="AH269" s="9">
        <f>AC269*AG269</f>
        <v/>
      </c>
      <c r="AI269" s="9" t="n">
        <v>0</v>
      </c>
      <c r="AJ269" s="16" t="n">
        <v>0</v>
      </c>
      <c r="AK269" s="16" t="n">
        <v>0</v>
      </c>
      <c r="AL269" s="16">
        <f>IF(AJ269&gt;0,IFERROR(VALUE(LEFT($D269,1)),1),0)</f>
        <v/>
      </c>
      <c r="AM269" s="16">
        <f>AJ269*AL269</f>
        <v/>
      </c>
      <c r="AN269" s="9">
        <f>AI269*AM269</f>
        <v/>
      </c>
    </row>
    <row r="270">
      <c r="A270" s="16" t="inlineStr">
        <is>
          <t>TK</t>
        </is>
      </c>
      <c r="B270" s="16" t="inlineStr">
        <is>
          <t>TK kręgosłupa – odcinek szyjny</t>
        </is>
      </c>
      <c r="C270" s="16" t="inlineStr">
        <is>
          <t>TK Zwykłe</t>
        </is>
      </c>
      <c r="D270" s="16" t="inlineStr">
        <is>
          <t>1 okolica anatomiczna</t>
        </is>
      </c>
      <c r="E270" s="9" t="n">
        <v>0</v>
      </c>
      <c r="F270" s="16" t="n">
        <v>0</v>
      </c>
      <c r="G270" s="16" t="n">
        <v>0</v>
      </c>
      <c r="H270" s="16">
        <f>IF(F270&gt;0,IFERROR(VALUE(LEFT($D270,1)),1),0)</f>
        <v/>
      </c>
      <c r="I270" s="16">
        <f>F270*H270</f>
        <v/>
      </c>
      <c r="J270" s="9">
        <f>E270*I270</f>
        <v/>
      </c>
      <c r="K270" s="9" t="n">
        <v>0</v>
      </c>
      <c r="L270" s="16" t="n">
        <v>0</v>
      </c>
      <c r="M270" s="16" t="n">
        <v>0</v>
      </c>
      <c r="N270" s="16">
        <f>IF(L270&gt;0,IFERROR(VALUE(LEFT($D270,1)),1),0)</f>
        <v/>
      </c>
      <c r="O270" s="16">
        <f>L270*N270</f>
        <v/>
      </c>
      <c r="P270" s="9">
        <f>K270*O270</f>
        <v/>
      </c>
      <c r="Q270" s="9" t="n">
        <v>0</v>
      </c>
      <c r="R270" s="16" t="n">
        <v>0</v>
      </c>
      <c r="S270" s="16" t="n">
        <v>0</v>
      </c>
      <c r="T270" s="16">
        <f>IF(R270&gt;0,IFERROR(VALUE(LEFT($D270,1)),1),0)</f>
        <v/>
      </c>
      <c r="U270" s="16">
        <f>R270*T270</f>
        <v/>
      </c>
      <c r="V270" s="9">
        <f>Q270*U270</f>
        <v/>
      </c>
      <c r="W270" s="9" t="n">
        <v>120</v>
      </c>
      <c r="X270" s="16" t="n">
        <v>1</v>
      </c>
      <c r="Y270" s="16" t="n">
        <v>0</v>
      </c>
      <c r="Z270" s="16">
        <f>IF(X270&gt;0,IFERROR(VALUE(LEFT($D270,1)),1),0)</f>
        <v/>
      </c>
      <c r="AA270" s="16">
        <f>X270*Z270</f>
        <v/>
      </c>
      <c r="AB270" s="9">
        <f>W270*AA270</f>
        <v/>
      </c>
      <c r="AC270" s="9" t="n">
        <v>0</v>
      </c>
      <c r="AD270" s="16" t="n">
        <v>0</v>
      </c>
      <c r="AE270" s="16" t="n">
        <v>0</v>
      </c>
      <c r="AF270" s="16">
        <f>IF(AD270&gt;0,IFERROR(VALUE(LEFT($D270,1)),1),0)</f>
        <v/>
      </c>
      <c r="AG270" s="16">
        <f>AD270*AF270</f>
        <v/>
      </c>
      <c r="AH270" s="9">
        <f>AC270*AG270</f>
        <v/>
      </c>
      <c r="AI270" s="9" t="n">
        <v>0</v>
      </c>
      <c r="AJ270" s="16" t="n">
        <v>0</v>
      </c>
      <c r="AK270" s="16" t="n">
        <v>0</v>
      </c>
      <c r="AL270" s="16">
        <f>IF(AJ270&gt;0,IFERROR(VALUE(LEFT($D270,1)),1),0)</f>
        <v/>
      </c>
      <c r="AM270" s="16">
        <f>AJ270*AL270</f>
        <v/>
      </c>
      <c r="AN270" s="9">
        <f>AI270*AM270</f>
        <v/>
      </c>
    </row>
    <row r="271">
      <c r="A271" s="16" t="inlineStr">
        <is>
          <t>TK</t>
        </is>
      </c>
      <c r="B271" s="16" t="inlineStr">
        <is>
          <t>TK miednicy</t>
        </is>
      </c>
      <c r="C271" s="16" t="inlineStr">
        <is>
          <t>TK Zwykłe</t>
        </is>
      </c>
      <c r="D271" s="16" t="inlineStr">
        <is>
          <t>1 okolica anatomiczna</t>
        </is>
      </c>
      <c r="E271" s="9" t="n">
        <v>0</v>
      </c>
      <c r="F271" s="16" t="n">
        <v>0</v>
      </c>
      <c r="G271" s="16" t="n">
        <v>0</v>
      </c>
      <c r="H271" s="16">
        <f>IF(F271&gt;0,IFERROR(VALUE(LEFT($D271,1)),1),0)</f>
        <v/>
      </c>
      <c r="I271" s="16">
        <f>F271*H271</f>
        <v/>
      </c>
      <c r="J271" s="9">
        <f>E271*I271</f>
        <v/>
      </c>
      <c r="K271" s="9" t="n">
        <v>0</v>
      </c>
      <c r="L271" s="16" t="n">
        <v>0</v>
      </c>
      <c r="M271" s="16" t="n">
        <v>0</v>
      </c>
      <c r="N271" s="16">
        <f>IF(L271&gt;0,IFERROR(VALUE(LEFT($D271,1)),1),0)</f>
        <v/>
      </c>
      <c r="O271" s="16">
        <f>L271*N271</f>
        <v/>
      </c>
      <c r="P271" s="9">
        <f>K271*O271</f>
        <v/>
      </c>
      <c r="Q271" s="9" t="n">
        <v>0</v>
      </c>
      <c r="R271" s="16" t="n">
        <v>0</v>
      </c>
      <c r="S271" s="16" t="n">
        <v>0</v>
      </c>
      <c r="T271" s="16">
        <f>IF(R271&gt;0,IFERROR(VALUE(LEFT($D271,1)),1),0)</f>
        <v/>
      </c>
      <c r="U271" s="16">
        <f>R271*T271</f>
        <v/>
      </c>
      <c r="V271" s="9">
        <f>Q271*U271</f>
        <v/>
      </c>
      <c r="W271" s="9" t="n">
        <v>120</v>
      </c>
      <c r="X271" s="16" t="n">
        <v>1</v>
      </c>
      <c r="Y271" s="16" t="n">
        <v>0</v>
      </c>
      <c r="Z271" s="16">
        <f>IF(X271&gt;0,IFERROR(VALUE(LEFT($D271,1)),1),0)</f>
        <v/>
      </c>
      <c r="AA271" s="16">
        <f>X271*Z271</f>
        <v/>
      </c>
      <c r="AB271" s="9">
        <f>W271*AA271</f>
        <v/>
      </c>
      <c r="AC271" s="9" t="n">
        <v>0</v>
      </c>
      <c r="AD271" s="16" t="n">
        <v>0</v>
      </c>
      <c r="AE271" s="16" t="n">
        <v>0</v>
      </c>
      <c r="AF271" s="16">
        <f>IF(AD271&gt;0,IFERROR(VALUE(LEFT($D271,1)),1),0)</f>
        <v/>
      </c>
      <c r="AG271" s="16">
        <f>AD271*AF271</f>
        <v/>
      </c>
      <c r="AH271" s="9">
        <f>AC271*AG271</f>
        <v/>
      </c>
      <c r="AI271" s="9" t="n">
        <v>0</v>
      </c>
      <c r="AJ271" s="16" t="n">
        <v>0</v>
      </c>
      <c r="AK271" s="16" t="n">
        <v>0</v>
      </c>
      <c r="AL271" s="16">
        <f>IF(AJ271&gt;0,IFERROR(VALUE(LEFT($D271,1)),1),0)</f>
        <v/>
      </c>
      <c r="AM271" s="16">
        <f>AJ271*AL271</f>
        <v/>
      </c>
      <c r="AN271" s="9">
        <f>AI271*AM271</f>
        <v/>
      </c>
    </row>
    <row r="272">
      <c r="A272" s="16" t="inlineStr">
        <is>
          <t>TK</t>
        </is>
      </c>
      <c r="B272" s="16" t="inlineStr">
        <is>
          <t>TK piramid kości skroniowych</t>
        </is>
      </c>
      <c r="C272" s="16" t="inlineStr">
        <is>
          <t>TK Zwykłe</t>
        </is>
      </c>
      <c r="D272" s="16" t="inlineStr">
        <is>
          <t>1 okolica anatomiczna</t>
        </is>
      </c>
      <c r="E272" s="9" t="n">
        <v>0</v>
      </c>
      <c r="F272" s="16" t="n">
        <v>0</v>
      </c>
      <c r="G272" s="16" t="n">
        <v>0</v>
      </c>
      <c r="H272" s="16">
        <f>IF(F272&gt;0,IFERROR(VALUE(LEFT($D272,1)),1),0)</f>
        <v/>
      </c>
      <c r="I272" s="16">
        <f>F272*H272</f>
        <v/>
      </c>
      <c r="J272" s="9">
        <f>E272*I272</f>
        <v/>
      </c>
      <c r="K272" s="9" t="n">
        <v>0</v>
      </c>
      <c r="L272" s="16" t="n">
        <v>0</v>
      </c>
      <c r="M272" s="16" t="n">
        <v>0</v>
      </c>
      <c r="N272" s="16">
        <f>IF(L272&gt;0,IFERROR(VALUE(LEFT($D272,1)),1),0)</f>
        <v/>
      </c>
      <c r="O272" s="16">
        <f>L272*N272</f>
        <v/>
      </c>
      <c r="P272" s="9">
        <f>K272*O272</f>
        <v/>
      </c>
      <c r="Q272" s="9" t="n">
        <v>0</v>
      </c>
      <c r="R272" s="16" t="n">
        <v>0</v>
      </c>
      <c r="S272" s="16" t="n">
        <v>0</v>
      </c>
      <c r="T272" s="16">
        <f>IF(R272&gt;0,IFERROR(VALUE(LEFT($D272,1)),1),0)</f>
        <v/>
      </c>
      <c r="U272" s="16">
        <f>R272*T272</f>
        <v/>
      </c>
      <c r="V272" s="9">
        <f>Q272*U272</f>
        <v/>
      </c>
      <c r="W272" s="9" t="n">
        <v>120</v>
      </c>
      <c r="X272" s="16" t="n">
        <v>1</v>
      </c>
      <c r="Y272" s="16" t="n">
        <v>0</v>
      </c>
      <c r="Z272" s="16">
        <f>IF(X272&gt;0,IFERROR(VALUE(LEFT($D272,1)),1),0)</f>
        <v/>
      </c>
      <c r="AA272" s="16">
        <f>X272*Z272</f>
        <v/>
      </c>
      <c r="AB272" s="9">
        <f>W272*AA272</f>
        <v/>
      </c>
      <c r="AC272" s="9" t="n">
        <v>0</v>
      </c>
      <c r="AD272" s="16" t="n">
        <v>0</v>
      </c>
      <c r="AE272" s="16" t="n">
        <v>0</v>
      </c>
      <c r="AF272" s="16">
        <f>IF(AD272&gt;0,IFERROR(VALUE(LEFT($D272,1)),1),0)</f>
        <v/>
      </c>
      <c r="AG272" s="16">
        <f>AD272*AF272</f>
        <v/>
      </c>
      <c r="AH272" s="9">
        <f>AC272*AG272</f>
        <v/>
      </c>
      <c r="AI272" s="9" t="n">
        <v>0</v>
      </c>
      <c r="AJ272" s="16" t="n">
        <v>0</v>
      </c>
      <c r="AK272" s="16" t="n">
        <v>0</v>
      </c>
      <c r="AL272" s="16">
        <f>IF(AJ272&gt;0,IFERROR(VALUE(LEFT($D272,1)),1),0)</f>
        <v/>
      </c>
      <c r="AM272" s="16">
        <f>AJ272*AL272</f>
        <v/>
      </c>
      <c r="AN272" s="9">
        <f>AI272*AM272</f>
        <v/>
      </c>
    </row>
    <row r="273">
      <c r="A273" s="16" t="inlineStr">
        <is>
          <t>TK</t>
        </is>
      </c>
      <c r="B273" s="16" t="inlineStr">
        <is>
          <t>TK ręki prawej</t>
        </is>
      </c>
      <c r="C273" s="16" t="inlineStr">
        <is>
          <t>TK Zwykłe</t>
        </is>
      </c>
      <c r="D273" s="16" t="inlineStr">
        <is>
          <t>1 okolica anatomiczna</t>
        </is>
      </c>
      <c r="E273" s="9" t="n">
        <v>0</v>
      </c>
      <c r="F273" s="16" t="n">
        <v>0</v>
      </c>
      <c r="G273" s="16" t="n">
        <v>0</v>
      </c>
      <c r="H273" s="16">
        <f>IF(F273&gt;0,IFERROR(VALUE(LEFT($D273,1)),1),0)</f>
        <v/>
      </c>
      <c r="I273" s="16">
        <f>F273*H273</f>
        <v/>
      </c>
      <c r="J273" s="9">
        <f>E273*I273</f>
        <v/>
      </c>
      <c r="K273" s="9" t="n">
        <v>0</v>
      </c>
      <c r="L273" s="16" t="n">
        <v>0</v>
      </c>
      <c r="M273" s="16" t="n">
        <v>0</v>
      </c>
      <c r="N273" s="16">
        <f>IF(L273&gt;0,IFERROR(VALUE(LEFT($D273,1)),1),0)</f>
        <v/>
      </c>
      <c r="O273" s="16">
        <f>L273*N273</f>
        <v/>
      </c>
      <c r="P273" s="9">
        <f>K273*O273</f>
        <v/>
      </c>
      <c r="Q273" s="9" t="n">
        <v>0</v>
      </c>
      <c r="R273" s="16" t="n">
        <v>0</v>
      </c>
      <c r="S273" s="16" t="n">
        <v>0</v>
      </c>
      <c r="T273" s="16">
        <f>IF(R273&gt;0,IFERROR(VALUE(LEFT($D273,1)),1),0)</f>
        <v/>
      </c>
      <c r="U273" s="16">
        <f>R273*T273</f>
        <v/>
      </c>
      <c r="V273" s="9">
        <f>Q273*U273</f>
        <v/>
      </c>
      <c r="W273" s="9" t="n">
        <v>140</v>
      </c>
      <c r="X273" s="16" t="n">
        <v>1</v>
      </c>
      <c r="Y273" s="16" t="n">
        <v>0</v>
      </c>
      <c r="Z273" s="16">
        <f>IF(X273&gt;0,IFERROR(VALUE(LEFT($D273,1)),1),0)</f>
        <v/>
      </c>
      <c r="AA273" s="16">
        <f>X273*Z273</f>
        <v/>
      </c>
      <c r="AB273" s="9">
        <f>W273*AA273</f>
        <v/>
      </c>
      <c r="AC273" s="9" t="n">
        <v>0</v>
      </c>
      <c r="AD273" s="16" t="n">
        <v>0</v>
      </c>
      <c r="AE273" s="16" t="n">
        <v>0</v>
      </c>
      <c r="AF273" s="16">
        <f>IF(AD273&gt;0,IFERROR(VALUE(LEFT($D273,1)),1),0)</f>
        <v/>
      </c>
      <c r="AG273" s="16">
        <f>AD273*AF273</f>
        <v/>
      </c>
      <c r="AH273" s="9">
        <f>AC273*AG273</f>
        <v/>
      </c>
      <c r="AI273" s="9" t="n">
        <v>0</v>
      </c>
      <c r="AJ273" s="16" t="n">
        <v>0</v>
      </c>
      <c r="AK273" s="16" t="n">
        <v>0</v>
      </c>
      <c r="AL273" s="16">
        <f>IF(AJ273&gt;0,IFERROR(VALUE(LEFT($D273,1)),1),0)</f>
        <v/>
      </c>
      <c r="AM273" s="16">
        <f>AJ273*AL273</f>
        <v/>
      </c>
      <c r="AN273" s="9">
        <f>AI273*AM273</f>
        <v/>
      </c>
    </row>
    <row r="274">
      <c r="A274" s="16" t="inlineStr">
        <is>
          <t>TK</t>
        </is>
      </c>
      <c r="B274" s="16" t="inlineStr">
        <is>
          <t>TK stawu kolanowego bez kontrastu</t>
        </is>
      </c>
      <c r="C274" s="16" t="inlineStr">
        <is>
          <t>TK Zwykłe</t>
        </is>
      </c>
      <c r="D274" s="16" t="inlineStr">
        <is>
          <t>1 okolica anatomiczna</t>
        </is>
      </c>
      <c r="E274" s="9" t="n">
        <v>0</v>
      </c>
      <c r="F274" s="16" t="n">
        <v>0</v>
      </c>
      <c r="G274" s="16" t="n">
        <v>0</v>
      </c>
      <c r="H274" s="16">
        <f>IF(F274&gt;0,IFERROR(VALUE(LEFT($D274,1)),1),0)</f>
        <v/>
      </c>
      <c r="I274" s="16">
        <f>F274*H274</f>
        <v/>
      </c>
      <c r="J274" s="9">
        <f>E274*I274</f>
        <v/>
      </c>
      <c r="K274" s="9" t="n">
        <v>0</v>
      </c>
      <c r="L274" s="16" t="n">
        <v>0</v>
      </c>
      <c r="M274" s="16" t="n">
        <v>0</v>
      </c>
      <c r="N274" s="16">
        <f>IF(L274&gt;0,IFERROR(VALUE(LEFT($D274,1)),1),0)</f>
        <v/>
      </c>
      <c r="O274" s="16">
        <f>L274*N274</f>
        <v/>
      </c>
      <c r="P274" s="9">
        <f>K274*O274</f>
        <v/>
      </c>
      <c r="Q274" s="9" t="n">
        <v>0</v>
      </c>
      <c r="R274" s="16" t="n">
        <v>0</v>
      </c>
      <c r="S274" s="16" t="n">
        <v>0</v>
      </c>
      <c r="T274" s="16">
        <f>IF(R274&gt;0,IFERROR(VALUE(LEFT($D274,1)),1),0)</f>
        <v/>
      </c>
      <c r="U274" s="16">
        <f>R274*T274</f>
        <v/>
      </c>
      <c r="V274" s="9">
        <f>Q274*U274</f>
        <v/>
      </c>
      <c r="W274" s="9" t="n">
        <v>140</v>
      </c>
      <c r="X274" s="16" t="n">
        <v>1</v>
      </c>
      <c r="Y274" s="16" t="n">
        <v>0</v>
      </c>
      <c r="Z274" s="16">
        <f>IF(X274&gt;0,IFERROR(VALUE(LEFT($D274,1)),1),0)</f>
        <v/>
      </c>
      <c r="AA274" s="16">
        <f>X274*Z274</f>
        <v/>
      </c>
      <c r="AB274" s="9">
        <f>W274*AA274</f>
        <v/>
      </c>
      <c r="AC274" s="9" t="n">
        <v>0</v>
      </c>
      <c r="AD274" s="16" t="n">
        <v>0</v>
      </c>
      <c r="AE274" s="16" t="n">
        <v>0</v>
      </c>
      <c r="AF274" s="16">
        <f>IF(AD274&gt;0,IFERROR(VALUE(LEFT($D274,1)),1),0)</f>
        <v/>
      </c>
      <c r="AG274" s="16">
        <f>AD274*AF274</f>
        <v/>
      </c>
      <c r="AH274" s="9">
        <f>AC274*AG274</f>
        <v/>
      </c>
      <c r="AI274" s="9" t="n">
        <v>0</v>
      </c>
      <c r="AJ274" s="16" t="n">
        <v>0</v>
      </c>
      <c r="AK274" s="16" t="n">
        <v>0</v>
      </c>
      <c r="AL274" s="16">
        <f>IF(AJ274&gt;0,IFERROR(VALUE(LEFT($D274,1)),1),0)</f>
        <v/>
      </c>
      <c r="AM274" s="16">
        <f>AJ274*AL274</f>
        <v/>
      </c>
      <c r="AN274" s="9">
        <f>AI274*AM274</f>
        <v/>
      </c>
    </row>
    <row r="275">
      <c r="A275" s="16" t="inlineStr">
        <is>
          <t>TK</t>
        </is>
      </c>
      <c r="B275" s="16" t="inlineStr">
        <is>
          <t>TK stopa - L</t>
        </is>
      </c>
      <c r="C275" s="16" t="inlineStr">
        <is>
          <t>TK Zwykłe</t>
        </is>
      </c>
      <c r="D275" s="16" t="inlineStr">
        <is>
          <t>1 okolica anatomiczna</t>
        </is>
      </c>
      <c r="E275" s="9" t="n">
        <v>0</v>
      </c>
      <c r="F275" s="16" t="n">
        <v>0</v>
      </c>
      <c r="G275" s="16" t="n">
        <v>0</v>
      </c>
      <c r="H275" s="16">
        <f>IF(F275&gt;0,IFERROR(VALUE(LEFT($D275,1)),1),0)</f>
        <v/>
      </c>
      <c r="I275" s="16">
        <f>F275*H275</f>
        <v/>
      </c>
      <c r="J275" s="9">
        <f>E275*I275</f>
        <v/>
      </c>
      <c r="K275" s="9" t="n">
        <v>0</v>
      </c>
      <c r="L275" s="16" t="n">
        <v>0</v>
      </c>
      <c r="M275" s="16" t="n">
        <v>0</v>
      </c>
      <c r="N275" s="16">
        <f>IF(L275&gt;0,IFERROR(VALUE(LEFT($D275,1)),1),0)</f>
        <v/>
      </c>
      <c r="O275" s="16">
        <f>L275*N275</f>
        <v/>
      </c>
      <c r="P275" s="9">
        <f>K275*O275</f>
        <v/>
      </c>
      <c r="Q275" s="9" t="n">
        <v>0</v>
      </c>
      <c r="R275" s="16" t="n">
        <v>0</v>
      </c>
      <c r="S275" s="16" t="n">
        <v>0</v>
      </c>
      <c r="T275" s="16">
        <f>IF(R275&gt;0,IFERROR(VALUE(LEFT($D275,1)),1),0)</f>
        <v/>
      </c>
      <c r="U275" s="16">
        <f>R275*T275</f>
        <v/>
      </c>
      <c r="V275" s="9">
        <f>Q275*U275</f>
        <v/>
      </c>
      <c r="W275" s="9" t="n">
        <v>140</v>
      </c>
      <c r="X275" s="16" t="n">
        <v>1</v>
      </c>
      <c r="Y275" s="16" t="n">
        <v>0</v>
      </c>
      <c r="Z275" s="16">
        <f>IF(X275&gt;0,IFERROR(VALUE(LEFT($D275,1)),1),0)</f>
        <v/>
      </c>
      <c r="AA275" s="16">
        <f>X275*Z275</f>
        <v/>
      </c>
      <c r="AB275" s="9">
        <f>W275*AA275</f>
        <v/>
      </c>
      <c r="AC275" s="9" t="n">
        <v>0</v>
      </c>
      <c r="AD275" s="16" t="n">
        <v>0</v>
      </c>
      <c r="AE275" s="16" t="n">
        <v>0</v>
      </c>
      <c r="AF275" s="16">
        <f>IF(AD275&gt;0,IFERROR(VALUE(LEFT($D275,1)),1),0)</f>
        <v/>
      </c>
      <c r="AG275" s="16">
        <f>AD275*AF275</f>
        <v/>
      </c>
      <c r="AH275" s="9">
        <f>AC275*AG275</f>
        <v/>
      </c>
      <c r="AI275" s="9" t="n">
        <v>0</v>
      </c>
      <c r="AJ275" s="16" t="n">
        <v>0</v>
      </c>
      <c r="AK275" s="16" t="n">
        <v>0</v>
      </c>
      <c r="AL275" s="16">
        <f>IF(AJ275&gt;0,IFERROR(VALUE(LEFT($D275,1)),1),0)</f>
        <v/>
      </c>
      <c r="AM275" s="16">
        <f>AJ275*AL275</f>
        <v/>
      </c>
      <c r="AN275" s="9">
        <f>AI275*AM275</f>
        <v/>
      </c>
    </row>
    <row r="276">
      <c r="A276" s="16" t="inlineStr">
        <is>
          <t>TK</t>
        </is>
      </c>
      <c r="B276" s="16" t="inlineStr">
        <is>
          <t>TK szyi bez i ze wzmocnieniem kontrastowym</t>
        </is>
      </c>
      <c r="C276" s="16" t="inlineStr">
        <is>
          <t>TK Zwykłe</t>
        </is>
      </c>
      <c r="D276" s="16" t="inlineStr">
        <is>
          <t>2 okolice anatomiczne</t>
        </is>
      </c>
      <c r="E276" s="9" t="n">
        <v>0</v>
      </c>
      <c r="F276" s="16" t="n">
        <v>0</v>
      </c>
      <c r="G276" s="16" t="n">
        <v>0</v>
      </c>
      <c r="H276" s="16">
        <f>IF(F276&gt;0,IFERROR(VALUE(LEFT($D276,1)),1),0)</f>
        <v/>
      </c>
      <c r="I276" s="16">
        <f>F276*H276</f>
        <v/>
      </c>
      <c r="J276" s="9">
        <f>E276*I276</f>
        <v/>
      </c>
      <c r="K276" s="9" t="n">
        <v>0</v>
      </c>
      <c r="L276" s="16" t="n">
        <v>0</v>
      </c>
      <c r="M276" s="16" t="n">
        <v>0</v>
      </c>
      <c r="N276" s="16">
        <f>IF(L276&gt;0,IFERROR(VALUE(LEFT($D276,1)),1),0)</f>
        <v/>
      </c>
      <c r="O276" s="16">
        <f>L276*N276</f>
        <v/>
      </c>
      <c r="P276" s="9">
        <f>K276*O276</f>
        <v/>
      </c>
      <c r="Q276" s="9" t="n">
        <v>0</v>
      </c>
      <c r="R276" s="16" t="n">
        <v>0</v>
      </c>
      <c r="S276" s="16" t="n">
        <v>0</v>
      </c>
      <c r="T276" s="16">
        <f>IF(R276&gt;0,IFERROR(VALUE(LEFT($D276,1)),1),0)</f>
        <v/>
      </c>
      <c r="U276" s="16">
        <f>R276*T276</f>
        <v/>
      </c>
      <c r="V276" s="9">
        <f>Q276*U276</f>
        <v/>
      </c>
      <c r="W276" s="9" t="n">
        <v>120</v>
      </c>
      <c r="X276" s="16" t="n">
        <v>1</v>
      </c>
      <c r="Y276" s="16" t="n">
        <v>0</v>
      </c>
      <c r="Z276" s="16">
        <f>IF(X276&gt;0,IFERROR(VALUE(LEFT($D276,1)),1),0)</f>
        <v/>
      </c>
      <c r="AA276" s="16">
        <f>X276*Z276</f>
        <v/>
      </c>
      <c r="AB276" s="9">
        <f>W276*AA276</f>
        <v/>
      </c>
      <c r="AC276" s="9" t="n">
        <v>0</v>
      </c>
      <c r="AD276" s="16" t="n">
        <v>0</v>
      </c>
      <c r="AE276" s="16" t="n">
        <v>0</v>
      </c>
      <c r="AF276" s="16">
        <f>IF(AD276&gt;0,IFERROR(VALUE(LEFT($D276,1)),1),0)</f>
        <v/>
      </c>
      <c r="AG276" s="16">
        <f>AD276*AF276</f>
        <v/>
      </c>
      <c r="AH276" s="9">
        <f>AC276*AG276</f>
        <v/>
      </c>
      <c r="AI276" s="9" t="n">
        <v>0</v>
      </c>
      <c r="AJ276" s="16" t="n">
        <v>0</v>
      </c>
      <c r="AK276" s="16" t="n">
        <v>0</v>
      </c>
      <c r="AL276" s="16">
        <f>IF(AJ276&gt;0,IFERROR(VALUE(LEFT($D276,1)),1),0)</f>
        <v/>
      </c>
      <c r="AM276" s="16">
        <f>AJ276*AL276</f>
        <v/>
      </c>
      <c r="AN276" s="9">
        <f>AI276*AM276</f>
        <v/>
      </c>
    </row>
    <row r="277">
      <c r="A277" s="16" t="inlineStr">
        <is>
          <t>TK</t>
        </is>
      </c>
      <c r="B277" s="16" t="inlineStr">
        <is>
          <t>TK twarzoczaszka bez kontrastu</t>
        </is>
      </c>
      <c r="C277" s="16" t="inlineStr">
        <is>
          <t>TK Zwykłe</t>
        </is>
      </c>
      <c r="D277" s="16" t="inlineStr">
        <is>
          <t>1 okolica anatomiczna</t>
        </is>
      </c>
      <c r="E277" s="9" t="n">
        <v>0</v>
      </c>
      <c r="F277" s="16" t="n">
        <v>0</v>
      </c>
      <c r="G277" s="16" t="n">
        <v>0</v>
      </c>
      <c r="H277" s="16">
        <f>IF(F277&gt;0,IFERROR(VALUE(LEFT($D277,1)),1),0)</f>
        <v/>
      </c>
      <c r="I277" s="16">
        <f>F277*H277</f>
        <v/>
      </c>
      <c r="J277" s="9">
        <f>E277*I277</f>
        <v/>
      </c>
      <c r="K277" s="9" t="n">
        <v>0</v>
      </c>
      <c r="L277" s="16" t="n">
        <v>0</v>
      </c>
      <c r="M277" s="16" t="n">
        <v>0</v>
      </c>
      <c r="N277" s="16">
        <f>IF(L277&gt;0,IFERROR(VALUE(LEFT($D277,1)),1),0)</f>
        <v/>
      </c>
      <c r="O277" s="16">
        <f>L277*N277</f>
        <v/>
      </c>
      <c r="P277" s="9">
        <f>K277*O277</f>
        <v/>
      </c>
      <c r="Q277" s="9" t="n">
        <v>0</v>
      </c>
      <c r="R277" s="16" t="n">
        <v>0</v>
      </c>
      <c r="S277" s="16" t="n">
        <v>0</v>
      </c>
      <c r="T277" s="16">
        <f>IF(R277&gt;0,IFERROR(VALUE(LEFT($D277,1)),1),0)</f>
        <v/>
      </c>
      <c r="U277" s="16">
        <f>R277*T277</f>
        <v/>
      </c>
      <c r="V277" s="9">
        <f>Q277*U277</f>
        <v/>
      </c>
      <c r="W277" s="9" t="n">
        <v>120</v>
      </c>
      <c r="X277" s="16" t="n">
        <v>1</v>
      </c>
      <c r="Y277" s="16" t="n">
        <v>0</v>
      </c>
      <c r="Z277" s="16">
        <f>IF(X277&gt;0,IFERROR(VALUE(LEFT($D277,1)),1),0)</f>
        <v/>
      </c>
      <c r="AA277" s="16">
        <f>X277*Z277</f>
        <v/>
      </c>
      <c r="AB277" s="9">
        <f>W277*AA277</f>
        <v/>
      </c>
      <c r="AC277" s="9" t="n">
        <v>0</v>
      </c>
      <c r="AD277" s="16" t="n">
        <v>0</v>
      </c>
      <c r="AE277" s="16" t="n">
        <v>0</v>
      </c>
      <c r="AF277" s="16">
        <f>IF(AD277&gt;0,IFERROR(VALUE(LEFT($D277,1)),1),0)</f>
        <v/>
      </c>
      <c r="AG277" s="16">
        <f>AD277*AF277</f>
        <v/>
      </c>
      <c r="AH277" s="9">
        <f>AC277*AG277</f>
        <v/>
      </c>
      <c r="AI277" s="9" t="n">
        <v>0</v>
      </c>
      <c r="AJ277" s="16" t="n">
        <v>0</v>
      </c>
      <c r="AK277" s="16" t="n">
        <v>0</v>
      </c>
      <c r="AL277" s="16">
        <f>IF(AJ277&gt;0,IFERROR(VALUE(LEFT($D277,1)),1),0)</f>
        <v/>
      </c>
      <c r="AM277" s="16">
        <f>AJ277*AL277</f>
        <v/>
      </c>
      <c r="AN277" s="9">
        <f>AI277*AM277</f>
        <v/>
      </c>
    </row>
    <row r="278">
      <c r="A278" s="16" t="inlineStr">
        <is>
          <t>TK</t>
        </is>
      </c>
      <c r="B278" s="16" t="inlineStr">
        <is>
          <t>TK twarzoczaszka i szyja z kontrastem</t>
        </is>
      </c>
      <c r="C278" s="16" t="inlineStr">
        <is>
          <t>TK Zwykłe</t>
        </is>
      </c>
      <c r="D278" s="16" t="inlineStr">
        <is>
          <t>2 okolice anatomiczne</t>
        </is>
      </c>
      <c r="E278" s="9" t="n">
        <v>0</v>
      </c>
      <c r="F278" s="16" t="n">
        <v>0</v>
      </c>
      <c r="G278" s="16" t="n">
        <v>0</v>
      </c>
      <c r="H278" s="16">
        <f>IF(F278&gt;0,IFERROR(VALUE(LEFT($D278,1)),1),0)</f>
        <v/>
      </c>
      <c r="I278" s="16">
        <f>F278*H278</f>
        <v/>
      </c>
      <c r="J278" s="9">
        <f>E278*I278</f>
        <v/>
      </c>
      <c r="K278" s="9" t="n">
        <v>0</v>
      </c>
      <c r="L278" s="16" t="n">
        <v>0</v>
      </c>
      <c r="M278" s="16" t="n">
        <v>0</v>
      </c>
      <c r="N278" s="16">
        <f>IF(L278&gt;0,IFERROR(VALUE(LEFT($D278,1)),1),0)</f>
        <v/>
      </c>
      <c r="O278" s="16">
        <f>L278*N278</f>
        <v/>
      </c>
      <c r="P278" s="9">
        <f>K278*O278</f>
        <v/>
      </c>
      <c r="Q278" s="9" t="n">
        <v>0</v>
      </c>
      <c r="R278" s="16" t="n">
        <v>0</v>
      </c>
      <c r="S278" s="16" t="n">
        <v>0</v>
      </c>
      <c r="T278" s="16">
        <f>IF(R278&gt;0,IFERROR(VALUE(LEFT($D278,1)),1),0)</f>
        <v/>
      </c>
      <c r="U278" s="16">
        <f>R278*T278</f>
        <v/>
      </c>
      <c r="V278" s="9">
        <f>Q278*U278</f>
        <v/>
      </c>
      <c r="W278" s="9" t="n">
        <v>120</v>
      </c>
      <c r="X278" s="16" t="n">
        <v>1</v>
      </c>
      <c r="Y278" s="16" t="n">
        <v>0</v>
      </c>
      <c r="Z278" s="16">
        <f>IF(X278&gt;0,IFERROR(VALUE(LEFT($D278,1)),1),0)</f>
        <v/>
      </c>
      <c r="AA278" s="16">
        <f>X278*Z278</f>
        <v/>
      </c>
      <c r="AB278" s="9">
        <f>W278*AA278</f>
        <v/>
      </c>
      <c r="AC278" s="9" t="n">
        <v>0</v>
      </c>
      <c r="AD278" s="16" t="n">
        <v>0</v>
      </c>
      <c r="AE278" s="16" t="n">
        <v>0</v>
      </c>
      <c r="AF278" s="16">
        <f>IF(AD278&gt;0,IFERROR(VALUE(LEFT($D278,1)),1),0)</f>
        <v/>
      </c>
      <c r="AG278" s="16">
        <f>AD278*AF278</f>
        <v/>
      </c>
      <c r="AH278" s="9">
        <f>AC278*AG278</f>
        <v/>
      </c>
      <c r="AI278" s="9" t="n">
        <v>0</v>
      </c>
      <c r="AJ278" s="16" t="n">
        <v>0</v>
      </c>
      <c r="AK278" s="16" t="n">
        <v>0</v>
      </c>
      <c r="AL278" s="16">
        <f>IF(AJ278&gt;0,IFERROR(VALUE(LEFT($D278,1)),1),0)</f>
        <v/>
      </c>
      <c r="AM278" s="16">
        <f>AJ278*AL278</f>
        <v/>
      </c>
      <c r="AN278" s="9">
        <f>AI278*AM278</f>
        <v/>
      </c>
    </row>
    <row r="279">
      <c r="A279" s="16" t="inlineStr">
        <is>
          <t>TK</t>
        </is>
      </c>
      <c r="B279" s="16" t="inlineStr">
        <is>
          <t>TK twarzoczaszka z kontrastem</t>
        </is>
      </c>
      <c r="C279" s="16" t="inlineStr">
        <is>
          <t>TK Zwykłe</t>
        </is>
      </c>
      <c r="D279" s="16" t="inlineStr">
        <is>
          <t>1 okolica anatomiczna</t>
        </is>
      </c>
      <c r="E279" s="9" t="n">
        <v>0</v>
      </c>
      <c r="F279" s="16" t="n">
        <v>0</v>
      </c>
      <c r="G279" s="16" t="n">
        <v>0</v>
      </c>
      <c r="H279" s="16">
        <f>IF(F279&gt;0,IFERROR(VALUE(LEFT($D279,1)),1),0)</f>
        <v/>
      </c>
      <c r="I279" s="16">
        <f>F279*H279</f>
        <v/>
      </c>
      <c r="J279" s="9">
        <f>E279*I279</f>
        <v/>
      </c>
      <c r="K279" s="9" t="n">
        <v>0</v>
      </c>
      <c r="L279" s="16" t="n">
        <v>0</v>
      </c>
      <c r="M279" s="16" t="n">
        <v>0</v>
      </c>
      <c r="N279" s="16">
        <f>IF(L279&gt;0,IFERROR(VALUE(LEFT($D279,1)),1),0)</f>
        <v/>
      </c>
      <c r="O279" s="16">
        <f>L279*N279</f>
        <v/>
      </c>
      <c r="P279" s="9">
        <f>K279*O279</f>
        <v/>
      </c>
      <c r="Q279" s="9" t="n">
        <v>0</v>
      </c>
      <c r="R279" s="16" t="n">
        <v>0</v>
      </c>
      <c r="S279" s="16" t="n">
        <v>0</v>
      </c>
      <c r="T279" s="16">
        <f>IF(R279&gt;0,IFERROR(VALUE(LEFT($D279,1)),1),0)</f>
        <v/>
      </c>
      <c r="U279" s="16">
        <f>R279*T279</f>
        <v/>
      </c>
      <c r="V279" s="9">
        <f>Q279*U279</f>
        <v/>
      </c>
      <c r="W279" s="9" t="n">
        <v>120</v>
      </c>
      <c r="X279" s="16" t="n">
        <v>1</v>
      </c>
      <c r="Y279" s="16" t="n">
        <v>0</v>
      </c>
      <c r="Z279" s="16">
        <f>IF(X279&gt;0,IFERROR(VALUE(LEFT($D279,1)),1),0)</f>
        <v/>
      </c>
      <c r="AA279" s="16">
        <f>X279*Z279</f>
        <v/>
      </c>
      <c r="AB279" s="9">
        <f>W279*AA279</f>
        <v/>
      </c>
      <c r="AC279" s="9" t="n">
        <v>0</v>
      </c>
      <c r="AD279" s="16" t="n">
        <v>0</v>
      </c>
      <c r="AE279" s="16" t="n">
        <v>0</v>
      </c>
      <c r="AF279" s="16">
        <f>IF(AD279&gt;0,IFERROR(VALUE(LEFT($D279,1)),1),0)</f>
        <v/>
      </c>
      <c r="AG279" s="16">
        <f>AD279*AF279</f>
        <v/>
      </c>
      <c r="AH279" s="9">
        <f>AC279*AG279</f>
        <v/>
      </c>
      <c r="AI279" s="9" t="n">
        <v>0</v>
      </c>
      <c r="AJ279" s="16" t="n">
        <v>0</v>
      </c>
      <c r="AK279" s="16" t="n">
        <v>0</v>
      </c>
      <c r="AL279" s="16">
        <f>IF(AJ279&gt;0,IFERROR(VALUE(LEFT($D279,1)),1),0)</f>
        <v/>
      </c>
      <c r="AM279" s="16">
        <f>AJ279*AL279</f>
        <v/>
      </c>
      <c r="AN279" s="9">
        <f>AI279*AM279</f>
        <v/>
      </c>
    </row>
    <row r="280">
      <c r="A280" s="16" t="inlineStr">
        <is>
          <t>TK</t>
        </is>
      </c>
      <c r="B280" s="16" t="inlineStr">
        <is>
          <t>TK twarzoczaszka z kontrastem</t>
        </is>
      </c>
      <c r="C280" s="16" t="inlineStr">
        <is>
          <t>TK Zwykłe</t>
        </is>
      </c>
      <c r="D280" s="16" t="inlineStr">
        <is>
          <t>2 okolice anatomiczne</t>
        </is>
      </c>
      <c r="E280" s="9" t="n">
        <v>0</v>
      </c>
      <c r="F280" s="16" t="n">
        <v>0</v>
      </c>
      <c r="G280" s="16" t="n">
        <v>0</v>
      </c>
      <c r="H280" s="16">
        <f>IF(F280&gt;0,IFERROR(VALUE(LEFT($D280,1)),1),0)</f>
        <v/>
      </c>
      <c r="I280" s="16">
        <f>F280*H280</f>
        <v/>
      </c>
      <c r="J280" s="9">
        <f>E280*I280</f>
        <v/>
      </c>
      <c r="K280" s="9" t="n">
        <v>0</v>
      </c>
      <c r="L280" s="16" t="n">
        <v>0</v>
      </c>
      <c r="M280" s="16" t="n">
        <v>0</v>
      </c>
      <c r="N280" s="16">
        <f>IF(L280&gt;0,IFERROR(VALUE(LEFT($D280,1)),1),0)</f>
        <v/>
      </c>
      <c r="O280" s="16">
        <f>L280*N280</f>
        <v/>
      </c>
      <c r="P280" s="9">
        <f>K280*O280</f>
        <v/>
      </c>
      <c r="Q280" s="9" t="n">
        <v>0</v>
      </c>
      <c r="R280" s="16" t="n">
        <v>0</v>
      </c>
      <c r="S280" s="16" t="n">
        <v>0</v>
      </c>
      <c r="T280" s="16">
        <f>IF(R280&gt;0,IFERROR(VALUE(LEFT($D280,1)),1),0)</f>
        <v/>
      </c>
      <c r="U280" s="16">
        <f>R280*T280</f>
        <v/>
      </c>
      <c r="V280" s="9">
        <f>Q280*U280</f>
        <v/>
      </c>
      <c r="W280" s="9" t="n">
        <v>120</v>
      </c>
      <c r="X280" s="16" t="n">
        <v>1</v>
      </c>
      <c r="Y280" s="16" t="n">
        <v>0</v>
      </c>
      <c r="Z280" s="16">
        <f>IF(X280&gt;0,IFERROR(VALUE(LEFT($D280,1)),1),0)</f>
        <v/>
      </c>
      <c r="AA280" s="16">
        <f>X280*Z280</f>
        <v/>
      </c>
      <c r="AB280" s="9">
        <f>W280*AA280</f>
        <v/>
      </c>
      <c r="AC280" s="9" t="n">
        <v>0</v>
      </c>
      <c r="AD280" s="16" t="n">
        <v>0</v>
      </c>
      <c r="AE280" s="16" t="n">
        <v>0</v>
      </c>
      <c r="AF280" s="16">
        <f>IF(AD280&gt;0,IFERROR(VALUE(LEFT($D280,1)),1),0)</f>
        <v/>
      </c>
      <c r="AG280" s="16">
        <f>AD280*AF280</f>
        <v/>
      </c>
      <c r="AH280" s="9">
        <f>AC280*AG280</f>
        <v/>
      </c>
      <c r="AI280" s="9" t="n">
        <v>0</v>
      </c>
      <c r="AJ280" s="16" t="n">
        <v>0</v>
      </c>
      <c r="AK280" s="16" t="n">
        <v>0</v>
      </c>
      <c r="AL280" s="16">
        <f>IF(AJ280&gt;0,IFERROR(VALUE(LEFT($D280,1)),1),0)</f>
        <v/>
      </c>
      <c r="AM280" s="16">
        <f>AJ280*AL280</f>
        <v/>
      </c>
      <c r="AN280" s="9">
        <f>AI280*AM280</f>
        <v/>
      </c>
    </row>
    <row r="281">
      <c r="A281" s="16" t="inlineStr">
        <is>
          <t>TK</t>
        </is>
      </c>
      <c r="B281" s="16" t="inlineStr">
        <is>
          <t>TK twarzoczaszki bez i z kontrastem</t>
        </is>
      </c>
      <c r="C281" s="16" t="inlineStr">
        <is>
          <t>TK Zwykłe</t>
        </is>
      </c>
      <c r="D281" s="16" t="inlineStr">
        <is>
          <t>1 okolica anatomiczna</t>
        </is>
      </c>
      <c r="E281" s="9" t="n">
        <v>0</v>
      </c>
      <c r="F281" s="16" t="n">
        <v>0</v>
      </c>
      <c r="G281" s="16" t="n">
        <v>0</v>
      </c>
      <c r="H281" s="16">
        <f>IF(F281&gt;0,IFERROR(VALUE(LEFT($D281,1)),1),0)</f>
        <v/>
      </c>
      <c r="I281" s="16">
        <f>F281*H281</f>
        <v/>
      </c>
      <c r="J281" s="9">
        <f>E281*I281</f>
        <v/>
      </c>
      <c r="K281" s="9" t="n">
        <v>0</v>
      </c>
      <c r="L281" s="16" t="n">
        <v>0</v>
      </c>
      <c r="M281" s="16" t="n">
        <v>0</v>
      </c>
      <c r="N281" s="16">
        <f>IF(L281&gt;0,IFERROR(VALUE(LEFT($D281,1)),1),0)</f>
        <v/>
      </c>
      <c r="O281" s="16">
        <f>L281*N281</f>
        <v/>
      </c>
      <c r="P281" s="9">
        <f>K281*O281</f>
        <v/>
      </c>
      <c r="Q281" s="9" t="n">
        <v>0</v>
      </c>
      <c r="R281" s="16" t="n">
        <v>0</v>
      </c>
      <c r="S281" s="16" t="n">
        <v>0</v>
      </c>
      <c r="T281" s="16">
        <f>IF(R281&gt;0,IFERROR(VALUE(LEFT($D281,1)),1),0)</f>
        <v/>
      </c>
      <c r="U281" s="16">
        <f>R281*T281</f>
        <v/>
      </c>
      <c r="V281" s="9">
        <f>Q281*U281</f>
        <v/>
      </c>
      <c r="W281" s="9" t="n">
        <v>120</v>
      </c>
      <c r="X281" s="16" t="n">
        <v>1</v>
      </c>
      <c r="Y281" s="16" t="n">
        <v>0</v>
      </c>
      <c r="Z281" s="16">
        <f>IF(X281&gt;0,IFERROR(VALUE(LEFT($D281,1)),1),0)</f>
        <v/>
      </c>
      <c r="AA281" s="16">
        <f>X281*Z281</f>
        <v/>
      </c>
      <c r="AB281" s="9">
        <f>W281*AA281</f>
        <v/>
      </c>
      <c r="AC281" s="9" t="n">
        <v>0</v>
      </c>
      <c r="AD281" s="16" t="n">
        <v>0</v>
      </c>
      <c r="AE281" s="16" t="n">
        <v>0</v>
      </c>
      <c r="AF281" s="16">
        <f>IF(AD281&gt;0,IFERROR(VALUE(LEFT($D281,1)),1),0)</f>
        <v/>
      </c>
      <c r="AG281" s="16">
        <f>AD281*AF281</f>
        <v/>
      </c>
      <c r="AH281" s="9">
        <f>AC281*AG281</f>
        <v/>
      </c>
      <c r="AI281" s="9" t="n">
        <v>0</v>
      </c>
      <c r="AJ281" s="16" t="n">
        <v>0</v>
      </c>
      <c r="AK281" s="16" t="n">
        <v>0</v>
      </c>
      <c r="AL281" s="16">
        <f>IF(AJ281&gt;0,IFERROR(VALUE(LEFT($D281,1)),1),0)</f>
        <v/>
      </c>
      <c r="AM281" s="16">
        <f>AJ281*AL281</f>
        <v/>
      </c>
      <c r="AN281" s="9">
        <f>AI281*AM281</f>
        <v/>
      </c>
    </row>
    <row r="282">
      <c r="A282" s="16" t="inlineStr">
        <is>
          <t>TK</t>
        </is>
      </c>
      <c r="B282" s="16" t="inlineStr">
        <is>
          <t>TK twarzoczaszki bez kontrastu</t>
        </is>
      </c>
      <c r="C282" s="16" t="inlineStr">
        <is>
          <t>TK Zwykłe</t>
        </is>
      </c>
      <c r="D282" s="16" t="inlineStr">
        <is>
          <t>1 okolica anatomiczna</t>
        </is>
      </c>
      <c r="E282" s="9" t="n">
        <v>0</v>
      </c>
      <c r="F282" s="16" t="n">
        <v>0</v>
      </c>
      <c r="G282" s="16" t="n">
        <v>0</v>
      </c>
      <c r="H282" s="16">
        <f>IF(F282&gt;0,IFERROR(VALUE(LEFT($D282,1)),1),0)</f>
        <v/>
      </c>
      <c r="I282" s="16">
        <f>F282*H282</f>
        <v/>
      </c>
      <c r="J282" s="9">
        <f>E282*I282</f>
        <v/>
      </c>
      <c r="K282" s="9" t="n">
        <v>0</v>
      </c>
      <c r="L282" s="16" t="n">
        <v>0</v>
      </c>
      <c r="M282" s="16" t="n">
        <v>0</v>
      </c>
      <c r="N282" s="16">
        <f>IF(L282&gt;0,IFERROR(VALUE(LEFT($D282,1)),1),0)</f>
        <v/>
      </c>
      <c r="O282" s="16">
        <f>L282*N282</f>
        <v/>
      </c>
      <c r="P282" s="9">
        <f>K282*O282</f>
        <v/>
      </c>
      <c r="Q282" s="9" t="n">
        <v>0</v>
      </c>
      <c r="R282" s="16" t="n">
        <v>0</v>
      </c>
      <c r="S282" s="16" t="n">
        <v>0</v>
      </c>
      <c r="T282" s="16">
        <f>IF(R282&gt;0,IFERROR(VALUE(LEFT($D282,1)),1),0)</f>
        <v/>
      </c>
      <c r="U282" s="16">
        <f>R282*T282</f>
        <v/>
      </c>
      <c r="V282" s="9">
        <f>Q282*U282</f>
        <v/>
      </c>
      <c r="W282" s="9" t="n">
        <v>120</v>
      </c>
      <c r="X282" s="16" t="n">
        <v>1</v>
      </c>
      <c r="Y282" s="16" t="n">
        <v>0</v>
      </c>
      <c r="Z282" s="16">
        <f>IF(X282&gt;0,IFERROR(VALUE(LEFT($D282,1)),1),0)</f>
        <v/>
      </c>
      <c r="AA282" s="16">
        <f>X282*Z282</f>
        <v/>
      </c>
      <c r="AB282" s="9">
        <f>W282*AA282</f>
        <v/>
      </c>
      <c r="AC282" s="9" t="n">
        <v>0</v>
      </c>
      <c r="AD282" s="16" t="n">
        <v>0</v>
      </c>
      <c r="AE282" s="16" t="n">
        <v>0</v>
      </c>
      <c r="AF282" s="16">
        <f>IF(AD282&gt;0,IFERROR(VALUE(LEFT($D282,1)),1),0)</f>
        <v/>
      </c>
      <c r="AG282" s="16">
        <f>AD282*AF282</f>
        <v/>
      </c>
      <c r="AH282" s="9">
        <f>AC282*AG282</f>
        <v/>
      </c>
      <c r="AI282" s="9" t="n">
        <v>0</v>
      </c>
      <c r="AJ282" s="16" t="n">
        <v>0</v>
      </c>
      <c r="AK282" s="16" t="n">
        <v>0</v>
      </c>
      <c r="AL282" s="16">
        <f>IF(AJ282&gt;0,IFERROR(VALUE(LEFT($D282,1)),1),0)</f>
        <v/>
      </c>
      <c r="AM282" s="16">
        <f>AJ282*AL282</f>
        <v/>
      </c>
      <c r="AN282" s="9">
        <f>AI282*AM282</f>
        <v/>
      </c>
    </row>
    <row r="283">
      <c r="A283" s="16" t="inlineStr">
        <is>
          <t>TK</t>
        </is>
      </c>
      <c r="B283" s="16" t="inlineStr">
        <is>
          <t>TK twarzoczaszki bez wzmocnienia kontrastowego</t>
        </is>
      </c>
      <c r="C283" s="16" t="inlineStr">
        <is>
          <t>TK Zwykłe</t>
        </is>
      </c>
      <c r="D283" s="16" t="inlineStr">
        <is>
          <t>1 okolica anatomiczna</t>
        </is>
      </c>
      <c r="E283" s="9" t="n">
        <v>0</v>
      </c>
      <c r="F283" s="16" t="n">
        <v>0</v>
      </c>
      <c r="G283" s="16" t="n">
        <v>0</v>
      </c>
      <c r="H283" s="16">
        <f>IF(F283&gt;0,IFERROR(VALUE(LEFT($D283,1)),1),0)</f>
        <v/>
      </c>
      <c r="I283" s="16">
        <f>F283*H283</f>
        <v/>
      </c>
      <c r="J283" s="9">
        <f>E283*I283</f>
        <v/>
      </c>
      <c r="K283" s="9" t="n">
        <v>0</v>
      </c>
      <c r="L283" s="16" t="n">
        <v>0</v>
      </c>
      <c r="M283" s="16" t="n">
        <v>0</v>
      </c>
      <c r="N283" s="16">
        <f>IF(L283&gt;0,IFERROR(VALUE(LEFT($D283,1)),1),0)</f>
        <v/>
      </c>
      <c r="O283" s="16">
        <f>L283*N283</f>
        <v/>
      </c>
      <c r="P283" s="9">
        <f>K283*O283</f>
        <v/>
      </c>
      <c r="Q283" s="9" t="n">
        <v>0</v>
      </c>
      <c r="R283" s="16" t="n">
        <v>0</v>
      </c>
      <c r="S283" s="16" t="n">
        <v>0</v>
      </c>
      <c r="T283" s="16">
        <f>IF(R283&gt;0,IFERROR(VALUE(LEFT($D283,1)),1),0)</f>
        <v/>
      </c>
      <c r="U283" s="16">
        <f>R283*T283</f>
        <v/>
      </c>
      <c r="V283" s="9">
        <f>Q283*U283</f>
        <v/>
      </c>
      <c r="W283" s="9" t="n">
        <v>120</v>
      </c>
      <c r="X283" s="16" t="n">
        <v>2</v>
      </c>
      <c r="Y283" s="16" t="n">
        <v>0</v>
      </c>
      <c r="Z283" s="16">
        <f>IF(X283&gt;0,IFERROR(VALUE(LEFT($D283,1)),1),0)</f>
        <v/>
      </c>
      <c r="AA283" s="16">
        <f>X283*Z283</f>
        <v/>
      </c>
      <c r="AB283" s="9">
        <f>W283*AA283</f>
        <v/>
      </c>
      <c r="AC283" s="9" t="n">
        <v>0</v>
      </c>
      <c r="AD283" s="16" t="n">
        <v>0</v>
      </c>
      <c r="AE283" s="16" t="n">
        <v>0</v>
      </c>
      <c r="AF283" s="16">
        <f>IF(AD283&gt;0,IFERROR(VALUE(LEFT($D283,1)),1),0)</f>
        <v/>
      </c>
      <c r="AG283" s="16">
        <f>AD283*AF283</f>
        <v/>
      </c>
      <c r="AH283" s="9">
        <f>AC283*AG283</f>
        <v/>
      </c>
      <c r="AI283" s="9" t="n">
        <v>0</v>
      </c>
      <c r="AJ283" s="16" t="n">
        <v>0</v>
      </c>
      <c r="AK283" s="16" t="n">
        <v>0</v>
      </c>
      <c r="AL283" s="16">
        <f>IF(AJ283&gt;0,IFERROR(VALUE(LEFT($D283,1)),1),0)</f>
        <v/>
      </c>
      <c r="AM283" s="16">
        <f>AJ283*AL283</f>
        <v/>
      </c>
      <c r="AN283" s="9">
        <f>AI283*AM283</f>
        <v/>
      </c>
    </row>
    <row r="284">
      <c r="A284" s="16" t="inlineStr">
        <is>
          <t>TK</t>
        </is>
      </c>
      <c r="B284" s="16" t="inlineStr">
        <is>
          <t>TK, głowa - mózgowie - badanie bez kontrastu</t>
        </is>
      </c>
      <c r="C284" s="16" t="inlineStr">
        <is>
          <t>TK Zwykłe</t>
        </is>
      </c>
      <c r="D284" s="16" t="inlineStr">
        <is>
          <t>1 okolica anatomiczna</t>
        </is>
      </c>
      <c r="E284" s="9" t="n">
        <v>0</v>
      </c>
      <c r="F284" s="16" t="n">
        <v>0</v>
      </c>
      <c r="G284" s="16" t="n">
        <v>0</v>
      </c>
      <c r="H284" s="16">
        <f>IF(F284&gt;0,IFERROR(VALUE(LEFT($D284,1)),1),0)</f>
        <v/>
      </c>
      <c r="I284" s="16">
        <f>F284*H284</f>
        <v/>
      </c>
      <c r="J284" s="9">
        <f>E284*I284</f>
        <v/>
      </c>
      <c r="K284" s="9" t="n">
        <v>0</v>
      </c>
      <c r="L284" s="16" t="n">
        <v>0</v>
      </c>
      <c r="M284" s="16" t="n">
        <v>0</v>
      </c>
      <c r="N284" s="16">
        <f>IF(L284&gt;0,IFERROR(VALUE(LEFT($D284,1)),1),0)</f>
        <v/>
      </c>
      <c r="O284" s="16">
        <f>L284*N284</f>
        <v/>
      </c>
      <c r="P284" s="9">
        <f>K284*O284</f>
        <v/>
      </c>
      <c r="Q284" s="9" t="n">
        <v>0</v>
      </c>
      <c r="R284" s="16" t="n">
        <v>0</v>
      </c>
      <c r="S284" s="16" t="n">
        <v>0</v>
      </c>
      <c r="T284" s="16">
        <f>IF(R284&gt;0,IFERROR(VALUE(LEFT($D284,1)),1),0)</f>
        <v/>
      </c>
      <c r="U284" s="16">
        <f>R284*T284</f>
        <v/>
      </c>
      <c r="V284" s="9">
        <f>Q284*U284</f>
        <v/>
      </c>
      <c r="W284" s="9" t="n">
        <v>120</v>
      </c>
      <c r="X284" s="16" t="n">
        <v>4</v>
      </c>
      <c r="Y284" s="16" t="n">
        <v>0</v>
      </c>
      <c r="Z284" s="16">
        <f>IF(X284&gt;0,IFERROR(VALUE(LEFT($D284,1)),1),0)</f>
        <v/>
      </c>
      <c r="AA284" s="16">
        <f>X284*Z284</f>
        <v/>
      </c>
      <c r="AB284" s="9">
        <f>W284*AA284</f>
        <v/>
      </c>
      <c r="AC284" s="9" t="n">
        <v>0</v>
      </c>
      <c r="AD284" s="16" t="n">
        <v>0</v>
      </c>
      <c r="AE284" s="16" t="n">
        <v>0</v>
      </c>
      <c r="AF284" s="16">
        <f>IF(AD284&gt;0,IFERROR(VALUE(LEFT($D284,1)),1),0)</f>
        <v/>
      </c>
      <c r="AG284" s="16">
        <f>AD284*AF284</f>
        <v/>
      </c>
      <c r="AH284" s="9">
        <f>AC284*AG284</f>
        <v/>
      </c>
      <c r="AI284" s="9" t="n">
        <v>0</v>
      </c>
      <c r="AJ284" s="16" t="n">
        <v>0</v>
      </c>
      <c r="AK284" s="16" t="n">
        <v>0</v>
      </c>
      <c r="AL284" s="16">
        <f>IF(AJ284&gt;0,IFERROR(VALUE(LEFT($D284,1)),1),0)</f>
        <v/>
      </c>
      <c r="AM284" s="16">
        <f>AJ284*AL284</f>
        <v/>
      </c>
      <c r="AN284" s="9">
        <f>AI284*AM284</f>
        <v/>
      </c>
    </row>
    <row r="285">
      <c r="A285" s="16" t="inlineStr">
        <is>
          <t>TK</t>
        </is>
      </c>
      <c r="B285" s="16" t="inlineStr">
        <is>
          <t>TK, głowa, bez wzmocnienia kontrastowego</t>
        </is>
      </c>
      <c r="C285" s="16" t="inlineStr">
        <is>
          <t>TK Zwykłe</t>
        </is>
      </c>
      <c r="D285" s="16" t="inlineStr">
        <is>
          <t>1 okolica anatomiczna</t>
        </is>
      </c>
      <c r="E285" s="9" t="n">
        <v>0</v>
      </c>
      <c r="F285" s="16" t="n">
        <v>0</v>
      </c>
      <c r="G285" s="16" t="n">
        <v>0</v>
      </c>
      <c r="H285" s="16">
        <f>IF(F285&gt;0,IFERROR(VALUE(LEFT($D285,1)),1),0)</f>
        <v/>
      </c>
      <c r="I285" s="16">
        <f>F285*H285</f>
        <v/>
      </c>
      <c r="J285" s="9">
        <f>E285*I285</f>
        <v/>
      </c>
      <c r="K285" s="9" t="n">
        <v>0</v>
      </c>
      <c r="L285" s="16" t="n">
        <v>0</v>
      </c>
      <c r="M285" s="16" t="n">
        <v>0</v>
      </c>
      <c r="N285" s="16">
        <f>IF(L285&gt;0,IFERROR(VALUE(LEFT($D285,1)),1),0)</f>
        <v/>
      </c>
      <c r="O285" s="16">
        <f>L285*N285</f>
        <v/>
      </c>
      <c r="P285" s="9">
        <f>K285*O285</f>
        <v/>
      </c>
      <c r="Q285" s="9" t="n">
        <v>0</v>
      </c>
      <c r="R285" s="16" t="n">
        <v>0</v>
      </c>
      <c r="S285" s="16" t="n">
        <v>0</v>
      </c>
      <c r="T285" s="16">
        <f>IF(R285&gt;0,IFERROR(VALUE(LEFT($D285,1)),1),0)</f>
        <v/>
      </c>
      <c r="U285" s="16">
        <f>R285*T285</f>
        <v/>
      </c>
      <c r="V285" s="9">
        <f>Q285*U285</f>
        <v/>
      </c>
      <c r="W285" s="9" t="n">
        <v>120</v>
      </c>
      <c r="X285" s="16" t="n">
        <v>1</v>
      </c>
      <c r="Y285" s="16" t="n">
        <v>0</v>
      </c>
      <c r="Z285" s="16">
        <f>IF(X285&gt;0,IFERROR(VALUE(LEFT($D285,1)),1),0)</f>
        <v/>
      </c>
      <c r="AA285" s="16">
        <f>X285*Z285</f>
        <v/>
      </c>
      <c r="AB285" s="9">
        <f>W285*AA285</f>
        <v/>
      </c>
      <c r="AC285" s="9" t="n">
        <v>120</v>
      </c>
      <c r="AD285" s="16" t="n">
        <v>1</v>
      </c>
      <c r="AE285" s="16" t="n">
        <v>0</v>
      </c>
      <c r="AF285" s="16">
        <f>IF(AD285&gt;0,IFERROR(VALUE(LEFT($D285,1)),1),0)</f>
        <v/>
      </c>
      <c r="AG285" s="16">
        <f>AD285*AF285</f>
        <v/>
      </c>
      <c r="AH285" s="9">
        <f>AC285*AG285</f>
        <v/>
      </c>
      <c r="AI285" s="9" t="n">
        <v>0</v>
      </c>
      <c r="AJ285" s="16" t="n">
        <v>0</v>
      </c>
      <c r="AK285" s="16" t="n">
        <v>0</v>
      </c>
      <c r="AL285" s="16">
        <f>IF(AJ285&gt;0,IFERROR(VALUE(LEFT($D285,1)),1),0)</f>
        <v/>
      </c>
      <c r="AM285" s="16">
        <f>AJ285*AL285</f>
        <v/>
      </c>
      <c r="AN285" s="9">
        <f>AI285*AM285</f>
        <v/>
      </c>
    </row>
    <row r="286">
      <c r="A286" s="16" t="inlineStr">
        <is>
          <t>TK</t>
        </is>
      </c>
      <c r="B286" s="16" t="inlineStr">
        <is>
          <t>TK, głowa, bez wzmocnienia kontrastowego (6.209)</t>
        </is>
      </c>
      <c r="C286" s="16" t="inlineStr">
        <is>
          <t>TK Zwykłe</t>
        </is>
      </c>
      <c r="D286" s="16" t="inlineStr">
        <is>
          <t>2 okolice anatomiczne</t>
        </is>
      </c>
      <c r="E286" s="9" t="n">
        <v>0</v>
      </c>
      <c r="F286" s="16" t="n">
        <v>0</v>
      </c>
      <c r="G286" s="16" t="n">
        <v>0</v>
      </c>
      <c r="H286" s="16">
        <f>IF(F286&gt;0,IFERROR(VALUE(LEFT($D286,1)),1),0)</f>
        <v/>
      </c>
      <c r="I286" s="16">
        <f>F286*H286</f>
        <v/>
      </c>
      <c r="J286" s="9">
        <f>E286*I286</f>
        <v/>
      </c>
      <c r="K286" s="9" t="n">
        <v>0</v>
      </c>
      <c r="L286" s="16" t="n">
        <v>0</v>
      </c>
      <c r="M286" s="16" t="n">
        <v>0</v>
      </c>
      <c r="N286" s="16">
        <f>IF(L286&gt;0,IFERROR(VALUE(LEFT($D286,1)),1),0)</f>
        <v/>
      </c>
      <c r="O286" s="16">
        <f>L286*N286</f>
        <v/>
      </c>
      <c r="P286" s="9">
        <f>K286*O286</f>
        <v/>
      </c>
      <c r="Q286" s="9" t="n">
        <v>0</v>
      </c>
      <c r="R286" s="16" t="n">
        <v>0</v>
      </c>
      <c r="S286" s="16" t="n">
        <v>0</v>
      </c>
      <c r="T286" s="16">
        <f>IF(R286&gt;0,IFERROR(VALUE(LEFT($D286,1)),1),0)</f>
        <v/>
      </c>
      <c r="U286" s="16">
        <f>R286*T286</f>
        <v/>
      </c>
      <c r="V286" s="9">
        <f>Q286*U286</f>
        <v/>
      </c>
      <c r="W286" s="9" t="n">
        <v>120</v>
      </c>
      <c r="X286" s="16" t="n">
        <v>1</v>
      </c>
      <c r="Y286" s="16" t="n">
        <v>0</v>
      </c>
      <c r="Z286" s="16">
        <f>IF(X286&gt;0,IFERROR(VALUE(LEFT($D286,1)),1),0)</f>
        <v/>
      </c>
      <c r="AA286" s="16">
        <f>X286*Z286</f>
        <v/>
      </c>
      <c r="AB286" s="9">
        <f>W286*AA286</f>
        <v/>
      </c>
      <c r="AC286" s="9" t="n">
        <v>0</v>
      </c>
      <c r="AD286" s="16" t="n">
        <v>0</v>
      </c>
      <c r="AE286" s="16" t="n">
        <v>0</v>
      </c>
      <c r="AF286" s="16">
        <f>IF(AD286&gt;0,IFERROR(VALUE(LEFT($D286,1)),1),0)</f>
        <v/>
      </c>
      <c r="AG286" s="16">
        <f>AD286*AF286</f>
        <v/>
      </c>
      <c r="AH286" s="9">
        <f>AC286*AG286</f>
        <v/>
      </c>
      <c r="AI286" s="9" t="n">
        <v>0</v>
      </c>
      <c r="AJ286" s="16" t="n">
        <v>0</v>
      </c>
      <c r="AK286" s="16" t="n">
        <v>0</v>
      </c>
      <c r="AL286" s="16">
        <f>IF(AJ286&gt;0,IFERROR(VALUE(LEFT($D286,1)),1),0)</f>
        <v/>
      </c>
      <c r="AM286" s="16">
        <f>AJ286*AL286</f>
        <v/>
      </c>
      <c r="AN286" s="9">
        <f>AI286*AM286</f>
        <v/>
      </c>
    </row>
    <row r="287">
      <c r="A287" s="16" t="inlineStr">
        <is>
          <t>TK</t>
        </is>
      </c>
      <c r="B287" s="16" t="inlineStr">
        <is>
          <t>TK, głowy bez i ze wzmocnieniem kontrastowym</t>
        </is>
      </c>
      <c r="C287" s="16" t="inlineStr">
        <is>
          <t>TK Zwykłe</t>
        </is>
      </c>
      <c r="D287" s="16" t="inlineStr">
        <is>
          <t>1 okolica anatomiczna</t>
        </is>
      </c>
      <c r="E287" s="9" t="n">
        <v>0</v>
      </c>
      <c r="F287" s="16" t="n">
        <v>0</v>
      </c>
      <c r="G287" s="16" t="n">
        <v>0</v>
      </c>
      <c r="H287" s="16">
        <f>IF(F287&gt;0,IFERROR(VALUE(LEFT($D287,1)),1),0)</f>
        <v/>
      </c>
      <c r="I287" s="16">
        <f>F287*H287</f>
        <v/>
      </c>
      <c r="J287" s="9">
        <f>E287*I287</f>
        <v/>
      </c>
      <c r="K287" s="9" t="n">
        <v>0</v>
      </c>
      <c r="L287" s="16" t="n">
        <v>0</v>
      </c>
      <c r="M287" s="16" t="n">
        <v>0</v>
      </c>
      <c r="N287" s="16">
        <f>IF(L287&gt;0,IFERROR(VALUE(LEFT($D287,1)),1),0)</f>
        <v/>
      </c>
      <c r="O287" s="16">
        <f>L287*N287</f>
        <v/>
      </c>
      <c r="P287" s="9">
        <f>K287*O287</f>
        <v/>
      </c>
      <c r="Q287" s="9" t="n">
        <v>0</v>
      </c>
      <c r="R287" s="16" t="n">
        <v>0</v>
      </c>
      <c r="S287" s="16" t="n">
        <v>0</v>
      </c>
      <c r="T287" s="16">
        <f>IF(R287&gt;0,IFERROR(VALUE(LEFT($D287,1)),1),0)</f>
        <v/>
      </c>
      <c r="U287" s="16">
        <f>R287*T287</f>
        <v/>
      </c>
      <c r="V287" s="9">
        <f>Q287*U287</f>
        <v/>
      </c>
      <c r="W287" s="9" t="n">
        <v>120</v>
      </c>
      <c r="X287" s="16" t="n">
        <v>2</v>
      </c>
      <c r="Y287" s="16" t="n">
        <v>1</v>
      </c>
      <c r="Z287" s="16">
        <f>IF(X287&gt;0,IFERROR(VALUE(LEFT($D287,1)),1),0)</f>
        <v/>
      </c>
      <c r="AA287" s="16">
        <f>X287*Z287</f>
        <v/>
      </c>
      <c r="AB287" s="9">
        <f>W287*AA287</f>
        <v/>
      </c>
      <c r="AC287" s="9" t="n">
        <v>0</v>
      </c>
      <c r="AD287" s="16" t="n">
        <v>0</v>
      </c>
      <c r="AE287" s="16" t="n">
        <v>0</v>
      </c>
      <c r="AF287" s="16">
        <f>IF(AD287&gt;0,IFERROR(VALUE(LEFT($D287,1)),1),0)</f>
        <v/>
      </c>
      <c r="AG287" s="16">
        <f>AD287*AF287</f>
        <v/>
      </c>
      <c r="AH287" s="9">
        <f>AC287*AG287</f>
        <v/>
      </c>
      <c r="AI287" s="9" t="n">
        <v>0</v>
      </c>
      <c r="AJ287" s="16" t="n">
        <v>0</v>
      </c>
      <c r="AK287" s="16" t="n">
        <v>0</v>
      </c>
      <c r="AL287" s="16">
        <f>IF(AJ287&gt;0,IFERROR(VALUE(LEFT($D287,1)),1),0)</f>
        <v/>
      </c>
      <c r="AM287" s="16">
        <f>AJ287*AL287</f>
        <v/>
      </c>
      <c r="AN287" s="9">
        <f>AI287*AM287</f>
        <v/>
      </c>
    </row>
    <row r="288">
      <c r="A288" s="16" t="inlineStr">
        <is>
          <t>TK</t>
        </is>
      </c>
      <c r="B288" s="16" t="inlineStr">
        <is>
          <t>TK, jama brzuszna i miednica - badanie bez kontrastu</t>
        </is>
      </c>
      <c r="C288" s="16" t="inlineStr">
        <is>
          <t>TK Zwykłe</t>
        </is>
      </c>
      <c r="D288" s="16" t="inlineStr">
        <is>
          <t>2 okolice anatomiczne</t>
        </is>
      </c>
      <c r="E288" s="9" t="n">
        <v>0</v>
      </c>
      <c r="F288" s="16" t="n">
        <v>0</v>
      </c>
      <c r="G288" s="16" t="n">
        <v>0</v>
      </c>
      <c r="H288" s="16">
        <f>IF(F288&gt;0,IFERROR(VALUE(LEFT($D288,1)),1),0)</f>
        <v/>
      </c>
      <c r="I288" s="16">
        <f>F288*H288</f>
        <v/>
      </c>
      <c r="J288" s="9">
        <f>E288*I288</f>
        <v/>
      </c>
      <c r="K288" s="9" t="n">
        <v>0</v>
      </c>
      <c r="L288" s="16" t="n">
        <v>0</v>
      </c>
      <c r="M288" s="16" t="n">
        <v>0</v>
      </c>
      <c r="N288" s="16">
        <f>IF(L288&gt;0,IFERROR(VALUE(LEFT($D288,1)),1),0)</f>
        <v/>
      </c>
      <c r="O288" s="16">
        <f>L288*N288</f>
        <v/>
      </c>
      <c r="P288" s="9">
        <f>K288*O288</f>
        <v/>
      </c>
      <c r="Q288" s="9" t="n">
        <v>0</v>
      </c>
      <c r="R288" s="16" t="n">
        <v>0</v>
      </c>
      <c r="S288" s="16" t="n">
        <v>0</v>
      </c>
      <c r="T288" s="16">
        <f>IF(R288&gt;0,IFERROR(VALUE(LEFT($D288,1)),1),0)</f>
        <v/>
      </c>
      <c r="U288" s="16">
        <f>R288*T288</f>
        <v/>
      </c>
      <c r="V288" s="9">
        <f>Q288*U288</f>
        <v/>
      </c>
      <c r="W288" s="9" t="n">
        <v>120</v>
      </c>
      <c r="X288" s="16" t="n">
        <v>2</v>
      </c>
      <c r="Y288" s="16" t="n">
        <v>0</v>
      </c>
      <c r="Z288" s="16">
        <f>IF(X288&gt;0,IFERROR(VALUE(LEFT($D288,1)),1),0)</f>
        <v/>
      </c>
      <c r="AA288" s="16">
        <f>X288*Z288</f>
        <v/>
      </c>
      <c r="AB288" s="9">
        <f>W288*AA288</f>
        <v/>
      </c>
      <c r="AC288" s="9" t="n">
        <v>0</v>
      </c>
      <c r="AD288" s="16" t="n">
        <v>0</v>
      </c>
      <c r="AE288" s="16" t="n">
        <v>0</v>
      </c>
      <c r="AF288" s="16">
        <f>IF(AD288&gt;0,IFERROR(VALUE(LEFT($D288,1)),1),0)</f>
        <v/>
      </c>
      <c r="AG288" s="16">
        <f>AD288*AF288</f>
        <v/>
      </c>
      <c r="AH288" s="9">
        <f>AC288*AG288</f>
        <v/>
      </c>
      <c r="AI288" s="9" t="n">
        <v>0</v>
      </c>
      <c r="AJ288" s="16" t="n">
        <v>0</v>
      </c>
      <c r="AK288" s="16" t="n">
        <v>0</v>
      </c>
      <c r="AL288" s="16">
        <f>IF(AJ288&gt;0,IFERROR(VALUE(LEFT($D288,1)),1),0)</f>
        <v/>
      </c>
      <c r="AM288" s="16">
        <f>AJ288*AL288</f>
        <v/>
      </c>
      <c r="AN288" s="9">
        <f>AI288*AM288</f>
        <v/>
      </c>
    </row>
    <row r="289">
      <c r="A289" s="16" t="inlineStr">
        <is>
          <t>TK</t>
        </is>
      </c>
      <c r="B289" s="16" t="inlineStr">
        <is>
          <t>TK, jama brzuszna i miednica - badanie bez kontrastu i z kontrastem</t>
        </is>
      </c>
      <c r="C289" s="16" t="inlineStr">
        <is>
          <t>TK Zwykłe</t>
        </is>
      </c>
      <c r="D289" s="16" t="inlineStr">
        <is>
          <t>2 okolice anatomiczne</t>
        </is>
      </c>
      <c r="E289" s="9" t="n">
        <v>0</v>
      </c>
      <c r="F289" s="16" t="n">
        <v>0</v>
      </c>
      <c r="G289" s="16" t="n">
        <v>0</v>
      </c>
      <c r="H289" s="16">
        <f>IF(F289&gt;0,IFERROR(VALUE(LEFT($D289,1)),1),0)</f>
        <v/>
      </c>
      <c r="I289" s="16">
        <f>F289*H289</f>
        <v/>
      </c>
      <c r="J289" s="9">
        <f>E289*I289</f>
        <v/>
      </c>
      <c r="K289" s="9" t="n">
        <v>0</v>
      </c>
      <c r="L289" s="16" t="n">
        <v>0</v>
      </c>
      <c r="M289" s="16" t="n">
        <v>0</v>
      </c>
      <c r="N289" s="16">
        <f>IF(L289&gt;0,IFERROR(VALUE(LEFT($D289,1)),1),0)</f>
        <v/>
      </c>
      <c r="O289" s="16">
        <f>L289*N289</f>
        <v/>
      </c>
      <c r="P289" s="9">
        <f>K289*O289</f>
        <v/>
      </c>
      <c r="Q289" s="9" t="n">
        <v>0</v>
      </c>
      <c r="R289" s="16" t="n">
        <v>0</v>
      </c>
      <c r="S289" s="16" t="n">
        <v>0</v>
      </c>
      <c r="T289" s="16">
        <f>IF(R289&gt;0,IFERROR(VALUE(LEFT($D289,1)),1),0)</f>
        <v/>
      </c>
      <c r="U289" s="16">
        <f>R289*T289</f>
        <v/>
      </c>
      <c r="V289" s="9">
        <f>Q289*U289</f>
        <v/>
      </c>
      <c r="W289" s="9" t="n">
        <v>120</v>
      </c>
      <c r="X289" s="16" t="n">
        <v>2</v>
      </c>
      <c r="Y289" s="16" t="n">
        <v>0</v>
      </c>
      <c r="Z289" s="16">
        <f>IF(X289&gt;0,IFERROR(VALUE(LEFT($D289,1)),1),0)</f>
        <v/>
      </c>
      <c r="AA289" s="16">
        <f>X289*Z289</f>
        <v/>
      </c>
      <c r="AB289" s="9">
        <f>W289*AA289</f>
        <v/>
      </c>
      <c r="AC289" s="9" t="n">
        <v>0</v>
      </c>
      <c r="AD289" s="16" t="n">
        <v>0</v>
      </c>
      <c r="AE289" s="16" t="n">
        <v>0</v>
      </c>
      <c r="AF289" s="16">
        <f>IF(AD289&gt;0,IFERROR(VALUE(LEFT($D289,1)),1),0)</f>
        <v/>
      </c>
      <c r="AG289" s="16">
        <f>AD289*AF289</f>
        <v/>
      </c>
      <c r="AH289" s="9">
        <f>AC289*AG289</f>
        <v/>
      </c>
      <c r="AI289" s="9" t="n">
        <v>0</v>
      </c>
      <c r="AJ289" s="16" t="n">
        <v>0</v>
      </c>
      <c r="AK289" s="16" t="n">
        <v>0</v>
      </c>
      <c r="AL289" s="16">
        <f>IF(AJ289&gt;0,IFERROR(VALUE(LEFT($D289,1)),1),0)</f>
        <v/>
      </c>
      <c r="AM289" s="16">
        <f>AJ289*AL289</f>
        <v/>
      </c>
      <c r="AN289" s="9">
        <f>AI289*AM289</f>
        <v/>
      </c>
    </row>
    <row r="290">
      <c r="A290" s="16" t="inlineStr">
        <is>
          <t>TK</t>
        </is>
      </c>
      <c r="B290" s="16" t="inlineStr">
        <is>
          <t>TK, jama brzuszna i miednica, bez wzmocnienia kontrastowego (3.070)</t>
        </is>
      </c>
      <c r="C290" s="16" t="inlineStr">
        <is>
          <t>TK Zwykłe</t>
        </is>
      </c>
      <c r="D290" s="16" t="inlineStr">
        <is>
          <t>2 okolice anatomiczne</t>
        </is>
      </c>
      <c r="E290" s="9" t="n">
        <v>0</v>
      </c>
      <c r="F290" s="16" t="n">
        <v>0</v>
      </c>
      <c r="G290" s="16" t="n">
        <v>0</v>
      </c>
      <c r="H290" s="16">
        <f>IF(F290&gt;0,IFERROR(VALUE(LEFT($D290,1)),1),0)</f>
        <v/>
      </c>
      <c r="I290" s="16">
        <f>F290*H290</f>
        <v/>
      </c>
      <c r="J290" s="9">
        <f>E290*I290</f>
        <v/>
      </c>
      <c r="K290" s="9" t="n">
        <v>0</v>
      </c>
      <c r="L290" s="16" t="n">
        <v>0</v>
      </c>
      <c r="M290" s="16" t="n">
        <v>0</v>
      </c>
      <c r="N290" s="16">
        <f>IF(L290&gt;0,IFERROR(VALUE(LEFT($D290,1)),1),0)</f>
        <v/>
      </c>
      <c r="O290" s="16">
        <f>L290*N290</f>
        <v/>
      </c>
      <c r="P290" s="9">
        <f>K290*O290</f>
        <v/>
      </c>
      <c r="Q290" s="9" t="n">
        <v>0</v>
      </c>
      <c r="R290" s="16" t="n">
        <v>0</v>
      </c>
      <c r="S290" s="16" t="n">
        <v>0</v>
      </c>
      <c r="T290" s="16">
        <f>IF(R290&gt;0,IFERROR(VALUE(LEFT($D290,1)),1),0)</f>
        <v/>
      </c>
      <c r="U290" s="16">
        <f>R290*T290</f>
        <v/>
      </c>
      <c r="V290" s="9">
        <f>Q290*U290</f>
        <v/>
      </c>
      <c r="W290" s="9" t="n">
        <v>120</v>
      </c>
      <c r="X290" s="16" t="n">
        <v>1</v>
      </c>
      <c r="Y290" s="16" t="n">
        <v>0</v>
      </c>
      <c r="Z290" s="16">
        <f>IF(X290&gt;0,IFERROR(VALUE(LEFT($D290,1)),1),0)</f>
        <v/>
      </c>
      <c r="AA290" s="16">
        <f>X290*Z290</f>
        <v/>
      </c>
      <c r="AB290" s="9">
        <f>W290*AA290</f>
        <v/>
      </c>
      <c r="AC290" s="9" t="n">
        <v>0</v>
      </c>
      <c r="AD290" s="16" t="n">
        <v>0</v>
      </c>
      <c r="AE290" s="16" t="n">
        <v>0</v>
      </c>
      <c r="AF290" s="16">
        <f>IF(AD290&gt;0,IFERROR(VALUE(LEFT($D290,1)),1),0)</f>
        <v/>
      </c>
      <c r="AG290" s="16">
        <f>AD290*AF290</f>
        <v/>
      </c>
      <c r="AH290" s="9">
        <f>AC290*AG290</f>
        <v/>
      </c>
      <c r="AI290" s="9" t="n">
        <v>0</v>
      </c>
      <c r="AJ290" s="16" t="n">
        <v>0</v>
      </c>
      <c r="AK290" s="16" t="n">
        <v>0</v>
      </c>
      <c r="AL290" s="16">
        <f>IF(AJ290&gt;0,IFERROR(VALUE(LEFT($D290,1)),1),0)</f>
        <v/>
      </c>
      <c r="AM290" s="16">
        <f>AJ290*AL290</f>
        <v/>
      </c>
      <c r="AN290" s="9">
        <f>AI290*AM290</f>
        <v/>
      </c>
    </row>
    <row r="291">
      <c r="A291" s="16" t="inlineStr">
        <is>
          <t>TK</t>
        </is>
      </c>
      <c r="B291" s="16" t="inlineStr">
        <is>
          <t>TK, klatki piersiowej bez i ze wzmocnieniem kontrastowym</t>
        </is>
      </c>
      <c r="C291" s="16" t="inlineStr">
        <is>
          <t>TK Zwykłe</t>
        </is>
      </c>
      <c r="D291" s="16" t="inlineStr">
        <is>
          <t>1 okolica anatomiczna</t>
        </is>
      </c>
      <c r="E291" s="9" t="n">
        <v>0</v>
      </c>
      <c r="F291" s="16" t="n">
        <v>0</v>
      </c>
      <c r="G291" s="16" t="n">
        <v>0</v>
      </c>
      <c r="H291" s="16">
        <f>IF(F291&gt;0,IFERROR(VALUE(LEFT($D291,1)),1),0)</f>
        <v/>
      </c>
      <c r="I291" s="16">
        <f>F291*H291</f>
        <v/>
      </c>
      <c r="J291" s="9">
        <f>E291*I291</f>
        <v/>
      </c>
      <c r="K291" s="9" t="n">
        <v>0</v>
      </c>
      <c r="L291" s="16" t="n">
        <v>0</v>
      </c>
      <c r="M291" s="16" t="n">
        <v>0</v>
      </c>
      <c r="N291" s="16">
        <f>IF(L291&gt;0,IFERROR(VALUE(LEFT($D291,1)),1),0)</f>
        <v/>
      </c>
      <c r="O291" s="16">
        <f>L291*N291</f>
        <v/>
      </c>
      <c r="P291" s="9">
        <f>K291*O291</f>
        <v/>
      </c>
      <c r="Q291" s="9" t="n">
        <v>0</v>
      </c>
      <c r="R291" s="16" t="n">
        <v>0</v>
      </c>
      <c r="S291" s="16" t="n">
        <v>0</v>
      </c>
      <c r="T291" s="16">
        <f>IF(R291&gt;0,IFERROR(VALUE(LEFT($D291,1)),1),0)</f>
        <v/>
      </c>
      <c r="U291" s="16">
        <f>R291*T291</f>
        <v/>
      </c>
      <c r="V291" s="9">
        <f>Q291*U291</f>
        <v/>
      </c>
      <c r="W291" s="9" t="n">
        <v>120</v>
      </c>
      <c r="X291" s="16" t="n">
        <v>1</v>
      </c>
      <c r="Y291" s="16" t="n">
        <v>0</v>
      </c>
      <c r="Z291" s="16">
        <f>IF(X291&gt;0,IFERROR(VALUE(LEFT($D291,1)),1),0)</f>
        <v/>
      </c>
      <c r="AA291" s="16">
        <f>X291*Z291</f>
        <v/>
      </c>
      <c r="AB291" s="9">
        <f>W291*AA291</f>
        <v/>
      </c>
      <c r="AC291" s="9" t="n">
        <v>120</v>
      </c>
      <c r="AD291" s="16" t="n">
        <v>3</v>
      </c>
      <c r="AE291" s="16" t="n">
        <v>2</v>
      </c>
      <c r="AF291" s="16">
        <f>IF(AD291&gt;0,IFERROR(VALUE(LEFT($D291,1)),1),0)</f>
        <v/>
      </c>
      <c r="AG291" s="16">
        <f>AD291*AF291</f>
        <v/>
      </c>
      <c r="AH291" s="9">
        <f>AC291*AG291</f>
        <v/>
      </c>
      <c r="AI291" s="9" t="n">
        <v>0</v>
      </c>
      <c r="AJ291" s="16" t="n">
        <v>0</v>
      </c>
      <c r="AK291" s="16" t="n">
        <v>0</v>
      </c>
      <c r="AL291" s="16">
        <f>IF(AJ291&gt;0,IFERROR(VALUE(LEFT($D291,1)),1),0)</f>
        <v/>
      </c>
      <c r="AM291" s="16">
        <f>AJ291*AL291</f>
        <v/>
      </c>
      <c r="AN291" s="9">
        <f>AI291*AM291</f>
        <v/>
      </c>
    </row>
    <row r="292">
      <c r="A292" s="16" t="inlineStr">
        <is>
          <t>TK</t>
        </is>
      </c>
      <c r="B292" s="16" t="inlineStr">
        <is>
          <t>TK, kręgosłup szyjny, bez wzmocnienia kontrastowego</t>
        </is>
      </c>
      <c r="C292" s="16" t="inlineStr">
        <is>
          <t>TK Zwykłe</t>
        </is>
      </c>
      <c r="D292" s="16" t="inlineStr">
        <is>
          <t>1 okolica anatomiczna</t>
        </is>
      </c>
      <c r="E292" s="9" t="n">
        <v>0</v>
      </c>
      <c r="F292" s="16" t="n">
        <v>0</v>
      </c>
      <c r="G292" s="16" t="n">
        <v>0</v>
      </c>
      <c r="H292" s="16">
        <f>IF(F292&gt;0,IFERROR(VALUE(LEFT($D292,1)),1),0)</f>
        <v/>
      </c>
      <c r="I292" s="16">
        <f>F292*H292</f>
        <v/>
      </c>
      <c r="J292" s="9">
        <f>E292*I292</f>
        <v/>
      </c>
      <c r="K292" s="9" t="n">
        <v>0</v>
      </c>
      <c r="L292" s="16" t="n">
        <v>0</v>
      </c>
      <c r="M292" s="16" t="n">
        <v>0</v>
      </c>
      <c r="N292" s="16">
        <f>IF(L292&gt;0,IFERROR(VALUE(LEFT($D292,1)),1),0)</f>
        <v/>
      </c>
      <c r="O292" s="16">
        <f>L292*N292</f>
        <v/>
      </c>
      <c r="P292" s="9">
        <f>K292*O292</f>
        <v/>
      </c>
      <c r="Q292" s="9" t="n">
        <v>0</v>
      </c>
      <c r="R292" s="16" t="n">
        <v>0</v>
      </c>
      <c r="S292" s="16" t="n">
        <v>0</v>
      </c>
      <c r="T292" s="16">
        <f>IF(R292&gt;0,IFERROR(VALUE(LEFT($D292,1)),1),0)</f>
        <v/>
      </c>
      <c r="U292" s="16">
        <f>R292*T292</f>
        <v/>
      </c>
      <c r="V292" s="9">
        <f>Q292*U292</f>
        <v/>
      </c>
      <c r="W292" s="9" t="n">
        <v>120</v>
      </c>
      <c r="X292" s="16" t="n">
        <v>1</v>
      </c>
      <c r="Y292" s="16" t="n">
        <v>0</v>
      </c>
      <c r="Z292" s="16">
        <f>IF(X292&gt;0,IFERROR(VALUE(LEFT($D292,1)),1),0)</f>
        <v/>
      </c>
      <c r="AA292" s="16">
        <f>X292*Z292</f>
        <v/>
      </c>
      <c r="AB292" s="9">
        <f>W292*AA292</f>
        <v/>
      </c>
      <c r="AC292" s="9" t="n">
        <v>0</v>
      </c>
      <c r="AD292" s="16" t="n">
        <v>0</v>
      </c>
      <c r="AE292" s="16" t="n">
        <v>0</v>
      </c>
      <c r="AF292" s="16">
        <f>IF(AD292&gt;0,IFERROR(VALUE(LEFT($D292,1)),1),0)</f>
        <v/>
      </c>
      <c r="AG292" s="16">
        <f>AD292*AF292</f>
        <v/>
      </c>
      <c r="AH292" s="9">
        <f>AC292*AG292</f>
        <v/>
      </c>
      <c r="AI292" s="9" t="n">
        <v>0</v>
      </c>
      <c r="AJ292" s="16" t="n">
        <v>0</v>
      </c>
      <c r="AK292" s="16" t="n">
        <v>0</v>
      </c>
      <c r="AL292" s="16">
        <f>IF(AJ292&gt;0,IFERROR(VALUE(LEFT($D292,1)),1),0)</f>
        <v/>
      </c>
      <c r="AM292" s="16">
        <f>AJ292*AL292</f>
        <v/>
      </c>
      <c r="AN292" s="9">
        <f>AI292*AM292</f>
        <v/>
      </c>
    </row>
    <row r="293">
      <c r="A293" s="16" t="inlineStr">
        <is>
          <t>TK</t>
        </is>
      </c>
      <c r="B293" s="16" t="inlineStr">
        <is>
          <t>TK, miednica mniejsza bez i z wzmocnieniem kontrastowym (3.069)</t>
        </is>
      </c>
      <c r="C293" s="16" t="inlineStr">
        <is>
          <t>TK Zwykłe</t>
        </is>
      </c>
      <c r="D293" s="16" t="inlineStr">
        <is>
          <t>2 okolice anatomiczne</t>
        </is>
      </c>
      <c r="E293" s="9" t="n">
        <v>0</v>
      </c>
      <c r="F293" s="16" t="n">
        <v>0</v>
      </c>
      <c r="G293" s="16" t="n">
        <v>0</v>
      </c>
      <c r="H293" s="16">
        <f>IF(F293&gt;0,IFERROR(VALUE(LEFT($D293,1)),1),0)</f>
        <v/>
      </c>
      <c r="I293" s="16">
        <f>F293*H293</f>
        <v/>
      </c>
      <c r="J293" s="9">
        <f>E293*I293</f>
        <v/>
      </c>
      <c r="K293" s="9" t="n">
        <v>0</v>
      </c>
      <c r="L293" s="16" t="n">
        <v>0</v>
      </c>
      <c r="M293" s="16" t="n">
        <v>0</v>
      </c>
      <c r="N293" s="16">
        <f>IF(L293&gt;0,IFERROR(VALUE(LEFT($D293,1)),1),0)</f>
        <v/>
      </c>
      <c r="O293" s="16">
        <f>L293*N293</f>
        <v/>
      </c>
      <c r="P293" s="9">
        <f>K293*O293</f>
        <v/>
      </c>
      <c r="Q293" s="9" t="n">
        <v>0</v>
      </c>
      <c r="R293" s="16" t="n">
        <v>0</v>
      </c>
      <c r="S293" s="16" t="n">
        <v>0</v>
      </c>
      <c r="T293" s="16">
        <f>IF(R293&gt;0,IFERROR(VALUE(LEFT($D293,1)),1),0)</f>
        <v/>
      </c>
      <c r="U293" s="16">
        <f>R293*T293</f>
        <v/>
      </c>
      <c r="V293" s="9">
        <f>Q293*U293</f>
        <v/>
      </c>
      <c r="W293" s="9" t="n">
        <v>120</v>
      </c>
      <c r="X293" s="16" t="n">
        <v>1</v>
      </c>
      <c r="Y293" s="16" t="n">
        <v>0</v>
      </c>
      <c r="Z293" s="16">
        <f>IF(X293&gt;0,IFERROR(VALUE(LEFT($D293,1)),1),0)</f>
        <v/>
      </c>
      <c r="AA293" s="16">
        <f>X293*Z293</f>
        <v/>
      </c>
      <c r="AB293" s="9">
        <f>W293*AA293</f>
        <v/>
      </c>
      <c r="AC293" s="9" t="n">
        <v>0</v>
      </c>
      <c r="AD293" s="16" t="n">
        <v>0</v>
      </c>
      <c r="AE293" s="16" t="n">
        <v>0</v>
      </c>
      <c r="AF293" s="16">
        <f>IF(AD293&gt;0,IFERROR(VALUE(LEFT($D293,1)),1),0)</f>
        <v/>
      </c>
      <c r="AG293" s="16">
        <f>AD293*AF293</f>
        <v/>
      </c>
      <c r="AH293" s="9">
        <f>AC293*AG293</f>
        <v/>
      </c>
      <c r="AI293" s="9" t="n">
        <v>0</v>
      </c>
      <c r="AJ293" s="16" t="n">
        <v>0</v>
      </c>
      <c r="AK293" s="16" t="n">
        <v>0</v>
      </c>
      <c r="AL293" s="16">
        <f>IF(AJ293&gt;0,IFERROR(VALUE(LEFT($D293,1)),1),0)</f>
        <v/>
      </c>
      <c r="AM293" s="16">
        <f>AJ293*AL293</f>
        <v/>
      </c>
      <c r="AN293" s="9">
        <f>AI293*AM293</f>
        <v/>
      </c>
    </row>
    <row r="294">
      <c r="A294" s="16" t="inlineStr">
        <is>
          <t>TK</t>
        </is>
      </c>
      <c r="B294" s="16" t="inlineStr">
        <is>
          <t>TK, trzech lub więcej okolic anatomicznych - badanie bez kontrastu i z kontrastem</t>
        </is>
      </c>
      <c r="C294" s="16" t="inlineStr">
        <is>
          <t>TK Zwykłe</t>
        </is>
      </c>
      <c r="D294" s="16" t="inlineStr">
        <is>
          <t>3 okolice anatomiczne</t>
        </is>
      </c>
      <c r="E294" s="9" t="n">
        <v>0</v>
      </c>
      <c r="F294" s="16" t="n">
        <v>0</v>
      </c>
      <c r="G294" s="16" t="n">
        <v>0</v>
      </c>
      <c r="H294" s="16">
        <f>IF(F294&gt;0,IFERROR(VALUE(LEFT($D294,1)),1),0)</f>
        <v/>
      </c>
      <c r="I294" s="16">
        <f>F294*H294</f>
        <v/>
      </c>
      <c r="J294" s="9">
        <f>E294*I294</f>
        <v/>
      </c>
      <c r="K294" s="9" t="n">
        <v>0</v>
      </c>
      <c r="L294" s="16" t="n">
        <v>0</v>
      </c>
      <c r="M294" s="16" t="n">
        <v>0</v>
      </c>
      <c r="N294" s="16">
        <f>IF(L294&gt;0,IFERROR(VALUE(LEFT($D294,1)),1),0)</f>
        <v/>
      </c>
      <c r="O294" s="16">
        <f>L294*N294</f>
        <v/>
      </c>
      <c r="P294" s="9">
        <f>K294*O294</f>
        <v/>
      </c>
      <c r="Q294" s="9" t="n">
        <v>0</v>
      </c>
      <c r="R294" s="16" t="n">
        <v>0</v>
      </c>
      <c r="S294" s="16" t="n">
        <v>0</v>
      </c>
      <c r="T294" s="16">
        <f>IF(R294&gt;0,IFERROR(VALUE(LEFT($D294,1)),1),0)</f>
        <v/>
      </c>
      <c r="U294" s="16">
        <f>R294*T294</f>
        <v/>
      </c>
      <c r="V294" s="9">
        <f>Q294*U294</f>
        <v/>
      </c>
      <c r="W294" s="9" t="n">
        <v>120</v>
      </c>
      <c r="X294" s="16" t="n">
        <v>1</v>
      </c>
      <c r="Y294" s="16" t="n">
        <v>0</v>
      </c>
      <c r="Z294" s="16">
        <f>IF(X294&gt;0,IFERROR(VALUE(LEFT($D294,1)),1),0)</f>
        <v/>
      </c>
      <c r="AA294" s="16">
        <f>X294*Z294</f>
        <v/>
      </c>
      <c r="AB294" s="9">
        <f>W294*AA294</f>
        <v/>
      </c>
      <c r="AC294" s="9" t="n">
        <v>0</v>
      </c>
      <c r="AD294" s="16" t="n">
        <v>0</v>
      </c>
      <c r="AE294" s="16" t="n">
        <v>0</v>
      </c>
      <c r="AF294" s="16">
        <f>IF(AD294&gt;0,IFERROR(VALUE(LEFT($D294,1)),1),0)</f>
        <v/>
      </c>
      <c r="AG294" s="16">
        <f>AD294*AF294</f>
        <v/>
      </c>
      <c r="AH294" s="9">
        <f>AC294*AG294</f>
        <v/>
      </c>
      <c r="AI294" s="9" t="n">
        <v>0</v>
      </c>
      <c r="AJ294" s="16" t="n">
        <v>0</v>
      </c>
      <c r="AK294" s="16" t="n">
        <v>0</v>
      </c>
      <c r="AL294" s="16">
        <f>IF(AJ294&gt;0,IFERROR(VALUE(LEFT($D294,1)),1),0)</f>
        <v/>
      </c>
      <c r="AM294" s="16">
        <f>AJ294*AL294</f>
        <v/>
      </c>
      <c r="AN294" s="9">
        <f>AI294*AM294</f>
        <v/>
      </c>
    </row>
    <row r="295">
      <c r="A295" s="16" t="inlineStr">
        <is>
          <t>TK</t>
        </is>
      </c>
      <c r="B295" s="16" t="inlineStr">
        <is>
          <t>TK: badanie głowy  bez środka kontrastowego</t>
        </is>
      </c>
      <c r="C295" s="16" t="inlineStr">
        <is>
          <t>TK Zwykłe</t>
        </is>
      </c>
      <c r="D295" s="16" t="inlineStr">
        <is>
          <t>1 okolica anatomiczna</t>
        </is>
      </c>
      <c r="E295" s="9" t="n">
        <v>0</v>
      </c>
      <c r="F295" s="16" t="n">
        <v>0</v>
      </c>
      <c r="G295" s="16" t="n">
        <v>0</v>
      </c>
      <c r="H295" s="16">
        <f>IF(F295&gt;0,IFERROR(VALUE(LEFT($D295,1)),1),0)</f>
        <v/>
      </c>
      <c r="I295" s="16">
        <f>F295*H295</f>
        <v/>
      </c>
      <c r="J295" s="9">
        <f>E295*I295</f>
        <v/>
      </c>
      <c r="K295" s="9" t="n">
        <v>0</v>
      </c>
      <c r="L295" s="16" t="n">
        <v>0</v>
      </c>
      <c r="M295" s="16" t="n">
        <v>0</v>
      </c>
      <c r="N295" s="16">
        <f>IF(L295&gt;0,IFERROR(VALUE(LEFT($D295,1)),1),0)</f>
        <v/>
      </c>
      <c r="O295" s="16">
        <f>L295*N295</f>
        <v/>
      </c>
      <c r="P295" s="9">
        <f>K295*O295</f>
        <v/>
      </c>
      <c r="Q295" s="9" t="n">
        <v>0</v>
      </c>
      <c r="R295" s="16" t="n">
        <v>0</v>
      </c>
      <c r="S295" s="16" t="n">
        <v>0</v>
      </c>
      <c r="T295" s="16">
        <f>IF(R295&gt;0,IFERROR(VALUE(LEFT($D295,1)),1),0)</f>
        <v/>
      </c>
      <c r="U295" s="16">
        <f>R295*T295</f>
        <v/>
      </c>
      <c r="V295" s="9">
        <f>Q295*U295</f>
        <v/>
      </c>
      <c r="W295" s="9" t="n">
        <v>120</v>
      </c>
      <c r="X295" s="16" t="n">
        <v>3</v>
      </c>
      <c r="Y295" s="16" t="n">
        <v>0</v>
      </c>
      <c r="Z295" s="16">
        <f>IF(X295&gt;0,IFERROR(VALUE(LEFT($D295,1)),1),0)</f>
        <v/>
      </c>
      <c r="AA295" s="16">
        <f>X295*Z295</f>
        <v/>
      </c>
      <c r="AB295" s="9">
        <f>W295*AA295</f>
        <v/>
      </c>
      <c r="AC295" s="9" t="n">
        <v>0</v>
      </c>
      <c r="AD295" s="16" t="n">
        <v>0</v>
      </c>
      <c r="AE295" s="16" t="n">
        <v>0</v>
      </c>
      <c r="AF295" s="16">
        <f>IF(AD295&gt;0,IFERROR(VALUE(LEFT($D295,1)),1),0)</f>
        <v/>
      </c>
      <c r="AG295" s="16">
        <f>AD295*AF295</f>
        <v/>
      </c>
      <c r="AH295" s="9">
        <f>AC295*AG295</f>
        <v/>
      </c>
      <c r="AI295" s="9" t="n">
        <v>0</v>
      </c>
      <c r="AJ295" s="16" t="n">
        <v>0</v>
      </c>
      <c r="AK295" s="16" t="n">
        <v>0</v>
      </c>
      <c r="AL295" s="16">
        <f>IF(AJ295&gt;0,IFERROR(VALUE(LEFT($D295,1)),1),0)</f>
        <v/>
      </c>
      <c r="AM295" s="16">
        <f>AJ295*AL295</f>
        <v/>
      </c>
      <c r="AN295" s="9">
        <f>AI295*AM295</f>
        <v/>
      </c>
    </row>
    <row r="296">
      <c r="A296" s="16" t="inlineStr">
        <is>
          <t>TK</t>
        </is>
      </c>
      <c r="B296" s="16" t="inlineStr">
        <is>
          <t>Tk głowy bez wzmocnienia kontrastowego</t>
        </is>
      </c>
      <c r="C296" s="16" t="inlineStr">
        <is>
          <t>TK Zwykłe</t>
        </is>
      </c>
      <c r="D296" s="16" t="inlineStr">
        <is>
          <t>1 okolica anatomiczna</t>
        </is>
      </c>
      <c r="E296" s="9" t="n">
        <v>0</v>
      </c>
      <c r="F296" s="16" t="n">
        <v>0</v>
      </c>
      <c r="G296" s="16" t="n">
        <v>0</v>
      </c>
      <c r="H296" s="16">
        <f>IF(F296&gt;0,IFERROR(VALUE(LEFT($D296,1)),1),0)</f>
        <v/>
      </c>
      <c r="I296" s="16">
        <f>F296*H296</f>
        <v/>
      </c>
      <c r="J296" s="9">
        <f>E296*I296</f>
        <v/>
      </c>
      <c r="K296" s="9" t="n">
        <v>0</v>
      </c>
      <c r="L296" s="16" t="n">
        <v>0</v>
      </c>
      <c r="M296" s="16" t="n">
        <v>0</v>
      </c>
      <c r="N296" s="16">
        <f>IF(L296&gt;0,IFERROR(VALUE(LEFT($D296,1)),1),0)</f>
        <v/>
      </c>
      <c r="O296" s="16">
        <f>L296*N296</f>
        <v/>
      </c>
      <c r="P296" s="9">
        <f>K296*O296</f>
        <v/>
      </c>
      <c r="Q296" s="9" t="n">
        <v>0</v>
      </c>
      <c r="R296" s="16" t="n">
        <v>0</v>
      </c>
      <c r="S296" s="16" t="n">
        <v>0</v>
      </c>
      <c r="T296" s="16">
        <f>IF(R296&gt;0,IFERROR(VALUE(LEFT($D296,1)),1),0)</f>
        <v/>
      </c>
      <c r="U296" s="16">
        <f>R296*T296</f>
        <v/>
      </c>
      <c r="V296" s="9">
        <f>Q296*U296</f>
        <v/>
      </c>
      <c r="W296" s="9" t="n">
        <v>120</v>
      </c>
      <c r="X296" s="16" t="n">
        <v>6</v>
      </c>
      <c r="Y296" s="16" t="n">
        <v>0</v>
      </c>
      <c r="Z296" s="16">
        <f>IF(X296&gt;0,IFERROR(VALUE(LEFT($D296,1)),1),0)</f>
        <v/>
      </c>
      <c r="AA296" s="16">
        <f>X296*Z296</f>
        <v/>
      </c>
      <c r="AB296" s="9">
        <f>W296*AA296</f>
        <v/>
      </c>
      <c r="AC296" s="9" t="n">
        <v>0</v>
      </c>
      <c r="AD296" s="16" t="n">
        <v>0</v>
      </c>
      <c r="AE296" s="16" t="n">
        <v>0</v>
      </c>
      <c r="AF296" s="16">
        <f>IF(AD296&gt;0,IFERROR(VALUE(LEFT($D296,1)),1),0)</f>
        <v/>
      </c>
      <c r="AG296" s="16">
        <f>AD296*AF296</f>
        <v/>
      </c>
      <c r="AH296" s="9">
        <f>AC296*AG296</f>
        <v/>
      </c>
      <c r="AI296" s="9" t="n">
        <v>0</v>
      </c>
      <c r="AJ296" s="16" t="n">
        <v>0</v>
      </c>
      <c r="AK296" s="16" t="n">
        <v>0</v>
      </c>
      <c r="AL296" s="16">
        <f>IF(AJ296&gt;0,IFERROR(VALUE(LEFT($D296,1)),1),0)</f>
        <v/>
      </c>
      <c r="AM296" s="16">
        <f>AJ296*AL296</f>
        <v/>
      </c>
      <c r="AN296" s="9">
        <f>AI296*AM296</f>
        <v/>
      </c>
    </row>
    <row r="297">
      <c r="A297" s="16" t="inlineStr">
        <is>
          <t>TK</t>
        </is>
      </c>
      <c r="B297" s="16" t="inlineStr">
        <is>
          <t>Tk, całego ciała (uraz wielonarządowy), osoba dorosła (5.193)</t>
        </is>
      </c>
      <c r="C297" s="16" t="inlineStr">
        <is>
          <t>TK Zwykłe</t>
        </is>
      </c>
      <c r="D297" s="16" t="inlineStr">
        <is>
          <t>6 okolic anatomicznych</t>
        </is>
      </c>
      <c r="E297" s="9" t="n">
        <v>0</v>
      </c>
      <c r="F297" s="16" t="n">
        <v>0</v>
      </c>
      <c r="G297" s="16" t="n">
        <v>0</v>
      </c>
      <c r="H297" s="16">
        <f>IF(F297&gt;0,IFERROR(VALUE(LEFT($D297,1)),1),0)</f>
        <v/>
      </c>
      <c r="I297" s="16">
        <f>F297*H297</f>
        <v/>
      </c>
      <c r="J297" s="9">
        <f>E297*I297</f>
        <v/>
      </c>
      <c r="K297" s="9" t="n">
        <v>0</v>
      </c>
      <c r="L297" s="16" t="n">
        <v>0</v>
      </c>
      <c r="M297" s="16" t="n">
        <v>0</v>
      </c>
      <c r="N297" s="16">
        <f>IF(L297&gt;0,IFERROR(VALUE(LEFT($D297,1)),1),0)</f>
        <v/>
      </c>
      <c r="O297" s="16">
        <f>L297*N297</f>
        <v/>
      </c>
      <c r="P297" s="9">
        <f>K297*O297</f>
        <v/>
      </c>
      <c r="Q297" s="9" t="n">
        <v>0</v>
      </c>
      <c r="R297" s="16" t="n">
        <v>0</v>
      </c>
      <c r="S297" s="16" t="n">
        <v>0</v>
      </c>
      <c r="T297" s="16">
        <f>IF(R297&gt;0,IFERROR(VALUE(LEFT($D297,1)),1),0)</f>
        <v/>
      </c>
      <c r="U297" s="16">
        <f>R297*T297</f>
        <v/>
      </c>
      <c r="V297" s="9">
        <f>Q297*U297</f>
        <v/>
      </c>
      <c r="W297" s="9" t="n">
        <v>120</v>
      </c>
      <c r="X297" s="16" t="n">
        <v>1</v>
      </c>
      <c r="Y297" s="16" t="n">
        <v>0</v>
      </c>
      <c r="Z297" s="16">
        <f>IF(X297&gt;0,IFERROR(VALUE(LEFT($D297,1)),1),0)</f>
        <v/>
      </c>
      <c r="AA297" s="16">
        <f>X297*Z297</f>
        <v/>
      </c>
      <c r="AB297" s="9">
        <f>W297*AA297</f>
        <v/>
      </c>
      <c r="AC297" s="9" t="n">
        <v>0</v>
      </c>
      <c r="AD297" s="16" t="n">
        <v>0</v>
      </c>
      <c r="AE297" s="16" t="n">
        <v>0</v>
      </c>
      <c r="AF297" s="16">
        <f>IF(AD297&gt;0,IFERROR(VALUE(LEFT($D297,1)),1),0)</f>
        <v/>
      </c>
      <c r="AG297" s="16">
        <f>AD297*AF297</f>
        <v/>
      </c>
      <c r="AH297" s="9">
        <f>AC297*AG297</f>
        <v/>
      </c>
      <c r="AI297" s="9" t="n">
        <v>0</v>
      </c>
      <c r="AJ297" s="16" t="n">
        <v>0</v>
      </c>
      <c r="AK297" s="16" t="n">
        <v>0</v>
      </c>
      <c r="AL297" s="16">
        <f>IF(AJ297&gt;0,IFERROR(VALUE(LEFT($D297,1)),1),0)</f>
        <v/>
      </c>
      <c r="AM297" s="16">
        <f>AJ297*AL297</f>
        <v/>
      </c>
      <c r="AN297" s="9">
        <f>AI297*AM297</f>
        <v/>
      </c>
    </row>
    <row r="298">
      <c r="A298" s="16" t="inlineStr">
        <is>
          <t>TK</t>
        </is>
      </c>
      <c r="B298" s="16" t="inlineStr">
        <is>
          <t>Tomografia Komputerowa jamy brzusznej i miednicy</t>
        </is>
      </c>
      <c r="C298" s="16" t="inlineStr">
        <is>
          <t>TK Zwykłe</t>
        </is>
      </c>
      <c r="D298" s="16" t="inlineStr">
        <is>
          <t>2 okolice anatomiczne</t>
        </is>
      </c>
      <c r="E298" s="9" t="n">
        <v>0</v>
      </c>
      <c r="F298" s="16" t="n">
        <v>0</v>
      </c>
      <c r="G298" s="16" t="n">
        <v>0</v>
      </c>
      <c r="H298" s="16">
        <f>IF(F298&gt;0,IFERROR(VALUE(LEFT($D298,1)),1),0)</f>
        <v/>
      </c>
      <c r="I298" s="16">
        <f>F298*H298</f>
        <v/>
      </c>
      <c r="J298" s="9">
        <f>E298*I298</f>
        <v/>
      </c>
      <c r="K298" s="9" t="n">
        <v>0</v>
      </c>
      <c r="L298" s="16" t="n">
        <v>0</v>
      </c>
      <c r="M298" s="16" t="n">
        <v>0</v>
      </c>
      <c r="N298" s="16">
        <f>IF(L298&gt;0,IFERROR(VALUE(LEFT($D298,1)),1),0)</f>
        <v/>
      </c>
      <c r="O298" s="16">
        <f>L298*N298</f>
        <v/>
      </c>
      <c r="P298" s="9">
        <f>K298*O298</f>
        <v/>
      </c>
      <c r="Q298" s="9" t="n">
        <v>0</v>
      </c>
      <c r="R298" s="16" t="n">
        <v>0</v>
      </c>
      <c r="S298" s="16" t="n">
        <v>0</v>
      </c>
      <c r="T298" s="16">
        <f>IF(R298&gt;0,IFERROR(VALUE(LEFT($D298,1)),1),0)</f>
        <v/>
      </c>
      <c r="U298" s="16">
        <f>R298*T298</f>
        <v/>
      </c>
      <c r="V298" s="9">
        <f>Q298*U298</f>
        <v/>
      </c>
      <c r="W298" s="9" t="n">
        <v>120</v>
      </c>
      <c r="X298" s="16" t="n">
        <v>2</v>
      </c>
      <c r="Y298" s="16" t="n">
        <v>2</v>
      </c>
      <c r="Z298" s="16">
        <f>IF(X298&gt;0,IFERROR(VALUE(LEFT($D298,1)),1),0)</f>
        <v/>
      </c>
      <c r="AA298" s="16">
        <f>X298*Z298</f>
        <v/>
      </c>
      <c r="AB298" s="9">
        <f>W298*AA298</f>
        <v/>
      </c>
      <c r="AC298" s="9" t="n">
        <v>0</v>
      </c>
      <c r="AD298" s="16" t="n">
        <v>0</v>
      </c>
      <c r="AE298" s="16" t="n">
        <v>0</v>
      </c>
      <c r="AF298" s="16">
        <f>IF(AD298&gt;0,IFERROR(VALUE(LEFT($D298,1)),1),0)</f>
        <v/>
      </c>
      <c r="AG298" s="16">
        <f>AD298*AF298</f>
        <v/>
      </c>
      <c r="AH298" s="9">
        <f>AC298*AG298</f>
        <v/>
      </c>
      <c r="AI298" s="9" t="n">
        <v>0</v>
      </c>
      <c r="AJ298" s="16" t="n">
        <v>0</v>
      </c>
      <c r="AK298" s="16" t="n">
        <v>0</v>
      </c>
      <c r="AL298" s="16">
        <f>IF(AJ298&gt;0,IFERROR(VALUE(LEFT($D298,1)),1),0)</f>
        <v/>
      </c>
      <c r="AM298" s="16">
        <f>AJ298*AL298</f>
        <v/>
      </c>
      <c r="AN298" s="9">
        <f>AI298*AM298</f>
        <v/>
      </c>
    </row>
    <row r="299">
      <c r="A299" s="16" t="inlineStr">
        <is>
          <t>TK</t>
        </is>
      </c>
      <c r="B299" s="16" t="inlineStr">
        <is>
          <t>Tomografia Komputerowa jamy brzusznej i miednicy bez i z kontrastem</t>
        </is>
      </c>
      <c r="C299" s="16" t="inlineStr">
        <is>
          <t>TK Zwykłe</t>
        </is>
      </c>
      <c r="D299" s="16" t="inlineStr">
        <is>
          <t>2 okolice anatomiczne</t>
        </is>
      </c>
      <c r="E299" s="9" t="n">
        <v>0</v>
      </c>
      <c r="F299" s="16" t="n">
        <v>0</v>
      </c>
      <c r="G299" s="16" t="n">
        <v>0</v>
      </c>
      <c r="H299" s="16">
        <f>IF(F299&gt;0,IFERROR(VALUE(LEFT($D299,1)),1),0)</f>
        <v/>
      </c>
      <c r="I299" s="16">
        <f>F299*H299</f>
        <v/>
      </c>
      <c r="J299" s="9">
        <f>E299*I299</f>
        <v/>
      </c>
      <c r="K299" s="9" t="n">
        <v>0</v>
      </c>
      <c r="L299" s="16" t="n">
        <v>0</v>
      </c>
      <c r="M299" s="16" t="n">
        <v>0</v>
      </c>
      <c r="N299" s="16">
        <f>IF(L299&gt;0,IFERROR(VALUE(LEFT($D299,1)),1),0)</f>
        <v/>
      </c>
      <c r="O299" s="16">
        <f>L299*N299</f>
        <v/>
      </c>
      <c r="P299" s="9">
        <f>K299*O299</f>
        <v/>
      </c>
      <c r="Q299" s="9" t="n">
        <v>0</v>
      </c>
      <c r="R299" s="16" t="n">
        <v>0</v>
      </c>
      <c r="S299" s="16" t="n">
        <v>0</v>
      </c>
      <c r="T299" s="16">
        <f>IF(R299&gt;0,IFERROR(VALUE(LEFT($D299,1)),1),0)</f>
        <v/>
      </c>
      <c r="U299" s="16">
        <f>R299*T299</f>
        <v/>
      </c>
      <c r="V299" s="9">
        <f>Q299*U299</f>
        <v/>
      </c>
      <c r="W299" s="9" t="n">
        <v>120</v>
      </c>
      <c r="X299" s="16" t="n">
        <v>6</v>
      </c>
      <c r="Y299" s="16" t="n">
        <v>4</v>
      </c>
      <c r="Z299" s="16">
        <f>IF(X299&gt;0,IFERROR(VALUE(LEFT($D299,1)),1),0)</f>
        <v/>
      </c>
      <c r="AA299" s="16">
        <f>X299*Z299</f>
        <v/>
      </c>
      <c r="AB299" s="9">
        <f>W299*AA299</f>
        <v/>
      </c>
      <c r="AC299" s="9" t="n">
        <v>120</v>
      </c>
      <c r="AD299" s="16" t="n">
        <v>1</v>
      </c>
      <c r="AE299" s="16" t="n">
        <v>0</v>
      </c>
      <c r="AF299" s="16">
        <f>IF(AD299&gt;0,IFERROR(VALUE(LEFT($D299,1)),1),0)</f>
        <v/>
      </c>
      <c r="AG299" s="16">
        <f>AD299*AF299</f>
        <v/>
      </c>
      <c r="AH299" s="9">
        <f>AC299*AG299</f>
        <v/>
      </c>
      <c r="AI299" s="9" t="n">
        <v>0</v>
      </c>
      <c r="AJ299" s="16" t="n">
        <v>0</v>
      </c>
      <c r="AK299" s="16" t="n">
        <v>0</v>
      </c>
      <c r="AL299" s="16">
        <f>IF(AJ299&gt;0,IFERROR(VALUE(LEFT($D299,1)),1),0)</f>
        <v/>
      </c>
      <c r="AM299" s="16">
        <f>AJ299*AL299</f>
        <v/>
      </c>
      <c r="AN299" s="9">
        <f>AI299*AM299</f>
        <v/>
      </c>
    </row>
    <row r="300">
      <c r="A300" s="16" t="inlineStr">
        <is>
          <t>TK</t>
        </is>
      </c>
      <c r="B300" s="16" t="inlineStr">
        <is>
          <t>Tomografia Komputerowa klatki piersiowej, jamy brzusznej i miednicy</t>
        </is>
      </c>
      <c r="C300" s="16" t="inlineStr">
        <is>
          <t>TK Zwykłe</t>
        </is>
      </c>
      <c r="D300" s="16" t="inlineStr">
        <is>
          <t>3 okolice anatomiczne</t>
        </is>
      </c>
      <c r="E300" s="9" t="n">
        <v>0</v>
      </c>
      <c r="F300" s="16" t="n">
        <v>0</v>
      </c>
      <c r="G300" s="16" t="n">
        <v>0</v>
      </c>
      <c r="H300" s="16">
        <f>IF(F300&gt;0,IFERROR(VALUE(LEFT($D300,1)),1),0)</f>
        <v/>
      </c>
      <c r="I300" s="16">
        <f>F300*H300</f>
        <v/>
      </c>
      <c r="J300" s="9">
        <f>E300*I300</f>
        <v/>
      </c>
      <c r="K300" s="9" t="n">
        <v>0</v>
      </c>
      <c r="L300" s="16" t="n">
        <v>0</v>
      </c>
      <c r="M300" s="16" t="n">
        <v>0</v>
      </c>
      <c r="N300" s="16">
        <f>IF(L300&gt;0,IFERROR(VALUE(LEFT($D300,1)),1),0)</f>
        <v/>
      </c>
      <c r="O300" s="16">
        <f>L300*N300</f>
        <v/>
      </c>
      <c r="P300" s="9">
        <f>K300*O300</f>
        <v/>
      </c>
      <c r="Q300" s="9" t="n">
        <v>0</v>
      </c>
      <c r="R300" s="16" t="n">
        <v>0</v>
      </c>
      <c r="S300" s="16" t="n">
        <v>0</v>
      </c>
      <c r="T300" s="16">
        <f>IF(R300&gt;0,IFERROR(VALUE(LEFT($D300,1)),1),0)</f>
        <v/>
      </c>
      <c r="U300" s="16">
        <f>R300*T300</f>
        <v/>
      </c>
      <c r="V300" s="9">
        <f>Q300*U300</f>
        <v/>
      </c>
      <c r="W300" s="9" t="n">
        <v>120</v>
      </c>
      <c r="X300" s="16" t="n">
        <v>1</v>
      </c>
      <c r="Y300" s="16" t="n">
        <v>0</v>
      </c>
      <c r="Z300" s="16">
        <f>IF(X300&gt;0,IFERROR(VALUE(LEFT($D300,1)),1),0)</f>
        <v/>
      </c>
      <c r="AA300" s="16">
        <f>X300*Z300</f>
        <v/>
      </c>
      <c r="AB300" s="9">
        <f>W300*AA300</f>
        <v/>
      </c>
      <c r="AC300" s="9" t="n">
        <v>0</v>
      </c>
      <c r="AD300" s="16" t="n">
        <v>0</v>
      </c>
      <c r="AE300" s="16" t="n">
        <v>0</v>
      </c>
      <c r="AF300" s="16">
        <f>IF(AD300&gt;0,IFERROR(VALUE(LEFT($D300,1)),1),0)</f>
        <v/>
      </c>
      <c r="AG300" s="16">
        <f>AD300*AF300</f>
        <v/>
      </c>
      <c r="AH300" s="9">
        <f>AC300*AG300</f>
        <v/>
      </c>
      <c r="AI300" s="9" t="n">
        <v>0</v>
      </c>
      <c r="AJ300" s="16" t="n">
        <v>0</v>
      </c>
      <c r="AK300" s="16" t="n">
        <v>0</v>
      </c>
      <c r="AL300" s="16">
        <f>IF(AJ300&gt;0,IFERROR(VALUE(LEFT($D300,1)),1),0)</f>
        <v/>
      </c>
      <c r="AM300" s="16">
        <f>AJ300*AL300</f>
        <v/>
      </c>
      <c r="AN300" s="9">
        <f>AI300*AM300</f>
        <v/>
      </c>
    </row>
    <row r="301">
      <c r="A301" s="16" t="inlineStr">
        <is>
          <t>TK</t>
        </is>
      </c>
      <c r="B301" s="16" t="inlineStr">
        <is>
          <t>Tomografia Komputerowa klatki piersiowej, jamy brzusznej i miednicy z kontrastem</t>
        </is>
      </c>
      <c r="C301" s="16" t="inlineStr">
        <is>
          <t>TK Zwykłe</t>
        </is>
      </c>
      <c r="D301" s="16" t="inlineStr">
        <is>
          <t>3 okolice anatomiczne</t>
        </is>
      </c>
      <c r="E301" s="9" t="n">
        <v>0</v>
      </c>
      <c r="F301" s="16" t="n">
        <v>0</v>
      </c>
      <c r="G301" s="16" t="n">
        <v>0</v>
      </c>
      <c r="H301" s="16">
        <f>IF(F301&gt;0,IFERROR(VALUE(LEFT($D301,1)),1),0)</f>
        <v/>
      </c>
      <c r="I301" s="16">
        <f>F301*H301</f>
        <v/>
      </c>
      <c r="J301" s="9">
        <f>E301*I301</f>
        <v/>
      </c>
      <c r="K301" s="9" t="n">
        <v>0</v>
      </c>
      <c r="L301" s="16" t="n">
        <v>0</v>
      </c>
      <c r="M301" s="16" t="n">
        <v>0</v>
      </c>
      <c r="N301" s="16">
        <f>IF(L301&gt;0,IFERROR(VALUE(LEFT($D301,1)),1),0)</f>
        <v/>
      </c>
      <c r="O301" s="16">
        <f>L301*N301</f>
        <v/>
      </c>
      <c r="P301" s="9">
        <f>K301*O301</f>
        <v/>
      </c>
      <c r="Q301" s="9" t="n">
        <v>0</v>
      </c>
      <c r="R301" s="16" t="n">
        <v>0</v>
      </c>
      <c r="S301" s="16" t="n">
        <v>0</v>
      </c>
      <c r="T301" s="16">
        <f>IF(R301&gt;0,IFERROR(VALUE(LEFT($D301,1)),1),0)</f>
        <v/>
      </c>
      <c r="U301" s="16">
        <f>R301*T301</f>
        <v/>
      </c>
      <c r="V301" s="9">
        <f>Q301*U301</f>
        <v/>
      </c>
      <c r="W301" s="9" t="n">
        <v>120</v>
      </c>
      <c r="X301" s="16" t="n">
        <v>1</v>
      </c>
      <c r="Y301" s="16" t="n">
        <v>0</v>
      </c>
      <c r="Z301" s="16">
        <f>IF(X301&gt;0,IFERROR(VALUE(LEFT($D301,1)),1),0)</f>
        <v/>
      </c>
      <c r="AA301" s="16">
        <f>X301*Z301</f>
        <v/>
      </c>
      <c r="AB301" s="9">
        <f>W301*AA301</f>
        <v/>
      </c>
      <c r="AC301" s="9" t="n">
        <v>0</v>
      </c>
      <c r="AD301" s="16" t="n">
        <v>0</v>
      </c>
      <c r="AE301" s="16" t="n">
        <v>0</v>
      </c>
      <c r="AF301" s="16">
        <f>IF(AD301&gt;0,IFERROR(VALUE(LEFT($D301,1)),1),0)</f>
        <v/>
      </c>
      <c r="AG301" s="16">
        <f>AD301*AF301</f>
        <v/>
      </c>
      <c r="AH301" s="9">
        <f>AC301*AG301</f>
        <v/>
      </c>
      <c r="AI301" s="9" t="n">
        <v>0</v>
      </c>
      <c r="AJ301" s="16" t="n">
        <v>0</v>
      </c>
      <c r="AK301" s="16" t="n">
        <v>0</v>
      </c>
      <c r="AL301" s="16">
        <f>IF(AJ301&gt;0,IFERROR(VALUE(LEFT($D301,1)),1),0)</f>
        <v/>
      </c>
      <c r="AM301" s="16">
        <f>AJ301*AL301</f>
        <v/>
      </c>
      <c r="AN301" s="9">
        <f>AI301*AM301</f>
        <v/>
      </c>
    </row>
    <row r="302">
      <c r="A302" s="16" t="inlineStr">
        <is>
          <t>TK</t>
        </is>
      </c>
      <c r="B302" s="16" t="inlineStr">
        <is>
          <t>Tomografia Komputerowa kręgosłupa szyjnego</t>
        </is>
      </c>
      <c r="C302" s="16" t="inlineStr">
        <is>
          <t>TK Zwykłe</t>
        </is>
      </c>
      <c r="D302" s="16" t="inlineStr">
        <is>
          <t>1 okolica anatomiczna</t>
        </is>
      </c>
      <c r="E302" s="9" t="n">
        <v>0</v>
      </c>
      <c r="F302" s="16" t="n">
        <v>0</v>
      </c>
      <c r="G302" s="16" t="n">
        <v>0</v>
      </c>
      <c r="H302" s="16">
        <f>IF(F302&gt;0,IFERROR(VALUE(LEFT($D302,1)),1),0)</f>
        <v/>
      </c>
      <c r="I302" s="16">
        <f>F302*H302</f>
        <v/>
      </c>
      <c r="J302" s="9">
        <f>E302*I302</f>
        <v/>
      </c>
      <c r="K302" s="9" t="n">
        <v>0</v>
      </c>
      <c r="L302" s="16" t="n">
        <v>0</v>
      </c>
      <c r="M302" s="16" t="n">
        <v>0</v>
      </c>
      <c r="N302" s="16">
        <f>IF(L302&gt;0,IFERROR(VALUE(LEFT($D302,1)),1),0)</f>
        <v/>
      </c>
      <c r="O302" s="16">
        <f>L302*N302</f>
        <v/>
      </c>
      <c r="P302" s="9">
        <f>K302*O302</f>
        <v/>
      </c>
      <c r="Q302" s="9" t="n">
        <v>0</v>
      </c>
      <c r="R302" s="16" t="n">
        <v>0</v>
      </c>
      <c r="S302" s="16" t="n">
        <v>0</v>
      </c>
      <c r="T302" s="16">
        <f>IF(R302&gt;0,IFERROR(VALUE(LEFT($D302,1)),1),0)</f>
        <v/>
      </c>
      <c r="U302" s="16">
        <f>R302*T302</f>
        <v/>
      </c>
      <c r="V302" s="9">
        <f>Q302*U302</f>
        <v/>
      </c>
      <c r="W302" s="9" t="n">
        <v>120</v>
      </c>
      <c r="X302" s="16" t="n">
        <v>1</v>
      </c>
      <c r="Y302" s="16" t="n">
        <v>0</v>
      </c>
      <c r="Z302" s="16">
        <f>IF(X302&gt;0,IFERROR(VALUE(LEFT($D302,1)),1),0)</f>
        <v/>
      </c>
      <c r="AA302" s="16">
        <f>X302*Z302</f>
        <v/>
      </c>
      <c r="AB302" s="9">
        <f>W302*AA302</f>
        <v/>
      </c>
      <c r="AC302" s="9" t="n">
        <v>0</v>
      </c>
      <c r="AD302" s="16" t="n">
        <v>0</v>
      </c>
      <c r="AE302" s="16" t="n">
        <v>0</v>
      </c>
      <c r="AF302" s="16">
        <f>IF(AD302&gt;0,IFERROR(VALUE(LEFT($D302,1)),1),0)</f>
        <v/>
      </c>
      <c r="AG302" s="16">
        <f>AD302*AF302</f>
        <v/>
      </c>
      <c r="AH302" s="9">
        <f>AC302*AG302</f>
        <v/>
      </c>
      <c r="AI302" s="9" t="n">
        <v>0</v>
      </c>
      <c r="AJ302" s="16" t="n">
        <v>0</v>
      </c>
      <c r="AK302" s="16" t="n">
        <v>0</v>
      </c>
      <c r="AL302" s="16">
        <f>IF(AJ302&gt;0,IFERROR(VALUE(LEFT($D302,1)),1),0)</f>
        <v/>
      </c>
      <c r="AM302" s="16">
        <f>AJ302*AL302</f>
        <v/>
      </c>
      <c r="AN302" s="9">
        <f>AI302*AM302</f>
        <v/>
      </c>
    </row>
    <row r="303">
      <c r="A303" s="16" t="inlineStr">
        <is>
          <t>TK</t>
        </is>
      </c>
      <c r="B303" s="16" t="inlineStr">
        <is>
          <t>Tomografia czterech okolic anatomicznych</t>
        </is>
      </c>
      <c r="C303" s="16" t="inlineStr">
        <is>
          <t>TK Zwykłe</t>
        </is>
      </c>
      <c r="D303" s="16" t="inlineStr">
        <is>
          <t>4 okolice anatomiczne</t>
        </is>
      </c>
      <c r="E303" s="9" t="n">
        <v>0</v>
      </c>
      <c r="F303" s="16" t="n">
        <v>0</v>
      </c>
      <c r="G303" s="16" t="n">
        <v>0</v>
      </c>
      <c r="H303" s="16">
        <f>IF(F303&gt;0,IFERROR(VALUE(LEFT($D303,1)),1),0)</f>
        <v/>
      </c>
      <c r="I303" s="16">
        <f>F303*H303</f>
        <v/>
      </c>
      <c r="J303" s="9">
        <f>E303*I303</f>
        <v/>
      </c>
      <c r="K303" s="9" t="n">
        <v>0</v>
      </c>
      <c r="L303" s="16" t="n">
        <v>0</v>
      </c>
      <c r="M303" s="16" t="n">
        <v>0</v>
      </c>
      <c r="N303" s="16">
        <f>IF(L303&gt;0,IFERROR(VALUE(LEFT($D303,1)),1),0)</f>
        <v/>
      </c>
      <c r="O303" s="16">
        <f>L303*N303</f>
        <v/>
      </c>
      <c r="P303" s="9">
        <f>K303*O303</f>
        <v/>
      </c>
      <c r="Q303" s="9" t="n">
        <v>0</v>
      </c>
      <c r="R303" s="16" t="n">
        <v>0</v>
      </c>
      <c r="S303" s="16" t="n">
        <v>0</v>
      </c>
      <c r="T303" s="16">
        <f>IF(R303&gt;0,IFERROR(VALUE(LEFT($D303,1)),1),0)</f>
        <v/>
      </c>
      <c r="U303" s="16">
        <f>R303*T303</f>
        <v/>
      </c>
      <c r="V303" s="9">
        <f>Q303*U303</f>
        <v/>
      </c>
      <c r="W303" s="9" t="n">
        <v>120</v>
      </c>
      <c r="X303" s="16" t="n">
        <v>1</v>
      </c>
      <c r="Y303" s="16" t="n">
        <v>0</v>
      </c>
      <c r="Z303" s="16">
        <f>IF(X303&gt;0,IFERROR(VALUE(LEFT($D303,1)),1),0)</f>
        <v/>
      </c>
      <c r="AA303" s="16">
        <f>X303*Z303</f>
        <v/>
      </c>
      <c r="AB303" s="9">
        <f>W303*AA303</f>
        <v/>
      </c>
      <c r="AC303" s="9" t="n">
        <v>0</v>
      </c>
      <c r="AD303" s="16" t="n">
        <v>0</v>
      </c>
      <c r="AE303" s="16" t="n">
        <v>0</v>
      </c>
      <c r="AF303" s="16">
        <f>IF(AD303&gt;0,IFERROR(VALUE(LEFT($D303,1)),1),0)</f>
        <v/>
      </c>
      <c r="AG303" s="16">
        <f>AD303*AF303</f>
        <v/>
      </c>
      <c r="AH303" s="9">
        <f>AC303*AG303</f>
        <v/>
      </c>
      <c r="AI303" s="9" t="n">
        <v>0</v>
      </c>
      <c r="AJ303" s="16" t="n">
        <v>0</v>
      </c>
      <c r="AK303" s="16" t="n">
        <v>0</v>
      </c>
      <c r="AL303" s="16">
        <f>IF(AJ303&gt;0,IFERROR(VALUE(LEFT($D303,1)),1),0)</f>
        <v/>
      </c>
      <c r="AM303" s="16">
        <f>AJ303*AL303</f>
        <v/>
      </c>
      <c r="AN303" s="9">
        <f>AI303*AM303</f>
        <v/>
      </c>
    </row>
    <row r="304">
      <c r="A304" s="16" t="inlineStr">
        <is>
          <t>TK</t>
        </is>
      </c>
      <c r="B304" s="16" t="inlineStr">
        <is>
          <t>Tomografia dwóch okolic anatomicznych</t>
        </is>
      </c>
      <c r="C304" s="16" t="inlineStr">
        <is>
          <t>TK Zwykłe</t>
        </is>
      </c>
      <c r="D304" s="16" t="inlineStr">
        <is>
          <t>2 okolice anatomiczne</t>
        </is>
      </c>
      <c r="E304" s="9" t="n">
        <v>0</v>
      </c>
      <c r="F304" s="16" t="n">
        <v>0</v>
      </c>
      <c r="G304" s="16" t="n">
        <v>0</v>
      </c>
      <c r="H304" s="16">
        <f>IF(F304&gt;0,IFERROR(VALUE(LEFT($D304,1)),1),0)</f>
        <v/>
      </c>
      <c r="I304" s="16">
        <f>F304*H304</f>
        <v/>
      </c>
      <c r="J304" s="9">
        <f>E304*I304</f>
        <v/>
      </c>
      <c r="K304" s="9" t="n">
        <v>0</v>
      </c>
      <c r="L304" s="16" t="n">
        <v>0</v>
      </c>
      <c r="M304" s="16" t="n">
        <v>0</v>
      </c>
      <c r="N304" s="16">
        <f>IF(L304&gt;0,IFERROR(VALUE(LEFT($D304,1)),1),0)</f>
        <v/>
      </c>
      <c r="O304" s="16">
        <f>L304*N304</f>
        <v/>
      </c>
      <c r="P304" s="9">
        <f>K304*O304</f>
        <v/>
      </c>
      <c r="Q304" s="9" t="n">
        <v>0</v>
      </c>
      <c r="R304" s="16" t="n">
        <v>0</v>
      </c>
      <c r="S304" s="16" t="n">
        <v>0</v>
      </c>
      <c r="T304" s="16">
        <f>IF(R304&gt;0,IFERROR(VALUE(LEFT($D304,1)),1),0)</f>
        <v/>
      </c>
      <c r="U304" s="16">
        <f>R304*T304</f>
        <v/>
      </c>
      <c r="V304" s="9">
        <f>Q304*U304</f>
        <v/>
      </c>
      <c r="W304" s="9" t="n">
        <v>120</v>
      </c>
      <c r="X304" s="16" t="n">
        <v>3</v>
      </c>
      <c r="Y304" s="16" t="n">
        <v>0</v>
      </c>
      <c r="Z304" s="16">
        <f>IF(X304&gt;0,IFERROR(VALUE(LEFT($D304,1)),1),0)</f>
        <v/>
      </c>
      <c r="AA304" s="16">
        <f>X304*Z304</f>
        <v/>
      </c>
      <c r="AB304" s="9">
        <f>W304*AA304</f>
        <v/>
      </c>
      <c r="AC304" s="9" t="n">
        <v>0</v>
      </c>
      <c r="AD304" s="16" t="n">
        <v>0</v>
      </c>
      <c r="AE304" s="16" t="n">
        <v>0</v>
      </c>
      <c r="AF304" s="16">
        <f>IF(AD304&gt;0,IFERROR(VALUE(LEFT($D304,1)),1),0)</f>
        <v/>
      </c>
      <c r="AG304" s="16">
        <f>AD304*AF304</f>
        <v/>
      </c>
      <c r="AH304" s="9">
        <f>AC304*AG304</f>
        <v/>
      </c>
      <c r="AI304" s="9" t="n">
        <v>0</v>
      </c>
      <c r="AJ304" s="16" t="n">
        <v>0</v>
      </c>
      <c r="AK304" s="16" t="n">
        <v>0</v>
      </c>
      <c r="AL304" s="16">
        <f>IF(AJ304&gt;0,IFERROR(VALUE(LEFT($D304,1)),1),0)</f>
        <v/>
      </c>
      <c r="AM304" s="16">
        <f>AJ304*AL304</f>
        <v/>
      </c>
      <c r="AN304" s="9">
        <f>AI304*AM304</f>
        <v/>
      </c>
    </row>
    <row r="305">
      <c r="A305" s="16" t="inlineStr">
        <is>
          <t>TK</t>
        </is>
      </c>
      <c r="B305" s="16" t="inlineStr">
        <is>
          <t>Tomografia komputerowa - głowa (mózgowie) bez kontrastu dożylnego</t>
        </is>
      </c>
      <c r="C305" s="16" t="inlineStr">
        <is>
          <t>TK Zwykłe</t>
        </is>
      </c>
      <c r="D305" s="16" t="inlineStr">
        <is>
          <t>1 okolica anatomiczna</t>
        </is>
      </c>
      <c r="E305" s="9" t="n">
        <v>0</v>
      </c>
      <c r="F305" s="16" t="n">
        <v>0</v>
      </c>
      <c r="G305" s="16" t="n">
        <v>0</v>
      </c>
      <c r="H305" s="16">
        <f>IF(F305&gt;0,IFERROR(VALUE(LEFT($D305,1)),1),0)</f>
        <v/>
      </c>
      <c r="I305" s="16">
        <f>F305*H305</f>
        <v/>
      </c>
      <c r="J305" s="9">
        <f>E305*I305</f>
        <v/>
      </c>
      <c r="K305" s="9" t="n">
        <v>120</v>
      </c>
      <c r="L305" s="16" t="n">
        <v>1</v>
      </c>
      <c r="M305" s="16" t="n">
        <v>0</v>
      </c>
      <c r="N305" s="16">
        <f>IF(L305&gt;0,IFERROR(VALUE(LEFT($D305,1)),1),0)</f>
        <v/>
      </c>
      <c r="O305" s="16">
        <f>L305*N305</f>
        <v/>
      </c>
      <c r="P305" s="9">
        <f>K305*O305</f>
        <v/>
      </c>
      <c r="Q305" s="9" t="n">
        <v>0</v>
      </c>
      <c r="R305" s="16" t="n">
        <v>0</v>
      </c>
      <c r="S305" s="16" t="n">
        <v>0</v>
      </c>
      <c r="T305" s="16">
        <f>IF(R305&gt;0,IFERROR(VALUE(LEFT($D305,1)),1),0)</f>
        <v/>
      </c>
      <c r="U305" s="16">
        <f>R305*T305</f>
        <v/>
      </c>
      <c r="V305" s="9">
        <f>Q305*U305</f>
        <v/>
      </c>
      <c r="W305" s="9" t="n">
        <v>120</v>
      </c>
      <c r="X305" s="16" t="n">
        <v>8</v>
      </c>
      <c r="Y305" s="16" t="n">
        <v>0</v>
      </c>
      <c r="Z305" s="16">
        <f>IF(X305&gt;0,IFERROR(VALUE(LEFT($D305,1)),1),0)</f>
        <v/>
      </c>
      <c r="AA305" s="16">
        <f>X305*Z305</f>
        <v/>
      </c>
      <c r="AB305" s="9">
        <f>W305*AA305</f>
        <v/>
      </c>
      <c r="AC305" s="9" t="n">
        <v>0</v>
      </c>
      <c r="AD305" s="16" t="n">
        <v>0</v>
      </c>
      <c r="AE305" s="16" t="n">
        <v>0</v>
      </c>
      <c r="AF305" s="16">
        <f>IF(AD305&gt;0,IFERROR(VALUE(LEFT($D305,1)),1),0)</f>
        <v/>
      </c>
      <c r="AG305" s="16">
        <f>AD305*AF305</f>
        <v/>
      </c>
      <c r="AH305" s="9">
        <f>AC305*AG305</f>
        <v/>
      </c>
      <c r="AI305" s="9" t="n">
        <v>0</v>
      </c>
      <c r="AJ305" s="16" t="n">
        <v>0</v>
      </c>
      <c r="AK305" s="16" t="n">
        <v>0</v>
      </c>
      <c r="AL305" s="16">
        <f>IF(AJ305&gt;0,IFERROR(VALUE(LEFT($D305,1)),1),0)</f>
        <v/>
      </c>
      <c r="AM305" s="16">
        <f>AJ305*AL305</f>
        <v/>
      </c>
      <c r="AN305" s="9">
        <f>AI305*AM305</f>
        <v/>
      </c>
    </row>
    <row r="306">
      <c r="A306" s="16" t="inlineStr">
        <is>
          <t>TK</t>
        </is>
      </c>
      <c r="B306" s="16" t="inlineStr">
        <is>
          <t>Tomografia komputerowa - głowa (mózgowie) bez kontrastu dożylnego z wtórnym opracowaniem</t>
        </is>
      </c>
      <c r="C306" s="16" t="inlineStr">
        <is>
          <t>TK Zwykłe</t>
        </is>
      </c>
      <c r="D306" s="16" t="inlineStr">
        <is>
          <t>1 okolica anatomiczna</t>
        </is>
      </c>
      <c r="E306" s="9" t="n">
        <v>0</v>
      </c>
      <c r="F306" s="16" t="n">
        <v>0</v>
      </c>
      <c r="G306" s="16" t="n">
        <v>0</v>
      </c>
      <c r="H306" s="16">
        <f>IF(F306&gt;0,IFERROR(VALUE(LEFT($D306,1)),1),0)</f>
        <v/>
      </c>
      <c r="I306" s="16">
        <f>F306*H306</f>
        <v/>
      </c>
      <c r="J306" s="9">
        <f>E306*I306</f>
        <v/>
      </c>
      <c r="K306" s="9" t="n">
        <v>120</v>
      </c>
      <c r="L306" s="16" t="n">
        <v>1</v>
      </c>
      <c r="M306" s="16" t="n">
        <v>0</v>
      </c>
      <c r="N306" s="16">
        <f>IF(L306&gt;0,IFERROR(VALUE(LEFT($D306,1)),1),0)</f>
        <v/>
      </c>
      <c r="O306" s="16">
        <f>L306*N306</f>
        <v/>
      </c>
      <c r="P306" s="9">
        <f>K306*O306</f>
        <v/>
      </c>
      <c r="Q306" s="9" t="n">
        <v>0</v>
      </c>
      <c r="R306" s="16" t="n">
        <v>0</v>
      </c>
      <c r="S306" s="16" t="n">
        <v>0</v>
      </c>
      <c r="T306" s="16">
        <f>IF(R306&gt;0,IFERROR(VALUE(LEFT($D306,1)),1),0)</f>
        <v/>
      </c>
      <c r="U306" s="16">
        <f>R306*T306</f>
        <v/>
      </c>
      <c r="V306" s="9">
        <f>Q306*U306</f>
        <v/>
      </c>
      <c r="W306" s="9" t="n">
        <v>120</v>
      </c>
      <c r="X306" s="16" t="n">
        <v>13</v>
      </c>
      <c r="Y306" s="16" t="n">
        <v>0</v>
      </c>
      <c r="Z306" s="16">
        <f>IF(X306&gt;0,IFERROR(VALUE(LEFT($D306,1)),1),0)</f>
        <v/>
      </c>
      <c r="AA306" s="16">
        <f>X306*Z306</f>
        <v/>
      </c>
      <c r="AB306" s="9">
        <f>W306*AA306</f>
        <v/>
      </c>
      <c r="AC306" s="9" t="n">
        <v>0</v>
      </c>
      <c r="AD306" s="16" t="n">
        <v>0</v>
      </c>
      <c r="AE306" s="16" t="n">
        <v>0</v>
      </c>
      <c r="AF306" s="16">
        <f>IF(AD306&gt;0,IFERROR(VALUE(LEFT($D306,1)),1),0)</f>
        <v/>
      </c>
      <c r="AG306" s="16">
        <f>AD306*AF306</f>
        <v/>
      </c>
      <c r="AH306" s="9">
        <f>AC306*AG306</f>
        <v/>
      </c>
      <c r="AI306" s="9" t="n">
        <v>0</v>
      </c>
      <c r="AJ306" s="16" t="n">
        <v>0</v>
      </c>
      <c r="AK306" s="16" t="n">
        <v>0</v>
      </c>
      <c r="AL306" s="16">
        <f>IF(AJ306&gt;0,IFERROR(VALUE(LEFT($D306,1)),1),0)</f>
        <v/>
      </c>
      <c r="AM306" s="16">
        <f>AJ306*AL306</f>
        <v/>
      </c>
      <c r="AN306" s="9">
        <f>AI306*AM306</f>
        <v/>
      </c>
    </row>
    <row r="307">
      <c r="A307" s="16" t="inlineStr">
        <is>
          <t>TK</t>
        </is>
      </c>
      <c r="B307" s="16" t="inlineStr">
        <is>
          <t>Tomografia komputerowa - głowa (mózgowie) bez kontrastu i z kontrastem dożylnym z wtórnym opracowaniem</t>
        </is>
      </c>
      <c r="C307" s="16" t="inlineStr">
        <is>
          <t>TK Zwykłe</t>
        </is>
      </c>
      <c r="D307" s="16" t="inlineStr">
        <is>
          <t>1 okolica anatomiczna</t>
        </is>
      </c>
      <c r="E307" s="9" t="n">
        <v>0</v>
      </c>
      <c r="F307" s="16" t="n">
        <v>0</v>
      </c>
      <c r="G307" s="16" t="n">
        <v>0</v>
      </c>
      <c r="H307" s="16">
        <f>IF(F307&gt;0,IFERROR(VALUE(LEFT($D307,1)),1),0)</f>
        <v/>
      </c>
      <c r="I307" s="16">
        <f>F307*H307</f>
        <v/>
      </c>
      <c r="J307" s="9">
        <f>E307*I307</f>
        <v/>
      </c>
      <c r="K307" s="9" t="n">
        <v>0</v>
      </c>
      <c r="L307" s="16" t="n">
        <v>0</v>
      </c>
      <c r="M307" s="16" t="n">
        <v>0</v>
      </c>
      <c r="N307" s="16">
        <f>IF(L307&gt;0,IFERROR(VALUE(LEFT($D307,1)),1),0)</f>
        <v/>
      </c>
      <c r="O307" s="16">
        <f>L307*N307</f>
        <v/>
      </c>
      <c r="P307" s="9">
        <f>K307*O307</f>
        <v/>
      </c>
      <c r="Q307" s="9" t="n">
        <v>0</v>
      </c>
      <c r="R307" s="16" t="n">
        <v>0</v>
      </c>
      <c r="S307" s="16" t="n">
        <v>0</v>
      </c>
      <c r="T307" s="16">
        <f>IF(R307&gt;0,IFERROR(VALUE(LEFT($D307,1)),1),0)</f>
        <v/>
      </c>
      <c r="U307" s="16">
        <f>R307*T307</f>
        <v/>
      </c>
      <c r="V307" s="9">
        <f>Q307*U307</f>
        <v/>
      </c>
      <c r="W307" s="9" t="n">
        <v>120</v>
      </c>
      <c r="X307" s="16" t="n">
        <v>1</v>
      </c>
      <c r="Y307" s="16" t="n">
        <v>0</v>
      </c>
      <c r="Z307" s="16">
        <f>IF(X307&gt;0,IFERROR(VALUE(LEFT($D307,1)),1),0)</f>
        <v/>
      </c>
      <c r="AA307" s="16">
        <f>X307*Z307</f>
        <v/>
      </c>
      <c r="AB307" s="9">
        <f>W307*AA307</f>
        <v/>
      </c>
      <c r="AC307" s="9" t="n">
        <v>0</v>
      </c>
      <c r="AD307" s="16" t="n">
        <v>0</v>
      </c>
      <c r="AE307" s="16" t="n">
        <v>0</v>
      </c>
      <c r="AF307" s="16">
        <f>IF(AD307&gt;0,IFERROR(VALUE(LEFT($D307,1)),1),0)</f>
        <v/>
      </c>
      <c r="AG307" s="16">
        <f>AD307*AF307</f>
        <v/>
      </c>
      <c r="AH307" s="9">
        <f>AC307*AG307</f>
        <v/>
      </c>
      <c r="AI307" s="9" t="n">
        <v>0</v>
      </c>
      <c r="AJ307" s="16" t="n">
        <v>0</v>
      </c>
      <c r="AK307" s="16" t="n">
        <v>0</v>
      </c>
      <c r="AL307" s="16">
        <f>IF(AJ307&gt;0,IFERROR(VALUE(LEFT($D307,1)),1),0)</f>
        <v/>
      </c>
      <c r="AM307" s="16">
        <f>AJ307*AL307</f>
        <v/>
      </c>
      <c r="AN307" s="9">
        <f>AI307*AM307</f>
        <v/>
      </c>
    </row>
    <row r="308">
      <c r="A308" s="16" t="inlineStr">
        <is>
          <t>TK</t>
        </is>
      </c>
      <c r="B308" s="16" t="inlineStr">
        <is>
          <t>Tomografia komputerowa - jama brzuszna i miednica bez kontrastu i z kontrastem dożylnym bez pojenia doustnego z wtórnym opracowa</t>
        </is>
      </c>
      <c r="C308" s="16" t="inlineStr">
        <is>
          <t>TK Zwykłe</t>
        </is>
      </c>
      <c r="D308" s="16" t="inlineStr">
        <is>
          <t>2 okolice anatomiczne</t>
        </is>
      </c>
      <c r="E308" s="9" t="n">
        <v>0</v>
      </c>
      <c r="F308" s="16" t="n">
        <v>0</v>
      </c>
      <c r="G308" s="16" t="n">
        <v>0</v>
      </c>
      <c r="H308" s="16">
        <f>IF(F308&gt;0,IFERROR(VALUE(LEFT($D308,1)),1),0)</f>
        <v/>
      </c>
      <c r="I308" s="16">
        <f>F308*H308</f>
        <v/>
      </c>
      <c r="J308" s="9">
        <f>E308*I308</f>
        <v/>
      </c>
      <c r="K308" s="9" t="n">
        <v>0</v>
      </c>
      <c r="L308" s="16" t="n">
        <v>0</v>
      </c>
      <c r="M308" s="16" t="n">
        <v>0</v>
      </c>
      <c r="N308" s="16">
        <f>IF(L308&gt;0,IFERROR(VALUE(LEFT($D308,1)),1),0)</f>
        <v/>
      </c>
      <c r="O308" s="16">
        <f>L308*N308</f>
        <v/>
      </c>
      <c r="P308" s="9">
        <f>K308*O308</f>
        <v/>
      </c>
      <c r="Q308" s="9" t="n">
        <v>0</v>
      </c>
      <c r="R308" s="16" t="n">
        <v>0</v>
      </c>
      <c r="S308" s="16" t="n">
        <v>0</v>
      </c>
      <c r="T308" s="16">
        <f>IF(R308&gt;0,IFERROR(VALUE(LEFT($D308,1)),1),0)</f>
        <v/>
      </c>
      <c r="U308" s="16">
        <f>R308*T308</f>
        <v/>
      </c>
      <c r="V308" s="9">
        <f>Q308*U308</f>
        <v/>
      </c>
      <c r="W308" s="9" t="n">
        <v>120</v>
      </c>
      <c r="X308" s="16" t="n">
        <v>7</v>
      </c>
      <c r="Y308" s="16" t="n">
        <v>0</v>
      </c>
      <c r="Z308" s="16">
        <f>IF(X308&gt;0,IFERROR(VALUE(LEFT($D308,1)),1),0)</f>
        <v/>
      </c>
      <c r="AA308" s="16">
        <f>X308*Z308</f>
        <v/>
      </c>
      <c r="AB308" s="9">
        <f>W308*AA308</f>
        <v/>
      </c>
      <c r="AC308" s="9" t="n">
        <v>0</v>
      </c>
      <c r="AD308" s="16" t="n">
        <v>0</v>
      </c>
      <c r="AE308" s="16" t="n">
        <v>0</v>
      </c>
      <c r="AF308" s="16">
        <f>IF(AD308&gt;0,IFERROR(VALUE(LEFT($D308,1)),1),0)</f>
        <v/>
      </c>
      <c r="AG308" s="16">
        <f>AD308*AF308</f>
        <v/>
      </c>
      <c r="AH308" s="9">
        <f>AC308*AG308</f>
        <v/>
      </c>
      <c r="AI308" s="9" t="n">
        <v>0</v>
      </c>
      <c r="AJ308" s="16" t="n">
        <v>0</v>
      </c>
      <c r="AK308" s="16" t="n">
        <v>0</v>
      </c>
      <c r="AL308" s="16">
        <f>IF(AJ308&gt;0,IFERROR(VALUE(LEFT($D308,1)),1),0)</f>
        <v/>
      </c>
      <c r="AM308" s="16">
        <f>AJ308*AL308</f>
        <v/>
      </c>
      <c r="AN308" s="9">
        <f>AI308*AM308</f>
        <v/>
      </c>
    </row>
    <row r="309">
      <c r="A309" s="16" t="inlineStr">
        <is>
          <t>TK</t>
        </is>
      </c>
      <c r="B309" s="16" t="inlineStr">
        <is>
          <t>Tomografia komputerowa - klatka piersiowa HRCT bez kontrastu dożylnego z wtórnym opracowaniem</t>
        </is>
      </c>
      <c r="C309" s="16" t="inlineStr">
        <is>
          <t>TK Zwykłe</t>
        </is>
      </c>
      <c r="D309" s="16" t="inlineStr">
        <is>
          <t>1 okolica anatomiczna</t>
        </is>
      </c>
      <c r="E309" s="9" t="n">
        <v>0</v>
      </c>
      <c r="F309" s="16" t="n">
        <v>0</v>
      </c>
      <c r="G309" s="16" t="n">
        <v>0</v>
      </c>
      <c r="H309" s="16">
        <f>IF(F309&gt;0,IFERROR(VALUE(LEFT($D309,1)),1),0)</f>
        <v/>
      </c>
      <c r="I309" s="16">
        <f>F309*H309</f>
        <v/>
      </c>
      <c r="J309" s="9">
        <f>E309*I309</f>
        <v/>
      </c>
      <c r="K309" s="9" t="n">
        <v>0</v>
      </c>
      <c r="L309" s="16" t="n">
        <v>0</v>
      </c>
      <c r="M309" s="16" t="n">
        <v>0</v>
      </c>
      <c r="N309" s="16">
        <f>IF(L309&gt;0,IFERROR(VALUE(LEFT($D309,1)),1),0)</f>
        <v/>
      </c>
      <c r="O309" s="16">
        <f>L309*N309</f>
        <v/>
      </c>
      <c r="P309" s="9">
        <f>K309*O309</f>
        <v/>
      </c>
      <c r="Q309" s="9" t="n">
        <v>0</v>
      </c>
      <c r="R309" s="16" t="n">
        <v>0</v>
      </c>
      <c r="S309" s="16" t="n">
        <v>0</v>
      </c>
      <c r="T309" s="16">
        <f>IF(R309&gt;0,IFERROR(VALUE(LEFT($D309,1)),1),0)</f>
        <v/>
      </c>
      <c r="U309" s="16">
        <f>R309*T309</f>
        <v/>
      </c>
      <c r="V309" s="9">
        <f>Q309*U309</f>
        <v/>
      </c>
      <c r="W309" s="9" t="n">
        <v>120</v>
      </c>
      <c r="X309" s="16" t="n">
        <v>2</v>
      </c>
      <c r="Y309" s="16" t="n">
        <v>0</v>
      </c>
      <c r="Z309" s="16">
        <f>IF(X309&gt;0,IFERROR(VALUE(LEFT($D309,1)),1),0)</f>
        <v/>
      </c>
      <c r="AA309" s="16">
        <f>X309*Z309</f>
        <v/>
      </c>
      <c r="AB309" s="9">
        <f>W309*AA309</f>
        <v/>
      </c>
      <c r="AC309" s="9" t="n">
        <v>0</v>
      </c>
      <c r="AD309" s="16" t="n">
        <v>0</v>
      </c>
      <c r="AE309" s="16" t="n">
        <v>0</v>
      </c>
      <c r="AF309" s="16">
        <f>IF(AD309&gt;0,IFERROR(VALUE(LEFT($D309,1)),1),0)</f>
        <v/>
      </c>
      <c r="AG309" s="16">
        <f>AD309*AF309</f>
        <v/>
      </c>
      <c r="AH309" s="9">
        <f>AC309*AG309</f>
        <v/>
      </c>
      <c r="AI309" s="9" t="n">
        <v>110</v>
      </c>
      <c r="AJ309" s="16" t="n">
        <v>1</v>
      </c>
      <c r="AK309" s="16" t="n">
        <v>0</v>
      </c>
      <c r="AL309" s="16">
        <f>IF(AJ309&gt;0,IFERROR(VALUE(LEFT($D309,1)),1),0)</f>
        <v/>
      </c>
      <c r="AM309" s="16">
        <f>AJ309*AL309</f>
        <v/>
      </c>
      <c r="AN309" s="9">
        <f>AI309*AM309</f>
        <v/>
      </c>
    </row>
    <row r="310">
      <c r="A310" s="16" t="inlineStr">
        <is>
          <t>TK</t>
        </is>
      </c>
      <c r="B310" s="16" t="inlineStr">
        <is>
          <t>Tomografia komputerowa - klatka piersiowa bez kontrastu i z kontrastem dożylnym z wtórnym opracowaniem</t>
        </is>
      </c>
      <c r="C310" s="16" t="inlineStr">
        <is>
          <t>TK Zwykłe</t>
        </is>
      </c>
      <c r="D310" s="16" t="inlineStr">
        <is>
          <t>1 okolica anatomiczna</t>
        </is>
      </c>
      <c r="E310" s="9" t="n">
        <v>0</v>
      </c>
      <c r="F310" s="16" t="n">
        <v>0</v>
      </c>
      <c r="G310" s="16" t="n">
        <v>0</v>
      </c>
      <c r="H310" s="16">
        <f>IF(F310&gt;0,IFERROR(VALUE(LEFT($D310,1)),1),0)</f>
        <v/>
      </c>
      <c r="I310" s="16">
        <f>F310*H310</f>
        <v/>
      </c>
      <c r="J310" s="9">
        <f>E310*I310</f>
        <v/>
      </c>
      <c r="K310" s="9" t="n">
        <v>0</v>
      </c>
      <c r="L310" s="16" t="n">
        <v>0</v>
      </c>
      <c r="M310" s="16" t="n">
        <v>0</v>
      </c>
      <c r="N310" s="16">
        <f>IF(L310&gt;0,IFERROR(VALUE(LEFT($D310,1)),1),0)</f>
        <v/>
      </c>
      <c r="O310" s="16">
        <f>L310*N310</f>
        <v/>
      </c>
      <c r="P310" s="9">
        <f>K310*O310</f>
        <v/>
      </c>
      <c r="Q310" s="9" t="n">
        <v>0</v>
      </c>
      <c r="R310" s="16" t="n">
        <v>0</v>
      </c>
      <c r="S310" s="16" t="n">
        <v>0</v>
      </c>
      <c r="T310" s="16">
        <f>IF(R310&gt;0,IFERROR(VALUE(LEFT($D310,1)),1),0)</f>
        <v/>
      </c>
      <c r="U310" s="16">
        <f>R310*T310</f>
        <v/>
      </c>
      <c r="V310" s="9">
        <f>Q310*U310</f>
        <v/>
      </c>
      <c r="W310" s="9" t="n">
        <v>120</v>
      </c>
      <c r="X310" s="16" t="n">
        <v>2</v>
      </c>
      <c r="Y310" s="16" t="n">
        <v>0</v>
      </c>
      <c r="Z310" s="16">
        <f>IF(X310&gt;0,IFERROR(VALUE(LEFT($D310,1)),1),0)</f>
        <v/>
      </c>
      <c r="AA310" s="16">
        <f>X310*Z310</f>
        <v/>
      </c>
      <c r="AB310" s="9">
        <f>W310*AA310</f>
        <v/>
      </c>
      <c r="AC310" s="9" t="n">
        <v>0</v>
      </c>
      <c r="AD310" s="16" t="n">
        <v>0</v>
      </c>
      <c r="AE310" s="16" t="n">
        <v>0</v>
      </c>
      <c r="AF310" s="16">
        <f>IF(AD310&gt;0,IFERROR(VALUE(LEFT($D310,1)),1),0)</f>
        <v/>
      </c>
      <c r="AG310" s="16">
        <f>AD310*AF310</f>
        <v/>
      </c>
      <c r="AH310" s="9">
        <f>AC310*AG310</f>
        <v/>
      </c>
      <c r="AI310" s="9" t="n">
        <v>0</v>
      </c>
      <c r="AJ310" s="16" t="n">
        <v>0</v>
      </c>
      <c r="AK310" s="16" t="n">
        <v>0</v>
      </c>
      <c r="AL310" s="16">
        <f>IF(AJ310&gt;0,IFERROR(VALUE(LEFT($D310,1)),1),0)</f>
        <v/>
      </c>
      <c r="AM310" s="16">
        <f>AJ310*AL310</f>
        <v/>
      </c>
      <c r="AN310" s="9">
        <f>AI310*AM310</f>
        <v/>
      </c>
    </row>
    <row r="311">
      <c r="A311" s="16" t="inlineStr">
        <is>
          <t>TK</t>
        </is>
      </c>
      <c r="B311" s="16" t="inlineStr">
        <is>
          <t>Tomografia komputerowa - twarzoczaszka bez kontrastu dożylnego z wtórnym opracowaniem</t>
        </is>
      </c>
      <c r="C311" s="16" t="inlineStr">
        <is>
          <t>TK Zwykłe</t>
        </is>
      </c>
      <c r="D311" s="16" t="inlineStr">
        <is>
          <t>1 okolica anatomiczna</t>
        </is>
      </c>
      <c r="E311" s="9" t="n">
        <v>0</v>
      </c>
      <c r="F311" s="16" t="n">
        <v>0</v>
      </c>
      <c r="G311" s="16" t="n">
        <v>0</v>
      </c>
      <c r="H311" s="16">
        <f>IF(F311&gt;0,IFERROR(VALUE(LEFT($D311,1)),1),0)</f>
        <v/>
      </c>
      <c r="I311" s="16">
        <f>F311*H311</f>
        <v/>
      </c>
      <c r="J311" s="9">
        <f>E311*I311</f>
        <v/>
      </c>
      <c r="K311" s="9" t="n">
        <v>0</v>
      </c>
      <c r="L311" s="16" t="n">
        <v>0</v>
      </c>
      <c r="M311" s="16" t="n">
        <v>0</v>
      </c>
      <c r="N311" s="16">
        <f>IF(L311&gt;0,IFERROR(VALUE(LEFT($D311,1)),1),0)</f>
        <v/>
      </c>
      <c r="O311" s="16">
        <f>L311*N311</f>
        <v/>
      </c>
      <c r="P311" s="9">
        <f>K311*O311</f>
        <v/>
      </c>
      <c r="Q311" s="9" t="n">
        <v>0</v>
      </c>
      <c r="R311" s="16" t="n">
        <v>0</v>
      </c>
      <c r="S311" s="16" t="n">
        <v>0</v>
      </c>
      <c r="T311" s="16">
        <f>IF(R311&gt;0,IFERROR(VALUE(LEFT($D311,1)),1),0)</f>
        <v/>
      </c>
      <c r="U311" s="16">
        <f>R311*T311</f>
        <v/>
      </c>
      <c r="V311" s="9">
        <f>Q311*U311</f>
        <v/>
      </c>
      <c r="W311" s="9" t="n">
        <v>120</v>
      </c>
      <c r="X311" s="16" t="n">
        <v>3</v>
      </c>
      <c r="Y311" s="16" t="n">
        <v>0</v>
      </c>
      <c r="Z311" s="16">
        <f>IF(X311&gt;0,IFERROR(VALUE(LEFT($D311,1)),1),0)</f>
        <v/>
      </c>
      <c r="AA311" s="16">
        <f>X311*Z311</f>
        <v/>
      </c>
      <c r="AB311" s="9">
        <f>W311*AA311</f>
        <v/>
      </c>
      <c r="AC311" s="9" t="n">
        <v>0</v>
      </c>
      <c r="AD311" s="16" t="n">
        <v>0</v>
      </c>
      <c r="AE311" s="16" t="n">
        <v>0</v>
      </c>
      <c r="AF311" s="16">
        <f>IF(AD311&gt;0,IFERROR(VALUE(LEFT($D311,1)),1),0)</f>
        <v/>
      </c>
      <c r="AG311" s="16">
        <f>AD311*AF311</f>
        <v/>
      </c>
      <c r="AH311" s="9">
        <f>AC311*AG311</f>
        <v/>
      </c>
      <c r="AI311" s="9" t="n">
        <v>0</v>
      </c>
      <c r="AJ311" s="16" t="n">
        <v>0</v>
      </c>
      <c r="AK311" s="16" t="n">
        <v>0</v>
      </c>
      <c r="AL311" s="16">
        <f>IF(AJ311&gt;0,IFERROR(VALUE(LEFT($D311,1)),1),0)</f>
        <v/>
      </c>
      <c r="AM311" s="16">
        <f>AJ311*AL311</f>
        <v/>
      </c>
      <c r="AN311" s="9">
        <f>AI311*AM311</f>
        <v/>
      </c>
    </row>
    <row r="312">
      <c r="A312" s="16" t="inlineStr">
        <is>
          <t>TK</t>
        </is>
      </c>
      <c r="B312" s="16" t="inlineStr">
        <is>
          <t>Tomografia komputerowa - wybrany obszar układu kostnego, kość lub odcinek kości bez kontrastu dożylnego z wtórnym opracowaniem</t>
        </is>
      </c>
      <c r="C312" s="16" t="inlineStr">
        <is>
          <t>TK Zwykłe</t>
        </is>
      </c>
      <c r="D312" s="16" t="inlineStr">
        <is>
          <t>1 okolica anatomiczna</t>
        </is>
      </c>
      <c r="E312" s="9" t="n">
        <v>0</v>
      </c>
      <c r="F312" s="16" t="n">
        <v>0</v>
      </c>
      <c r="G312" s="16" t="n">
        <v>0</v>
      </c>
      <c r="H312" s="16">
        <f>IF(F312&gt;0,IFERROR(VALUE(LEFT($D312,1)),1),0)</f>
        <v/>
      </c>
      <c r="I312" s="16">
        <f>F312*H312</f>
        <v/>
      </c>
      <c r="J312" s="9">
        <f>E312*I312</f>
        <v/>
      </c>
      <c r="K312" s="9" t="n">
        <v>0</v>
      </c>
      <c r="L312" s="16" t="n">
        <v>0</v>
      </c>
      <c r="M312" s="16" t="n">
        <v>0</v>
      </c>
      <c r="N312" s="16">
        <f>IF(L312&gt;0,IFERROR(VALUE(LEFT($D312,1)),1),0)</f>
        <v/>
      </c>
      <c r="O312" s="16">
        <f>L312*N312</f>
        <v/>
      </c>
      <c r="P312" s="9">
        <f>K312*O312</f>
        <v/>
      </c>
      <c r="Q312" s="9" t="n">
        <v>0</v>
      </c>
      <c r="R312" s="16" t="n">
        <v>0</v>
      </c>
      <c r="S312" s="16" t="n">
        <v>0</v>
      </c>
      <c r="T312" s="16">
        <f>IF(R312&gt;0,IFERROR(VALUE(LEFT($D312,1)),1),0)</f>
        <v/>
      </c>
      <c r="U312" s="16">
        <f>R312*T312</f>
        <v/>
      </c>
      <c r="V312" s="9">
        <f>Q312*U312</f>
        <v/>
      </c>
      <c r="W312" s="9" t="n">
        <v>120</v>
      </c>
      <c r="X312" s="16" t="n">
        <v>1</v>
      </c>
      <c r="Y312" s="16" t="n">
        <v>0</v>
      </c>
      <c r="Z312" s="16">
        <f>IF(X312&gt;0,IFERROR(VALUE(LEFT($D312,1)),1),0)</f>
        <v/>
      </c>
      <c r="AA312" s="16">
        <f>X312*Z312</f>
        <v/>
      </c>
      <c r="AB312" s="9">
        <f>W312*AA312</f>
        <v/>
      </c>
      <c r="AC312" s="9" t="n">
        <v>0</v>
      </c>
      <c r="AD312" s="16" t="n">
        <v>0</v>
      </c>
      <c r="AE312" s="16" t="n">
        <v>0</v>
      </c>
      <c r="AF312" s="16">
        <f>IF(AD312&gt;0,IFERROR(VALUE(LEFT($D312,1)),1),0)</f>
        <v/>
      </c>
      <c r="AG312" s="16">
        <f>AD312*AF312</f>
        <v/>
      </c>
      <c r="AH312" s="9">
        <f>AC312*AG312</f>
        <v/>
      </c>
      <c r="AI312" s="9" t="n">
        <v>0</v>
      </c>
      <c r="AJ312" s="16" t="n">
        <v>0</v>
      </c>
      <c r="AK312" s="16" t="n">
        <v>0</v>
      </c>
      <c r="AL312" s="16">
        <f>IF(AJ312&gt;0,IFERROR(VALUE(LEFT($D312,1)),1),0)</f>
        <v/>
      </c>
      <c r="AM312" s="16">
        <f>AJ312*AL312</f>
        <v/>
      </c>
      <c r="AN312" s="9">
        <f>AI312*AM312</f>
        <v/>
      </c>
    </row>
    <row r="313">
      <c r="A313" s="16" t="inlineStr">
        <is>
          <t>TK</t>
        </is>
      </c>
      <c r="B313" s="16" t="inlineStr">
        <is>
          <t>Tomografia komputerowa głowy bez kontrastu</t>
        </is>
      </c>
      <c r="C313" s="16" t="inlineStr">
        <is>
          <t>TK Zwykłe</t>
        </is>
      </c>
      <c r="D313" s="16" t="inlineStr">
        <is>
          <t>1 okolica anatomiczna</t>
        </is>
      </c>
      <c r="E313" s="9" t="n">
        <v>0</v>
      </c>
      <c r="F313" s="16" t="n">
        <v>0</v>
      </c>
      <c r="G313" s="16" t="n">
        <v>0</v>
      </c>
      <c r="H313" s="16">
        <f>IF(F313&gt;0,IFERROR(VALUE(LEFT($D313,1)),1),0)</f>
        <v/>
      </c>
      <c r="I313" s="16">
        <f>F313*H313</f>
        <v/>
      </c>
      <c r="J313" s="9">
        <f>E313*I313</f>
        <v/>
      </c>
      <c r="K313" s="9" t="n">
        <v>0</v>
      </c>
      <c r="L313" s="16" t="n">
        <v>0</v>
      </c>
      <c r="M313" s="16" t="n">
        <v>0</v>
      </c>
      <c r="N313" s="16">
        <f>IF(L313&gt;0,IFERROR(VALUE(LEFT($D313,1)),1),0)</f>
        <v/>
      </c>
      <c r="O313" s="16">
        <f>L313*N313</f>
        <v/>
      </c>
      <c r="P313" s="9">
        <f>K313*O313</f>
        <v/>
      </c>
      <c r="Q313" s="9" t="n">
        <v>0</v>
      </c>
      <c r="R313" s="16" t="n">
        <v>0</v>
      </c>
      <c r="S313" s="16" t="n">
        <v>0</v>
      </c>
      <c r="T313" s="16">
        <f>IF(R313&gt;0,IFERROR(VALUE(LEFT($D313,1)),1),0)</f>
        <v/>
      </c>
      <c r="U313" s="16">
        <f>R313*T313</f>
        <v/>
      </c>
      <c r="V313" s="9">
        <f>Q313*U313</f>
        <v/>
      </c>
      <c r="W313" s="9" t="n">
        <v>120</v>
      </c>
      <c r="X313" s="16" t="n">
        <v>18</v>
      </c>
      <c r="Y313" s="16" t="n">
        <v>1</v>
      </c>
      <c r="Z313" s="16">
        <f>IF(X313&gt;0,IFERROR(VALUE(LEFT($D313,1)),1),0)</f>
        <v/>
      </c>
      <c r="AA313" s="16">
        <f>X313*Z313</f>
        <v/>
      </c>
      <c r="AB313" s="9">
        <f>W313*AA313</f>
        <v/>
      </c>
      <c r="AC313" s="9" t="n">
        <v>0</v>
      </c>
      <c r="AD313" s="16" t="n">
        <v>0</v>
      </c>
      <c r="AE313" s="16" t="n">
        <v>0</v>
      </c>
      <c r="AF313" s="16">
        <f>IF(AD313&gt;0,IFERROR(VALUE(LEFT($D313,1)),1),0)</f>
        <v/>
      </c>
      <c r="AG313" s="16">
        <f>AD313*AF313</f>
        <v/>
      </c>
      <c r="AH313" s="9">
        <f>AC313*AG313</f>
        <v/>
      </c>
      <c r="AI313" s="9" t="n">
        <v>0</v>
      </c>
      <c r="AJ313" s="16" t="n">
        <v>0</v>
      </c>
      <c r="AK313" s="16" t="n">
        <v>0</v>
      </c>
      <c r="AL313" s="16">
        <f>IF(AJ313&gt;0,IFERROR(VALUE(LEFT($D313,1)),1),0)</f>
        <v/>
      </c>
      <c r="AM313" s="16">
        <f>AJ313*AL313</f>
        <v/>
      </c>
      <c r="AN313" s="9">
        <f>AI313*AM313</f>
        <v/>
      </c>
    </row>
    <row r="314">
      <c r="A314" s="16" t="inlineStr">
        <is>
          <t>TK</t>
        </is>
      </c>
      <c r="B314" s="16" t="inlineStr">
        <is>
          <t>Tomografia komputerowa jamy brzusznej bez kontrastu</t>
        </is>
      </c>
      <c r="C314" s="16" t="inlineStr">
        <is>
          <t>TK Zwykłe</t>
        </is>
      </c>
      <c r="D314" s="16" t="inlineStr">
        <is>
          <t>2 okolice anatomiczne</t>
        </is>
      </c>
      <c r="E314" s="9" t="n">
        <v>0</v>
      </c>
      <c r="F314" s="16" t="n">
        <v>0</v>
      </c>
      <c r="G314" s="16" t="n">
        <v>0</v>
      </c>
      <c r="H314" s="16">
        <f>IF(F314&gt;0,IFERROR(VALUE(LEFT($D314,1)),1),0)</f>
        <v/>
      </c>
      <c r="I314" s="16">
        <f>F314*H314</f>
        <v/>
      </c>
      <c r="J314" s="9">
        <f>E314*I314</f>
        <v/>
      </c>
      <c r="K314" s="9" t="n">
        <v>0</v>
      </c>
      <c r="L314" s="16" t="n">
        <v>0</v>
      </c>
      <c r="M314" s="16" t="n">
        <v>0</v>
      </c>
      <c r="N314" s="16">
        <f>IF(L314&gt;0,IFERROR(VALUE(LEFT($D314,1)),1),0)</f>
        <v/>
      </c>
      <c r="O314" s="16">
        <f>L314*N314</f>
        <v/>
      </c>
      <c r="P314" s="9">
        <f>K314*O314</f>
        <v/>
      </c>
      <c r="Q314" s="9" t="n">
        <v>0</v>
      </c>
      <c r="R314" s="16" t="n">
        <v>0</v>
      </c>
      <c r="S314" s="16" t="n">
        <v>0</v>
      </c>
      <c r="T314" s="16">
        <f>IF(R314&gt;0,IFERROR(VALUE(LEFT($D314,1)),1),0)</f>
        <v/>
      </c>
      <c r="U314" s="16">
        <f>R314*T314</f>
        <v/>
      </c>
      <c r="V314" s="9">
        <f>Q314*U314</f>
        <v/>
      </c>
      <c r="W314" s="9" t="n">
        <v>120</v>
      </c>
      <c r="X314" s="16" t="n">
        <v>1</v>
      </c>
      <c r="Y314" s="16" t="n">
        <v>0</v>
      </c>
      <c r="Z314" s="16">
        <f>IF(X314&gt;0,IFERROR(VALUE(LEFT($D314,1)),1),0)</f>
        <v/>
      </c>
      <c r="AA314" s="16">
        <f>X314*Z314</f>
        <v/>
      </c>
      <c r="AB314" s="9">
        <f>W314*AA314</f>
        <v/>
      </c>
      <c r="AC314" s="9" t="n">
        <v>0</v>
      </c>
      <c r="AD314" s="16" t="n">
        <v>0</v>
      </c>
      <c r="AE314" s="16" t="n">
        <v>0</v>
      </c>
      <c r="AF314" s="16">
        <f>IF(AD314&gt;0,IFERROR(VALUE(LEFT($D314,1)),1),0)</f>
        <v/>
      </c>
      <c r="AG314" s="16">
        <f>AD314*AF314</f>
        <v/>
      </c>
      <c r="AH314" s="9">
        <f>AC314*AG314</f>
        <v/>
      </c>
      <c r="AI314" s="9" t="n">
        <v>0</v>
      </c>
      <c r="AJ314" s="16" t="n">
        <v>0</v>
      </c>
      <c r="AK314" s="16" t="n">
        <v>0</v>
      </c>
      <c r="AL314" s="16">
        <f>IF(AJ314&gt;0,IFERROR(VALUE(LEFT($D314,1)),1),0)</f>
        <v/>
      </c>
      <c r="AM314" s="16">
        <f>AJ314*AL314</f>
        <v/>
      </c>
      <c r="AN314" s="9">
        <f>AI314*AM314</f>
        <v/>
      </c>
    </row>
    <row r="315">
      <c r="A315" s="16" t="inlineStr">
        <is>
          <t>TK</t>
        </is>
      </c>
      <c r="B315" s="16" t="inlineStr">
        <is>
          <t>Tomografia komputerowa jamy brzusznej i miednicy małej bez kontrastu</t>
        </is>
      </c>
      <c r="C315" s="16" t="inlineStr">
        <is>
          <t>TK Zwykłe</t>
        </is>
      </c>
      <c r="D315" s="16" t="inlineStr">
        <is>
          <t>2 okolice anatomiczne</t>
        </is>
      </c>
      <c r="E315" s="9" t="n">
        <v>0</v>
      </c>
      <c r="F315" s="16" t="n">
        <v>0</v>
      </c>
      <c r="G315" s="16" t="n">
        <v>0</v>
      </c>
      <c r="H315" s="16">
        <f>IF(F315&gt;0,IFERROR(VALUE(LEFT($D315,1)),1),0)</f>
        <v/>
      </c>
      <c r="I315" s="16">
        <f>F315*H315</f>
        <v/>
      </c>
      <c r="J315" s="9">
        <f>E315*I315</f>
        <v/>
      </c>
      <c r="K315" s="9" t="n">
        <v>0</v>
      </c>
      <c r="L315" s="16" t="n">
        <v>0</v>
      </c>
      <c r="M315" s="16" t="n">
        <v>0</v>
      </c>
      <c r="N315" s="16">
        <f>IF(L315&gt;0,IFERROR(VALUE(LEFT($D315,1)),1),0)</f>
        <v/>
      </c>
      <c r="O315" s="16">
        <f>L315*N315</f>
        <v/>
      </c>
      <c r="P315" s="9">
        <f>K315*O315</f>
        <v/>
      </c>
      <c r="Q315" s="9" t="n">
        <v>0</v>
      </c>
      <c r="R315" s="16" t="n">
        <v>0</v>
      </c>
      <c r="S315" s="16" t="n">
        <v>0</v>
      </c>
      <c r="T315" s="16">
        <f>IF(R315&gt;0,IFERROR(VALUE(LEFT($D315,1)),1),0)</f>
        <v/>
      </c>
      <c r="U315" s="16">
        <f>R315*T315</f>
        <v/>
      </c>
      <c r="V315" s="9">
        <f>Q315*U315</f>
        <v/>
      </c>
      <c r="W315" s="9" t="n">
        <v>120</v>
      </c>
      <c r="X315" s="16" t="n">
        <v>6</v>
      </c>
      <c r="Y315" s="16" t="n">
        <v>0</v>
      </c>
      <c r="Z315" s="16">
        <f>IF(X315&gt;0,IFERROR(VALUE(LEFT($D315,1)),1),0)</f>
        <v/>
      </c>
      <c r="AA315" s="16">
        <f>X315*Z315</f>
        <v/>
      </c>
      <c r="AB315" s="9">
        <f>W315*AA315</f>
        <v/>
      </c>
      <c r="AC315" s="9" t="n">
        <v>0</v>
      </c>
      <c r="AD315" s="16" t="n">
        <v>0</v>
      </c>
      <c r="AE315" s="16" t="n">
        <v>0</v>
      </c>
      <c r="AF315" s="16">
        <f>IF(AD315&gt;0,IFERROR(VALUE(LEFT($D315,1)),1),0)</f>
        <v/>
      </c>
      <c r="AG315" s="16">
        <f>AD315*AF315</f>
        <v/>
      </c>
      <c r="AH315" s="9">
        <f>AC315*AG315</f>
        <v/>
      </c>
      <c r="AI315" s="9" t="n">
        <v>0</v>
      </c>
      <c r="AJ315" s="16" t="n">
        <v>0</v>
      </c>
      <c r="AK315" s="16" t="n">
        <v>0</v>
      </c>
      <c r="AL315" s="16">
        <f>IF(AJ315&gt;0,IFERROR(VALUE(LEFT($D315,1)),1),0)</f>
        <v/>
      </c>
      <c r="AM315" s="16">
        <f>AJ315*AL315</f>
        <v/>
      </c>
      <c r="AN315" s="9">
        <f>AI315*AM315</f>
        <v/>
      </c>
    </row>
    <row r="316">
      <c r="A316" s="16" t="inlineStr">
        <is>
          <t>TK</t>
        </is>
      </c>
      <c r="B316" s="16" t="inlineStr">
        <is>
          <t>Tomografia komputerowa jamy brzusznej i miednicy małej z kontrastem</t>
        </is>
      </c>
      <c r="C316" s="16" t="inlineStr">
        <is>
          <t>TK Zwykłe</t>
        </is>
      </c>
      <c r="D316" s="16" t="inlineStr">
        <is>
          <t>2 okolice anatomiczne</t>
        </is>
      </c>
      <c r="E316" s="9" t="n">
        <v>0</v>
      </c>
      <c r="F316" s="16" t="n">
        <v>0</v>
      </c>
      <c r="G316" s="16" t="n">
        <v>0</v>
      </c>
      <c r="H316" s="16">
        <f>IF(F316&gt;0,IFERROR(VALUE(LEFT($D316,1)),1),0)</f>
        <v/>
      </c>
      <c r="I316" s="16">
        <f>F316*H316</f>
        <v/>
      </c>
      <c r="J316" s="9">
        <f>E316*I316</f>
        <v/>
      </c>
      <c r="K316" s="9" t="n">
        <v>0</v>
      </c>
      <c r="L316" s="16" t="n">
        <v>0</v>
      </c>
      <c r="M316" s="16" t="n">
        <v>0</v>
      </c>
      <c r="N316" s="16">
        <f>IF(L316&gt;0,IFERROR(VALUE(LEFT($D316,1)),1),0)</f>
        <v/>
      </c>
      <c r="O316" s="16">
        <f>L316*N316</f>
        <v/>
      </c>
      <c r="P316" s="9">
        <f>K316*O316</f>
        <v/>
      </c>
      <c r="Q316" s="9" t="n">
        <v>0</v>
      </c>
      <c r="R316" s="16" t="n">
        <v>0</v>
      </c>
      <c r="S316" s="16" t="n">
        <v>0</v>
      </c>
      <c r="T316" s="16">
        <f>IF(R316&gt;0,IFERROR(VALUE(LEFT($D316,1)),1),0)</f>
        <v/>
      </c>
      <c r="U316" s="16">
        <f>R316*T316</f>
        <v/>
      </c>
      <c r="V316" s="9">
        <f>Q316*U316</f>
        <v/>
      </c>
      <c r="W316" s="9" t="n">
        <v>120</v>
      </c>
      <c r="X316" s="16" t="n">
        <v>4</v>
      </c>
      <c r="Y316" s="16" t="n">
        <v>0</v>
      </c>
      <c r="Z316" s="16">
        <f>IF(X316&gt;0,IFERROR(VALUE(LEFT($D316,1)),1),0)</f>
        <v/>
      </c>
      <c r="AA316" s="16">
        <f>X316*Z316</f>
        <v/>
      </c>
      <c r="AB316" s="9">
        <f>W316*AA316</f>
        <v/>
      </c>
      <c r="AC316" s="9" t="n">
        <v>0</v>
      </c>
      <c r="AD316" s="16" t="n">
        <v>0</v>
      </c>
      <c r="AE316" s="16" t="n">
        <v>0</v>
      </c>
      <c r="AF316" s="16">
        <f>IF(AD316&gt;0,IFERROR(VALUE(LEFT($D316,1)),1),0)</f>
        <v/>
      </c>
      <c r="AG316" s="16">
        <f>AD316*AF316</f>
        <v/>
      </c>
      <c r="AH316" s="9">
        <f>AC316*AG316</f>
        <v/>
      </c>
      <c r="AI316" s="9" t="n">
        <v>110</v>
      </c>
      <c r="AJ316" s="16" t="n">
        <v>1</v>
      </c>
      <c r="AK316" s="16" t="n">
        <v>2</v>
      </c>
      <c r="AL316" s="16">
        <f>IF(AJ316&gt;0,IFERROR(VALUE(LEFT($D316,1)),1),0)</f>
        <v/>
      </c>
      <c r="AM316" s="16">
        <f>AJ316*AL316</f>
        <v/>
      </c>
      <c r="AN316" s="9">
        <f>AI316*AM316</f>
        <v/>
      </c>
    </row>
    <row r="317">
      <c r="A317" s="16" t="inlineStr">
        <is>
          <t>TK</t>
        </is>
      </c>
      <c r="B317" s="16" t="inlineStr">
        <is>
          <t>Tomografia komputerowa jamy brzusznej z kontrastem</t>
        </is>
      </c>
      <c r="C317" s="16" t="inlineStr">
        <is>
          <t>TK Zwykłe</t>
        </is>
      </c>
      <c r="D317" s="16" t="inlineStr">
        <is>
          <t>2 okolice anatomiczne</t>
        </is>
      </c>
      <c r="E317" s="9" t="n">
        <v>0</v>
      </c>
      <c r="F317" s="16" t="n">
        <v>0</v>
      </c>
      <c r="G317" s="16" t="n">
        <v>0</v>
      </c>
      <c r="H317" s="16">
        <f>IF(F317&gt;0,IFERROR(VALUE(LEFT($D317,1)),1),0)</f>
        <v/>
      </c>
      <c r="I317" s="16">
        <f>F317*H317</f>
        <v/>
      </c>
      <c r="J317" s="9">
        <f>E317*I317</f>
        <v/>
      </c>
      <c r="K317" s="9" t="n">
        <v>0</v>
      </c>
      <c r="L317" s="16" t="n">
        <v>0</v>
      </c>
      <c r="M317" s="16" t="n">
        <v>0</v>
      </c>
      <c r="N317" s="16">
        <f>IF(L317&gt;0,IFERROR(VALUE(LEFT($D317,1)),1),0)</f>
        <v/>
      </c>
      <c r="O317" s="16">
        <f>L317*N317</f>
        <v/>
      </c>
      <c r="P317" s="9">
        <f>K317*O317</f>
        <v/>
      </c>
      <c r="Q317" s="9" t="n">
        <v>0</v>
      </c>
      <c r="R317" s="16" t="n">
        <v>0</v>
      </c>
      <c r="S317" s="16" t="n">
        <v>0</v>
      </c>
      <c r="T317" s="16">
        <f>IF(R317&gt;0,IFERROR(VALUE(LEFT($D317,1)),1),0)</f>
        <v/>
      </c>
      <c r="U317" s="16">
        <f>R317*T317</f>
        <v/>
      </c>
      <c r="V317" s="9">
        <f>Q317*U317</f>
        <v/>
      </c>
      <c r="W317" s="9" t="n">
        <v>120</v>
      </c>
      <c r="X317" s="16" t="n">
        <v>1</v>
      </c>
      <c r="Y317" s="16" t="n">
        <v>0</v>
      </c>
      <c r="Z317" s="16">
        <f>IF(X317&gt;0,IFERROR(VALUE(LEFT($D317,1)),1),0)</f>
        <v/>
      </c>
      <c r="AA317" s="16">
        <f>X317*Z317</f>
        <v/>
      </c>
      <c r="AB317" s="9">
        <f>W317*AA317</f>
        <v/>
      </c>
      <c r="AC317" s="9" t="n">
        <v>0</v>
      </c>
      <c r="AD317" s="16" t="n">
        <v>0</v>
      </c>
      <c r="AE317" s="16" t="n">
        <v>0</v>
      </c>
      <c r="AF317" s="16">
        <f>IF(AD317&gt;0,IFERROR(VALUE(LEFT($D317,1)),1),0)</f>
        <v/>
      </c>
      <c r="AG317" s="16">
        <f>AD317*AF317</f>
        <v/>
      </c>
      <c r="AH317" s="9">
        <f>AC317*AG317</f>
        <v/>
      </c>
      <c r="AI317" s="9" t="n">
        <v>0</v>
      </c>
      <c r="AJ317" s="16" t="n">
        <v>0</v>
      </c>
      <c r="AK317" s="16" t="n">
        <v>0</v>
      </c>
      <c r="AL317" s="16">
        <f>IF(AJ317&gt;0,IFERROR(VALUE(LEFT($D317,1)),1),0)</f>
        <v/>
      </c>
      <c r="AM317" s="16">
        <f>AJ317*AL317</f>
        <v/>
      </c>
      <c r="AN317" s="9">
        <f>AI317*AM317</f>
        <v/>
      </c>
    </row>
    <row r="318">
      <c r="A318" s="16" t="inlineStr">
        <is>
          <t>TK</t>
        </is>
      </c>
      <c r="B318" s="16" t="inlineStr">
        <is>
          <t>Tomografia komputerowa klatki piersiowej bez pontrastu</t>
        </is>
      </c>
      <c r="C318" s="16" t="inlineStr">
        <is>
          <t>TK Zwykłe</t>
        </is>
      </c>
      <c r="D318" s="16" t="inlineStr">
        <is>
          <t>1 okolica anatomiczna</t>
        </is>
      </c>
      <c r="E318" s="9" t="n">
        <v>0</v>
      </c>
      <c r="F318" s="16" t="n">
        <v>0</v>
      </c>
      <c r="G318" s="16" t="n">
        <v>0</v>
      </c>
      <c r="H318" s="16">
        <f>IF(F318&gt;0,IFERROR(VALUE(LEFT($D318,1)),1),0)</f>
        <v/>
      </c>
      <c r="I318" s="16">
        <f>F318*H318</f>
        <v/>
      </c>
      <c r="J318" s="9">
        <f>E318*I318</f>
        <v/>
      </c>
      <c r="K318" s="9" t="n">
        <v>0</v>
      </c>
      <c r="L318" s="16" t="n">
        <v>0</v>
      </c>
      <c r="M318" s="16" t="n">
        <v>0</v>
      </c>
      <c r="N318" s="16">
        <f>IF(L318&gt;0,IFERROR(VALUE(LEFT($D318,1)),1),0)</f>
        <v/>
      </c>
      <c r="O318" s="16">
        <f>L318*N318</f>
        <v/>
      </c>
      <c r="P318" s="9">
        <f>K318*O318</f>
        <v/>
      </c>
      <c r="Q318" s="9" t="n">
        <v>0</v>
      </c>
      <c r="R318" s="16" t="n">
        <v>0</v>
      </c>
      <c r="S318" s="16" t="n">
        <v>0</v>
      </c>
      <c r="T318" s="16">
        <f>IF(R318&gt;0,IFERROR(VALUE(LEFT($D318,1)),1),0)</f>
        <v/>
      </c>
      <c r="U318" s="16">
        <f>R318*T318</f>
        <v/>
      </c>
      <c r="V318" s="9">
        <f>Q318*U318</f>
        <v/>
      </c>
      <c r="W318" s="9" t="n">
        <v>120</v>
      </c>
      <c r="X318" s="16" t="n">
        <v>2</v>
      </c>
      <c r="Y318" s="16" t="n">
        <v>0</v>
      </c>
      <c r="Z318" s="16">
        <f>IF(X318&gt;0,IFERROR(VALUE(LEFT($D318,1)),1),0)</f>
        <v/>
      </c>
      <c r="AA318" s="16">
        <f>X318*Z318</f>
        <v/>
      </c>
      <c r="AB318" s="9">
        <f>W318*AA318</f>
        <v/>
      </c>
      <c r="AC318" s="9" t="n">
        <v>0</v>
      </c>
      <c r="AD318" s="16" t="n">
        <v>0</v>
      </c>
      <c r="AE318" s="16" t="n">
        <v>0</v>
      </c>
      <c r="AF318" s="16">
        <f>IF(AD318&gt;0,IFERROR(VALUE(LEFT($D318,1)),1),0)</f>
        <v/>
      </c>
      <c r="AG318" s="16">
        <f>AD318*AF318</f>
        <v/>
      </c>
      <c r="AH318" s="9">
        <f>AC318*AG318</f>
        <v/>
      </c>
      <c r="AI318" s="9" t="n">
        <v>0</v>
      </c>
      <c r="AJ318" s="16" t="n">
        <v>0</v>
      </c>
      <c r="AK318" s="16" t="n">
        <v>0</v>
      </c>
      <c r="AL318" s="16">
        <f>IF(AJ318&gt;0,IFERROR(VALUE(LEFT($D318,1)),1),0)</f>
        <v/>
      </c>
      <c r="AM318" s="16">
        <f>AJ318*AL318</f>
        <v/>
      </c>
      <c r="AN318" s="9">
        <f>AI318*AM318</f>
        <v/>
      </c>
    </row>
    <row r="319">
      <c r="A319" s="16" t="inlineStr">
        <is>
          <t>TK</t>
        </is>
      </c>
      <c r="B319" s="16" t="inlineStr">
        <is>
          <t>Tomografia komputerowa klatki piersiowej z kontrastem</t>
        </is>
      </c>
      <c r="C319" s="16" t="inlineStr">
        <is>
          <t>TK Zwykłe</t>
        </is>
      </c>
      <c r="D319" s="16" t="inlineStr">
        <is>
          <t>1 okolica anatomiczna</t>
        </is>
      </c>
      <c r="E319" s="9" t="n">
        <v>0</v>
      </c>
      <c r="F319" s="16" t="n">
        <v>0</v>
      </c>
      <c r="G319" s="16" t="n">
        <v>0</v>
      </c>
      <c r="H319" s="16">
        <f>IF(F319&gt;0,IFERROR(VALUE(LEFT($D319,1)),1),0)</f>
        <v/>
      </c>
      <c r="I319" s="16">
        <f>F319*H319</f>
        <v/>
      </c>
      <c r="J319" s="9">
        <f>E319*I319</f>
        <v/>
      </c>
      <c r="K319" s="9" t="n">
        <v>0</v>
      </c>
      <c r="L319" s="16" t="n">
        <v>0</v>
      </c>
      <c r="M319" s="16" t="n">
        <v>0</v>
      </c>
      <c r="N319" s="16">
        <f>IF(L319&gt;0,IFERROR(VALUE(LEFT($D319,1)),1),0)</f>
        <v/>
      </c>
      <c r="O319" s="16">
        <f>L319*N319</f>
        <v/>
      </c>
      <c r="P319" s="9">
        <f>K319*O319</f>
        <v/>
      </c>
      <c r="Q319" s="9" t="n">
        <v>0</v>
      </c>
      <c r="R319" s="16" t="n">
        <v>0</v>
      </c>
      <c r="S319" s="16" t="n">
        <v>0</v>
      </c>
      <c r="T319" s="16">
        <f>IF(R319&gt;0,IFERROR(VALUE(LEFT($D319,1)),1),0)</f>
        <v/>
      </c>
      <c r="U319" s="16">
        <f>R319*T319</f>
        <v/>
      </c>
      <c r="V319" s="9">
        <f>Q319*U319</f>
        <v/>
      </c>
      <c r="W319" s="9" t="n">
        <v>120</v>
      </c>
      <c r="X319" s="16" t="n">
        <v>1</v>
      </c>
      <c r="Y319" s="16" t="n">
        <v>0</v>
      </c>
      <c r="Z319" s="16">
        <f>IF(X319&gt;0,IFERROR(VALUE(LEFT($D319,1)),1),0)</f>
        <v/>
      </c>
      <c r="AA319" s="16">
        <f>X319*Z319</f>
        <v/>
      </c>
      <c r="AB319" s="9">
        <f>W319*AA319</f>
        <v/>
      </c>
      <c r="AC319" s="9" t="n">
        <v>0</v>
      </c>
      <c r="AD319" s="16" t="n">
        <v>0</v>
      </c>
      <c r="AE319" s="16" t="n">
        <v>0</v>
      </c>
      <c r="AF319" s="16">
        <f>IF(AD319&gt;0,IFERROR(VALUE(LEFT($D319,1)),1),0)</f>
        <v/>
      </c>
      <c r="AG319" s="16">
        <f>AD319*AF319</f>
        <v/>
      </c>
      <c r="AH319" s="9">
        <f>AC319*AG319</f>
        <v/>
      </c>
      <c r="AI319" s="9" t="n">
        <v>110</v>
      </c>
      <c r="AJ319" s="16" t="n">
        <v>1</v>
      </c>
      <c r="AK319" s="16" t="n">
        <v>1</v>
      </c>
      <c r="AL319" s="16">
        <f>IF(AJ319&gt;0,IFERROR(VALUE(LEFT($D319,1)),1),0)</f>
        <v/>
      </c>
      <c r="AM319" s="16">
        <f>AJ319*AL319</f>
        <v/>
      </c>
      <c r="AN319" s="9">
        <f>AI319*AM319</f>
        <v/>
      </c>
    </row>
    <row r="320">
      <c r="A320" s="16" t="inlineStr">
        <is>
          <t>TK</t>
        </is>
      </c>
      <c r="B320" s="16" t="inlineStr">
        <is>
          <t>Tomografia komputerowa klatki piersiowej z kontrastem</t>
        </is>
      </c>
      <c r="C320" s="16" t="inlineStr">
        <is>
          <t>TK Zwykłe</t>
        </is>
      </c>
      <c r="D320" s="16" t="inlineStr">
        <is>
          <t>3 okolice anatomiczne</t>
        </is>
      </c>
      <c r="E320" s="9" t="n">
        <v>0</v>
      </c>
      <c r="F320" s="16" t="n">
        <v>0</v>
      </c>
      <c r="G320" s="16" t="n">
        <v>0</v>
      </c>
      <c r="H320" s="16">
        <f>IF(F320&gt;0,IFERROR(VALUE(LEFT($D320,1)),1),0)</f>
        <v/>
      </c>
      <c r="I320" s="16">
        <f>F320*H320</f>
        <v/>
      </c>
      <c r="J320" s="9">
        <f>E320*I320</f>
        <v/>
      </c>
      <c r="K320" s="9" t="n">
        <v>0</v>
      </c>
      <c r="L320" s="16" t="n">
        <v>0</v>
      </c>
      <c r="M320" s="16" t="n">
        <v>0</v>
      </c>
      <c r="N320" s="16">
        <f>IF(L320&gt;0,IFERROR(VALUE(LEFT($D320,1)),1),0)</f>
        <v/>
      </c>
      <c r="O320" s="16">
        <f>L320*N320</f>
        <v/>
      </c>
      <c r="P320" s="9">
        <f>K320*O320</f>
        <v/>
      </c>
      <c r="Q320" s="9" t="n">
        <v>0</v>
      </c>
      <c r="R320" s="16" t="n">
        <v>0</v>
      </c>
      <c r="S320" s="16" t="n">
        <v>0</v>
      </c>
      <c r="T320" s="16">
        <f>IF(R320&gt;0,IFERROR(VALUE(LEFT($D320,1)),1),0)</f>
        <v/>
      </c>
      <c r="U320" s="16">
        <f>R320*T320</f>
        <v/>
      </c>
      <c r="V320" s="9">
        <f>Q320*U320</f>
        <v/>
      </c>
      <c r="W320" s="9" t="n">
        <v>120</v>
      </c>
      <c r="X320" s="16" t="n">
        <v>1</v>
      </c>
      <c r="Y320" s="16" t="n">
        <v>0</v>
      </c>
      <c r="Z320" s="16">
        <f>IF(X320&gt;0,IFERROR(VALUE(LEFT($D320,1)),1),0)</f>
        <v/>
      </c>
      <c r="AA320" s="16">
        <f>X320*Z320</f>
        <v/>
      </c>
      <c r="AB320" s="9">
        <f>W320*AA320</f>
        <v/>
      </c>
      <c r="AC320" s="9" t="n">
        <v>0</v>
      </c>
      <c r="AD320" s="16" t="n">
        <v>0</v>
      </c>
      <c r="AE320" s="16" t="n">
        <v>0</v>
      </c>
      <c r="AF320" s="16">
        <f>IF(AD320&gt;0,IFERROR(VALUE(LEFT($D320,1)),1),0)</f>
        <v/>
      </c>
      <c r="AG320" s="16">
        <f>AD320*AF320</f>
        <v/>
      </c>
      <c r="AH320" s="9">
        <f>AC320*AG320</f>
        <v/>
      </c>
      <c r="AI320" s="9" t="n">
        <v>110</v>
      </c>
      <c r="AJ320" s="16" t="n">
        <v>1</v>
      </c>
      <c r="AK320" s="16" t="n">
        <v>3</v>
      </c>
      <c r="AL320" s="16">
        <f>IF(AJ320&gt;0,IFERROR(VALUE(LEFT($D320,1)),1),0)</f>
        <v/>
      </c>
      <c r="AM320" s="16">
        <f>AJ320*AL320</f>
        <v/>
      </c>
      <c r="AN320" s="9">
        <f>AI320*AM320</f>
        <v/>
      </c>
    </row>
    <row r="321">
      <c r="A321" s="16" t="inlineStr">
        <is>
          <t>TK</t>
        </is>
      </c>
      <c r="B321" s="16" t="inlineStr">
        <is>
          <t>Tomografia komputerowa kończyny dolnej bez kontrastu</t>
        </is>
      </c>
      <c r="C321" s="16" t="inlineStr">
        <is>
          <t>TK Zwykłe</t>
        </is>
      </c>
      <c r="D321" s="16" t="inlineStr">
        <is>
          <t>1 okolica anatomiczna</t>
        </is>
      </c>
      <c r="E321" s="9" t="n">
        <v>0</v>
      </c>
      <c r="F321" s="16" t="n">
        <v>0</v>
      </c>
      <c r="G321" s="16" t="n">
        <v>0</v>
      </c>
      <c r="H321" s="16">
        <f>IF(F321&gt;0,IFERROR(VALUE(LEFT($D321,1)),1),0)</f>
        <v/>
      </c>
      <c r="I321" s="16">
        <f>F321*H321</f>
        <v/>
      </c>
      <c r="J321" s="9">
        <f>E321*I321</f>
        <v/>
      </c>
      <c r="K321" s="9" t="n">
        <v>0</v>
      </c>
      <c r="L321" s="16" t="n">
        <v>0</v>
      </c>
      <c r="M321" s="16" t="n">
        <v>0</v>
      </c>
      <c r="N321" s="16">
        <f>IF(L321&gt;0,IFERROR(VALUE(LEFT($D321,1)),1),0)</f>
        <v/>
      </c>
      <c r="O321" s="16">
        <f>L321*N321</f>
        <v/>
      </c>
      <c r="P321" s="9">
        <f>K321*O321</f>
        <v/>
      </c>
      <c r="Q321" s="9" t="n">
        <v>0</v>
      </c>
      <c r="R321" s="16" t="n">
        <v>0</v>
      </c>
      <c r="S321" s="16" t="n">
        <v>0</v>
      </c>
      <c r="T321" s="16">
        <f>IF(R321&gt;0,IFERROR(VALUE(LEFT($D321,1)),1),0)</f>
        <v/>
      </c>
      <c r="U321" s="16">
        <f>R321*T321</f>
        <v/>
      </c>
      <c r="V321" s="9">
        <f>Q321*U321</f>
        <v/>
      </c>
      <c r="W321" s="9" t="n">
        <v>140</v>
      </c>
      <c r="X321" s="16" t="n">
        <v>1</v>
      </c>
      <c r="Y321" s="16" t="n">
        <v>0</v>
      </c>
      <c r="Z321" s="16">
        <f>IF(X321&gt;0,IFERROR(VALUE(LEFT($D321,1)),1),0)</f>
        <v/>
      </c>
      <c r="AA321" s="16">
        <f>X321*Z321</f>
        <v/>
      </c>
      <c r="AB321" s="9">
        <f>W321*AA321</f>
        <v/>
      </c>
      <c r="AC321" s="9" t="n">
        <v>0</v>
      </c>
      <c r="AD321" s="16" t="n">
        <v>0</v>
      </c>
      <c r="AE321" s="16" t="n">
        <v>0</v>
      </c>
      <c r="AF321" s="16">
        <f>IF(AD321&gt;0,IFERROR(VALUE(LEFT($D321,1)),1),0)</f>
        <v/>
      </c>
      <c r="AG321" s="16">
        <f>AD321*AF321</f>
        <v/>
      </c>
      <c r="AH321" s="9">
        <f>AC321*AG321</f>
        <v/>
      </c>
      <c r="AI321" s="9" t="n">
        <v>0</v>
      </c>
      <c r="AJ321" s="16" t="n">
        <v>0</v>
      </c>
      <c r="AK321" s="16" t="n">
        <v>0</v>
      </c>
      <c r="AL321" s="16">
        <f>IF(AJ321&gt;0,IFERROR(VALUE(LEFT($D321,1)),1),0)</f>
        <v/>
      </c>
      <c r="AM321" s="16">
        <f>AJ321*AL321</f>
        <v/>
      </c>
      <c r="AN321" s="9">
        <f>AI321*AM321</f>
        <v/>
      </c>
    </row>
    <row r="322">
      <c r="A322" s="16" t="inlineStr">
        <is>
          <t>TK</t>
        </is>
      </c>
      <c r="B322" s="16" t="inlineStr">
        <is>
          <t>Tomografia komputerowa kończyny górnej bez kontrastu</t>
        </is>
      </c>
      <c r="C322" s="16" t="inlineStr">
        <is>
          <t>TK Zwykłe</t>
        </is>
      </c>
      <c r="D322" s="16" t="inlineStr">
        <is>
          <t>1 okolica anatomiczna</t>
        </is>
      </c>
      <c r="E322" s="9" t="n">
        <v>0</v>
      </c>
      <c r="F322" s="16" t="n">
        <v>0</v>
      </c>
      <c r="G322" s="16" t="n">
        <v>0</v>
      </c>
      <c r="H322" s="16">
        <f>IF(F322&gt;0,IFERROR(VALUE(LEFT($D322,1)),1),0)</f>
        <v/>
      </c>
      <c r="I322" s="16">
        <f>F322*H322</f>
        <v/>
      </c>
      <c r="J322" s="9">
        <f>E322*I322</f>
        <v/>
      </c>
      <c r="K322" s="9" t="n">
        <v>0</v>
      </c>
      <c r="L322" s="16" t="n">
        <v>0</v>
      </c>
      <c r="M322" s="16" t="n">
        <v>0</v>
      </c>
      <c r="N322" s="16">
        <f>IF(L322&gt;0,IFERROR(VALUE(LEFT($D322,1)),1),0)</f>
        <v/>
      </c>
      <c r="O322" s="16">
        <f>L322*N322</f>
        <v/>
      </c>
      <c r="P322" s="9">
        <f>K322*O322</f>
        <v/>
      </c>
      <c r="Q322" s="9" t="n">
        <v>0</v>
      </c>
      <c r="R322" s="16" t="n">
        <v>0</v>
      </c>
      <c r="S322" s="16" t="n">
        <v>0</v>
      </c>
      <c r="T322" s="16">
        <f>IF(R322&gt;0,IFERROR(VALUE(LEFT($D322,1)),1),0)</f>
        <v/>
      </c>
      <c r="U322" s="16">
        <f>R322*T322</f>
        <v/>
      </c>
      <c r="V322" s="9">
        <f>Q322*U322</f>
        <v/>
      </c>
      <c r="W322" s="9" t="n">
        <v>140</v>
      </c>
      <c r="X322" s="16" t="n">
        <v>1</v>
      </c>
      <c r="Y322" s="16" t="n">
        <v>0</v>
      </c>
      <c r="Z322" s="16">
        <f>IF(X322&gt;0,IFERROR(VALUE(LEFT($D322,1)),1),0)</f>
        <v/>
      </c>
      <c r="AA322" s="16">
        <f>X322*Z322</f>
        <v/>
      </c>
      <c r="AB322" s="9">
        <f>W322*AA322</f>
        <v/>
      </c>
      <c r="AC322" s="9" t="n">
        <v>0</v>
      </c>
      <c r="AD322" s="16" t="n">
        <v>0</v>
      </c>
      <c r="AE322" s="16" t="n">
        <v>0</v>
      </c>
      <c r="AF322" s="16">
        <f>IF(AD322&gt;0,IFERROR(VALUE(LEFT($D322,1)),1),0)</f>
        <v/>
      </c>
      <c r="AG322" s="16">
        <f>AD322*AF322</f>
        <v/>
      </c>
      <c r="AH322" s="9">
        <f>AC322*AG322</f>
        <v/>
      </c>
      <c r="AI322" s="9" t="n">
        <v>0</v>
      </c>
      <c r="AJ322" s="16" t="n">
        <v>0</v>
      </c>
      <c r="AK322" s="16" t="n">
        <v>0</v>
      </c>
      <c r="AL322" s="16">
        <f>IF(AJ322&gt;0,IFERROR(VALUE(LEFT($D322,1)),1),0)</f>
        <v/>
      </c>
      <c r="AM322" s="16">
        <f>AJ322*AL322</f>
        <v/>
      </c>
      <c r="AN322" s="9">
        <f>AI322*AM322</f>
        <v/>
      </c>
    </row>
    <row r="323">
      <c r="A323" s="16" t="inlineStr">
        <is>
          <t>TK</t>
        </is>
      </c>
      <c r="B323" s="16" t="inlineStr">
        <is>
          <t>Tomografia komputerowa kręgosłupa szyjnego bez kontrastu</t>
        </is>
      </c>
      <c r="C323" s="16" t="inlineStr">
        <is>
          <t>TK Zwykłe</t>
        </is>
      </c>
      <c r="D323" s="16" t="inlineStr">
        <is>
          <t>1 okolica anatomiczna</t>
        </is>
      </c>
      <c r="E323" s="9" t="n">
        <v>0</v>
      </c>
      <c r="F323" s="16" t="n">
        <v>0</v>
      </c>
      <c r="G323" s="16" t="n">
        <v>0</v>
      </c>
      <c r="H323" s="16">
        <f>IF(F323&gt;0,IFERROR(VALUE(LEFT($D323,1)),1),0)</f>
        <v/>
      </c>
      <c r="I323" s="16">
        <f>F323*H323</f>
        <v/>
      </c>
      <c r="J323" s="9">
        <f>E323*I323</f>
        <v/>
      </c>
      <c r="K323" s="9" t="n">
        <v>0</v>
      </c>
      <c r="L323" s="16" t="n">
        <v>0</v>
      </c>
      <c r="M323" s="16" t="n">
        <v>0</v>
      </c>
      <c r="N323" s="16">
        <f>IF(L323&gt;0,IFERROR(VALUE(LEFT($D323,1)),1),0)</f>
        <v/>
      </c>
      <c r="O323" s="16">
        <f>L323*N323</f>
        <v/>
      </c>
      <c r="P323" s="9">
        <f>K323*O323</f>
        <v/>
      </c>
      <c r="Q323" s="9" t="n">
        <v>0</v>
      </c>
      <c r="R323" s="16" t="n">
        <v>0</v>
      </c>
      <c r="S323" s="16" t="n">
        <v>0</v>
      </c>
      <c r="T323" s="16">
        <f>IF(R323&gt;0,IFERROR(VALUE(LEFT($D323,1)),1),0)</f>
        <v/>
      </c>
      <c r="U323" s="16">
        <f>R323*T323</f>
        <v/>
      </c>
      <c r="V323" s="9">
        <f>Q323*U323</f>
        <v/>
      </c>
      <c r="W323" s="9" t="n">
        <v>120</v>
      </c>
      <c r="X323" s="16" t="n">
        <v>2</v>
      </c>
      <c r="Y323" s="16" t="n">
        <v>0</v>
      </c>
      <c r="Z323" s="16">
        <f>IF(X323&gt;0,IFERROR(VALUE(LEFT($D323,1)),1),0)</f>
        <v/>
      </c>
      <c r="AA323" s="16">
        <f>X323*Z323</f>
        <v/>
      </c>
      <c r="AB323" s="9">
        <f>W323*AA323</f>
        <v/>
      </c>
      <c r="AC323" s="9" t="n">
        <v>0</v>
      </c>
      <c r="AD323" s="16" t="n">
        <v>0</v>
      </c>
      <c r="AE323" s="16" t="n">
        <v>0</v>
      </c>
      <c r="AF323" s="16">
        <f>IF(AD323&gt;0,IFERROR(VALUE(LEFT($D323,1)),1),0)</f>
        <v/>
      </c>
      <c r="AG323" s="16">
        <f>AD323*AF323</f>
        <v/>
      </c>
      <c r="AH323" s="9">
        <f>AC323*AG323</f>
        <v/>
      </c>
      <c r="AI323" s="9" t="n">
        <v>0</v>
      </c>
      <c r="AJ323" s="16" t="n">
        <v>0</v>
      </c>
      <c r="AK323" s="16" t="n">
        <v>0</v>
      </c>
      <c r="AL323" s="16">
        <f>IF(AJ323&gt;0,IFERROR(VALUE(LEFT($D323,1)),1),0)</f>
        <v/>
      </c>
      <c r="AM323" s="16">
        <f>AJ323*AL323</f>
        <v/>
      </c>
      <c r="AN323" s="9">
        <f>AI323*AM323</f>
        <v/>
      </c>
    </row>
    <row r="324">
      <c r="A324" s="16" t="inlineStr">
        <is>
          <t>TK</t>
        </is>
      </c>
      <c r="B324" s="16" t="inlineStr">
        <is>
          <t>Tomografia trzech okolic anatomicznych</t>
        </is>
      </c>
      <c r="C324" s="16" t="inlineStr">
        <is>
          <t>TK Zwykłe</t>
        </is>
      </c>
      <c r="D324" s="16" t="inlineStr">
        <is>
          <t>3 okolice anatomiczne</t>
        </is>
      </c>
      <c r="E324" s="9" t="n">
        <v>0</v>
      </c>
      <c r="F324" s="16" t="n">
        <v>0</v>
      </c>
      <c r="G324" s="16" t="n">
        <v>0</v>
      </c>
      <c r="H324" s="16">
        <f>IF(F324&gt;0,IFERROR(VALUE(LEFT($D324,1)),1),0)</f>
        <v/>
      </c>
      <c r="I324" s="16">
        <f>F324*H324</f>
        <v/>
      </c>
      <c r="J324" s="9">
        <f>E324*I324</f>
        <v/>
      </c>
      <c r="K324" s="9" t="n">
        <v>0</v>
      </c>
      <c r="L324" s="16" t="n">
        <v>0</v>
      </c>
      <c r="M324" s="16" t="n">
        <v>0</v>
      </c>
      <c r="N324" s="16">
        <f>IF(L324&gt;0,IFERROR(VALUE(LEFT($D324,1)),1),0)</f>
        <v/>
      </c>
      <c r="O324" s="16">
        <f>L324*N324</f>
        <v/>
      </c>
      <c r="P324" s="9">
        <f>K324*O324</f>
        <v/>
      </c>
      <c r="Q324" s="9" t="n">
        <v>0</v>
      </c>
      <c r="R324" s="16" t="n">
        <v>0</v>
      </c>
      <c r="S324" s="16" t="n">
        <v>0</v>
      </c>
      <c r="T324" s="16">
        <f>IF(R324&gt;0,IFERROR(VALUE(LEFT($D324,1)),1),0)</f>
        <v/>
      </c>
      <c r="U324" s="16">
        <f>R324*T324</f>
        <v/>
      </c>
      <c r="V324" s="9">
        <f>Q324*U324</f>
        <v/>
      </c>
      <c r="W324" s="9" t="n">
        <v>120</v>
      </c>
      <c r="X324" s="16" t="n">
        <v>2</v>
      </c>
      <c r="Y324" s="16" t="n">
        <v>0</v>
      </c>
      <c r="Z324" s="16">
        <f>IF(X324&gt;0,IFERROR(VALUE(LEFT($D324,1)),1),0)</f>
        <v/>
      </c>
      <c r="AA324" s="16">
        <f>X324*Z324</f>
        <v/>
      </c>
      <c r="AB324" s="9">
        <f>W324*AA324</f>
        <v/>
      </c>
      <c r="AC324" s="9" t="n">
        <v>0</v>
      </c>
      <c r="AD324" s="16" t="n">
        <v>0</v>
      </c>
      <c r="AE324" s="16" t="n">
        <v>0</v>
      </c>
      <c r="AF324" s="16">
        <f>IF(AD324&gt;0,IFERROR(VALUE(LEFT($D324,1)),1),0)</f>
        <v/>
      </c>
      <c r="AG324" s="16">
        <f>AD324*AF324</f>
        <v/>
      </c>
      <c r="AH324" s="9">
        <f>AC324*AG324</f>
        <v/>
      </c>
      <c r="AI324" s="9" t="n">
        <v>0</v>
      </c>
      <c r="AJ324" s="16" t="n">
        <v>0</v>
      </c>
      <c r="AK324" s="16" t="n">
        <v>0</v>
      </c>
      <c r="AL324" s="16">
        <f>IF(AJ324&gt;0,IFERROR(VALUE(LEFT($D324,1)),1),0)</f>
        <v/>
      </c>
      <c r="AM324" s="16">
        <f>AJ324*AL324</f>
        <v/>
      </c>
      <c r="AN324" s="9">
        <f>AI324*AM324</f>
        <v/>
      </c>
    </row>
    <row r="325">
      <c r="A325" s="16" t="inlineStr">
        <is>
          <t>TK</t>
        </is>
      </c>
      <c r="B325" s="16" t="inlineStr">
        <is>
          <t>klp+jb+m</t>
        </is>
      </c>
      <c r="C325" s="16" t="inlineStr">
        <is>
          <t>TK Zwykłe</t>
        </is>
      </c>
      <c r="D325" s="16" t="inlineStr">
        <is>
          <t>3 okolice anatomiczne</t>
        </is>
      </c>
      <c r="E325" s="9" t="n">
        <v>0</v>
      </c>
      <c r="F325" s="16" t="n">
        <v>0</v>
      </c>
      <c r="G325" s="16" t="n">
        <v>0</v>
      </c>
      <c r="H325" s="16">
        <f>IF(F325&gt;0,IFERROR(VALUE(LEFT($D325,1)),1),0)</f>
        <v/>
      </c>
      <c r="I325" s="16">
        <f>F325*H325</f>
        <v/>
      </c>
      <c r="J325" s="9">
        <f>E325*I325</f>
        <v/>
      </c>
      <c r="K325" s="9" t="n">
        <v>0</v>
      </c>
      <c r="L325" s="16" t="n">
        <v>0</v>
      </c>
      <c r="M325" s="16" t="n">
        <v>0</v>
      </c>
      <c r="N325" s="16">
        <f>IF(L325&gt;0,IFERROR(VALUE(LEFT($D325,1)),1),0)</f>
        <v/>
      </c>
      <c r="O325" s="16">
        <f>L325*N325</f>
        <v/>
      </c>
      <c r="P325" s="9">
        <f>K325*O325</f>
        <v/>
      </c>
      <c r="Q325" s="9" t="n">
        <v>0</v>
      </c>
      <c r="R325" s="16" t="n">
        <v>0</v>
      </c>
      <c r="S325" s="16" t="n">
        <v>0</v>
      </c>
      <c r="T325" s="16">
        <f>IF(R325&gt;0,IFERROR(VALUE(LEFT($D325,1)),1),0)</f>
        <v/>
      </c>
      <c r="U325" s="16">
        <f>R325*T325</f>
        <v/>
      </c>
      <c r="V325" s="9">
        <f>Q325*U325</f>
        <v/>
      </c>
      <c r="W325" s="9" t="n">
        <v>120</v>
      </c>
      <c r="X325" s="16" t="n">
        <v>1</v>
      </c>
      <c r="Y325" s="16" t="n">
        <v>0</v>
      </c>
      <c r="Z325" s="16">
        <f>IF(X325&gt;0,IFERROR(VALUE(LEFT($D325,1)),1),0)</f>
        <v/>
      </c>
      <c r="AA325" s="16">
        <f>X325*Z325</f>
        <v/>
      </c>
      <c r="AB325" s="9">
        <f>W325*AA325</f>
        <v/>
      </c>
      <c r="AC325" s="9" t="n">
        <v>0</v>
      </c>
      <c r="AD325" s="16" t="n">
        <v>0</v>
      </c>
      <c r="AE325" s="16" t="n">
        <v>0</v>
      </c>
      <c r="AF325" s="16">
        <f>IF(AD325&gt;0,IFERROR(VALUE(LEFT($D325,1)),1),0)</f>
        <v/>
      </c>
      <c r="AG325" s="16">
        <f>AD325*AF325</f>
        <v/>
      </c>
      <c r="AH325" s="9">
        <f>AC325*AG325</f>
        <v/>
      </c>
      <c r="AI325" s="9" t="n">
        <v>0</v>
      </c>
      <c r="AJ325" s="16" t="n">
        <v>0</v>
      </c>
      <c r="AK325" s="16" t="n">
        <v>0</v>
      </c>
      <c r="AL325" s="16">
        <f>IF(AJ325&gt;0,IFERROR(VALUE(LEFT($D325,1)),1),0)</f>
        <v/>
      </c>
      <c r="AM325" s="16">
        <f>AJ325*AL325</f>
        <v/>
      </c>
      <c r="AN325" s="9">
        <f>AI325*AM325</f>
        <v/>
      </c>
    </row>
    <row r="326">
      <c r="A326" s="16" t="inlineStr">
        <is>
          <t>TK</t>
        </is>
      </c>
      <c r="B326" s="16" t="inlineStr">
        <is>
          <t>klp+jb+m+kontrast</t>
        </is>
      </c>
      <c r="C326" s="16" t="inlineStr">
        <is>
          <t>TK Zwykłe</t>
        </is>
      </c>
      <c r="D326" s="16" t="inlineStr">
        <is>
          <t>3 okolice anatomiczne</t>
        </is>
      </c>
      <c r="E326" s="9" t="n">
        <v>0</v>
      </c>
      <c r="F326" s="16" t="n">
        <v>0</v>
      </c>
      <c r="G326" s="16" t="n">
        <v>0</v>
      </c>
      <c r="H326" s="16">
        <f>IF(F326&gt;0,IFERROR(VALUE(LEFT($D326,1)),1),0)</f>
        <v/>
      </c>
      <c r="I326" s="16">
        <f>F326*H326</f>
        <v/>
      </c>
      <c r="J326" s="9">
        <f>E326*I326</f>
        <v/>
      </c>
      <c r="K326" s="9" t="n">
        <v>0</v>
      </c>
      <c r="L326" s="16" t="n">
        <v>0</v>
      </c>
      <c r="M326" s="16" t="n">
        <v>0</v>
      </c>
      <c r="N326" s="16">
        <f>IF(L326&gt;0,IFERROR(VALUE(LEFT($D326,1)),1),0)</f>
        <v/>
      </c>
      <c r="O326" s="16">
        <f>L326*N326</f>
        <v/>
      </c>
      <c r="P326" s="9">
        <f>K326*O326</f>
        <v/>
      </c>
      <c r="Q326" s="9" t="n">
        <v>0</v>
      </c>
      <c r="R326" s="16" t="n">
        <v>0</v>
      </c>
      <c r="S326" s="16" t="n">
        <v>0</v>
      </c>
      <c r="T326" s="16">
        <f>IF(R326&gt;0,IFERROR(VALUE(LEFT($D326,1)),1),0)</f>
        <v/>
      </c>
      <c r="U326" s="16">
        <f>R326*T326</f>
        <v/>
      </c>
      <c r="V326" s="9">
        <f>Q326*U326</f>
        <v/>
      </c>
      <c r="W326" s="9" t="n">
        <v>120</v>
      </c>
      <c r="X326" s="16" t="n">
        <v>1</v>
      </c>
      <c r="Y326" s="16" t="n">
        <v>0</v>
      </c>
      <c r="Z326" s="16">
        <f>IF(X326&gt;0,IFERROR(VALUE(LEFT($D326,1)),1),0)</f>
        <v/>
      </c>
      <c r="AA326" s="16">
        <f>X326*Z326</f>
        <v/>
      </c>
      <c r="AB326" s="9">
        <f>W326*AA326</f>
        <v/>
      </c>
      <c r="AC326" s="9" t="n">
        <v>0</v>
      </c>
      <c r="AD326" s="16" t="n">
        <v>0</v>
      </c>
      <c r="AE326" s="16" t="n">
        <v>0</v>
      </c>
      <c r="AF326" s="16">
        <f>IF(AD326&gt;0,IFERROR(VALUE(LEFT($D326,1)),1),0)</f>
        <v/>
      </c>
      <c r="AG326" s="16">
        <f>AD326*AF326</f>
        <v/>
      </c>
      <c r="AH326" s="9">
        <f>AC326*AG326</f>
        <v/>
      </c>
      <c r="AI326" s="9" t="n">
        <v>0</v>
      </c>
      <c r="AJ326" s="16" t="n">
        <v>0</v>
      </c>
      <c r="AK326" s="16" t="n">
        <v>0</v>
      </c>
      <c r="AL326" s="16">
        <f>IF(AJ326&gt;0,IFERROR(VALUE(LEFT($D326,1)),1),0)</f>
        <v/>
      </c>
      <c r="AM326" s="16">
        <f>AJ326*AL326</f>
        <v/>
      </c>
      <c r="AN326" s="9">
        <f>AI326*AM326</f>
        <v/>
      </c>
    </row>
    <row r="327">
      <c r="A327" s="16" t="inlineStr">
        <is>
          <t>TK</t>
        </is>
      </c>
      <c r="B327" s="16" t="inlineStr">
        <is>
          <t>Badanie wielu okolic anatomicznych (np. kl. pierś+jama brzuszna+miednica) bez kontrastu</t>
        </is>
      </c>
      <c r="C327" s="16" t="inlineStr">
        <is>
          <t>TK Zwykłe</t>
        </is>
      </c>
      <c r="D327" s="16" t="inlineStr">
        <is>
          <t>3 okolice anatomiczne</t>
        </is>
      </c>
      <c r="E327" s="9" t="n">
        <v>0</v>
      </c>
      <c r="F327" s="16" t="n">
        <v>0</v>
      </c>
      <c r="G327" s="16" t="n">
        <v>0</v>
      </c>
      <c r="H327" s="16">
        <f>IF(F327&gt;0,IFERROR(VALUE(LEFT($D327,1)),1),0)</f>
        <v/>
      </c>
      <c r="I327" s="16">
        <f>F327*H327</f>
        <v/>
      </c>
      <c r="J327" s="9">
        <f>E327*I327</f>
        <v/>
      </c>
      <c r="K327" s="9" t="n">
        <v>0</v>
      </c>
      <c r="L327" s="16" t="n">
        <v>0</v>
      </c>
      <c r="M327" s="16" t="n">
        <v>0</v>
      </c>
      <c r="N327" s="16">
        <f>IF(L327&gt;0,IFERROR(VALUE(LEFT($D327,1)),1),0)</f>
        <v/>
      </c>
      <c r="O327" s="16">
        <f>L327*N327</f>
        <v/>
      </c>
      <c r="P327" s="9">
        <f>K327*O327</f>
        <v/>
      </c>
      <c r="Q327" s="9" t="n">
        <v>0</v>
      </c>
      <c r="R327" s="16" t="n">
        <v>0</v>
      </c>
      <c r="S327" s="16" t="n">
        <v>0</v>
      </c>
      <c r="T327" s="16">
        <f>IF(R327&gt;0,IFERROR(VALUE(LEFT($D327,1)),1),0)</f>
        <v/>
      </c>
      <c r="U327" s="16">
        <f>R327*T327</f>
        <v/>
      </c>
      <c r="V327" s="9">
        <f>Q327*U327</f>
        <v/>
      </c>
      <c r="W327" s="9" t="n">
        <v>0</v>
      </c>
      <c r="X327" s="16" t="n">
        <v>0</v>
      </c>
      <c r="Y327" s="16" t="n">
        <v>0</v>
      </c>
      <c r="Z327" s="16">
        <f>IF(X327&gt;0,IFERROR(VALUE(LEFT($D327,1)),1),0)</f>
        <v/>
      </c>
      <c r="AA327" s="16">
        <f>X327*Z327</f>
        <v/>
      </c>
      <c r="AB327" s="9">
        <f>W327*AA327</f>
        <v/>
      </c>
      <c r="AC327" s="9" t="n">
        <v>120</v>
      </c>
      <c r="AD327" s="16" t="n">
        <v>1</v>
      </c>
      <c r="AE327" s="16" t="n">
        <v>0</v>
      </c>
      <c r="AF327" s="16">
        <f>IF(AD327&gt;0,IFERROR(VALUE(LEFT($D327,1)),1),0)</f>
        <v/>
      </c>
      <c r="AG327" s="16">
        <f>AD327*AF327</f>
        <v/>
      </c>
      <c r="AH327" s="9">
        <f>AC327*AG327</f>
        <v/>
      </c>
      <c r="AI327" s="9" t="n">
        <v>0</v>
      </c>
      <c r="AJ327" s="16" t="n">
        <v>0</v>
      </c>
      <c r="AK327" s="16" t="n">
        <v>0</v>
      </c>
      <c r="AL327" s="16">
        <f>IF(AJ327&gt;0,IFERROR(VALUE(LEFT($D327,1)),1),0)</f>
        <v/>
      </c>
      <c r="AM327" s="16">
        <f>AJ327*AL327</f>
        <v/>
      </c>
      <c r="AN327" s="9">
        <f>AI327*AM327</f>
        <v/>
      </c>
    </row>
    <row r="328">
      <c r="A328" s="16" t="inlineStr">
        <is>
          <t>TK</t>
        </is>
      </c>
      <c r="B328" s="16" t="inlineStr">
        <is>
          <t>HRCT klatki piersiowej</t>
        </is>
      </c>
      <c r="C328" s="16" t="inlineStr">
        <is>
          <t>TK Zwykłe</t>
        </is>
      </c>
      <c r="D328" s="16" t="inlineStr">
        <is>
          <t>1 okolica anatomiczna</t>
        </is>
      </c>
      <c r="E328" s="9" t="n">
        <v>0</v>
      </c>
      <c r="F328" s="16" t="n">
        <v>0</v>
      </c>
      <c r="G328" s="16" t="n">
        <v>0</v>
      </c>
      <c r="H328" s="16">
        <f>IF(F328&gt;0,IFERROR(VALUE(LEFT($D328,1)),1),0)</f>
        <v/>
      </c>
      <c r="I328" s="16">
        <f>F328*H328</f>
        <v/>
      </c>
      <c r="J328" s="9">
        <f>E328*I328</f>
        <v/>
      </c>
      <c r="K328" s="9" t="n">
        <v>0</v>
      </c>
      <c r="L328" s="16" t="n">
        <v>0</v>
      </c>
      <c r="M328" s="16" t="n">
        <v>0</v>
      </c>
      <c r="N328" s="16">
        <f>IF(L328&gt;0,IFERROR(VALUE(LEFT($D328,1)),1),0)</f>
        <v/>
      </c>
      <c r="O328" s="16">
        <f>L328*N328</f>
        <v/>
      </c>
      <c r="P328" s="9">
        <f>K328*O328</f>
        <v/>
      </c>
      <c r="Q328" s="9" t="n">
        <v>0</v>
      </c>
      <c r="R328" s="16" t="n">
        <v>0</v>
      </c>
      <c r="S328" s="16" t="n">
        <v>0</v>
      </c>
      <c r="T328" s="16">
        <f>IF(R328&gt;0,IFERROR(VALUE(LEFT($D328,1)),1),0)</f>
        <v/>
      </c>
      <c r="U328" s="16">
        <f>R328*T328</f>
        <v/>
      </c>
      <c r="V328" s="9">
        <f>Q328*U328</f>
        <v/>
      </c>
      <c r="W328" s="9" t="n">
        <v>0</v>
      </c>
      <c r="X328" s="16" t="n">
        <v>0</v>
      </c>
      <c r="Y328" s="16" t="n">
        <v>0</v>
      </c>
      <c r="Z328" s="16">
        <f>IF(X328&gt;0,IFERROR(VALUE(LEFT($D328,1)),1),0)</f>
        <v/>
      </c>
      <c r="AA328" s="16">
        <f>X328*Z328</f>
        <v/>
      </c>
      <c r="AB328" s="9">
        <f>W328*AA328</f>
        <v/>
      </c>
      <c r="AC328" s="9" t="n">
        <v>120</v>
      </c>
      <c r="AD328" s="16" t="n">
        <v>1</v>
      </c>
      <c r="AE328" s="16" t="n">
        <v>1</v>
      </c>
      <c r="AF328" s="16">
        <f>IF(AD328&gt;0,IFERROR(VALUE(LEFT($D328,1)),1),0)</f>
        <v/>
      </c>
      <c r="AG328" s="16">
        <f>AD328*AF328</f>
        <v/>
      </c>
      <c r="AH328" s="9">
        <f>AC328*AG328</f>
        <v/>
      </c>
      <c r="AI328" s="9" t="n">
        <v>0</v>
      </c>
      <c r="AJ328" s="16" t="n">
        <v>0</v>
      </c>
      <c r="AK328" s="16" t="n">
        <v>0</v>
      </c>
      <c r="AL328" s="16">
        <f>IF(AJ328&gt;0,IFERROR(VALUE(LEFT($D328,1)),1),0)</f>
        <v/>
      </c>
      <c r="AM328" s="16">
        <f>AJ328*AL328</f>
        <v/>
      </c>
      <c r="AN328" s="9">
        <f>AI328*AM328</f>
        <v/>
      </c>
    </row>
    <row r="329">
      <c r="A329" s="16" t="inlineStr">
        <is>
          <t>TK</t>
        </is>
      </c>
      <c r="B329" s="16" t="inlineStr">
        <is>
          <t>K.TK KRĘGOSŁUPA LĘDŹWIOWO-KRZYŻOWEGO</t>
        </is>
      </c>
      <c r="C329" s="16" t="inlineStr">
        <is>
          <t>TK Zwykłe</t>
        </is>
      </c>
      <c r="D329" s="16" t="inlineStr">
        <is>
          <t>1 okolica anatomiczna</t>
        </is>
      </c>
      <c r="E329" s="9" t="n">
        <v>0</v>
      </c>
      <c r="F329" s="16" t="n">
        <v>0</v>
      </c>
      <c r="G329" s="16" t="n">
        <v>0</v>
      </c>
      <c r="H329" s="16">
        <f>IF(F329&gt;0,IFERROR(VALUE(LEFT($D329,1)),1),0)</f>
        <v/>
      </c>
      <c r="I329" s="16">
        <f>F329*H329</f>
        <v/>
      </c>
      <c r="J329" s="9">
        <f>E329*I329</f>
        <v/>
      </c>
      <c r="K329" s="9" t="n">
        <v>0</v>
      </c>
      <c r="L329" s="16" t="n">
        <v>0</v>
      </c>
      <c r="M329" s="16" t="n">
        <v>0</v>
      </c>
      <c r="N329" s="16">
        <f>IF(L329&gt;0,IFERROR(VALUE(LEFT($D329,1)),1),0)</f>
        <v/>
      </c>
      <c r="O329" s="16">
        <f>L329*N329</f>
        <v/>
      </c>
      <c r="P329" s="9">
        <f>K329*O329</f>
        <v/>
      </c>
      <c r="Q329" s="9" t="n">
        <v>0</v>
      </c>
      <c r="R329" s="16" t="n">
        <v>0</v>
      </c>
      <c r="S329" s="16" t="n">
        <v>0</v>
      </c>
      <c r="T329" s="16">
        <f>IF(R329&gt;0,IFERROR(VALUE(LEFT($D329,1)),1),0)</f>
        <v/>
      </c>
      <c r="U329" s="16">
        <f>R329*T329</f>
        <v/>
      </c>
      <c r="V329" s="9">
        <f>Q329*U329</f>
        <v/>
      </c>
      <c r="W329" s="9" t="n">
        <v>0</v>
      </c>
      <c r="X329" s="16" t="n">
        <v>0</v>
      </c>
      <c r="Y329" s="16" t="n">
        <v>0</v>
      </c>
      <c r="Z329" s="16">
        <f>IF(X329&gt;0,IFERROR(VALUE(LEFT($D329,1)),1),0)</f>
        <v/>
      </c>
      <c r="AA329" s="16">
        <f>X329*Z329</f>
        <v/>
      </c>
      <c r="AB329" s="9">
        <f>W329*AA329</f>
        <v/>
      </c>
      <c r="AC329" s="9" t="n">
        <v>120</v>
      </c>
      <c r="AD329" s="16" t="n">
        <v>1</v>
      </c>
      <c r="AE329" s="16" t="n">
        <v>0</v>
      </c>
      <c r="AF329" s="16">
        <f>IF(AD329&gt;0,IFERROR(VALUE(LEFT($D329,1)),1),0)</f>
        <v/>
      </c>
      <c r="AG329" s="16">
        <f>AD329*AF329</f>
        <v/>
      </c>
      <c r="AH329" s="9">
        <f>AC329*AG329</f>
        <v/>
      </c>
      <c r="AI329" s="9" t="n">
        <v>0</v>
      </c>
      <c r="AJ329" s="16" t="n">
        <v>0</v>
      </c>
      <c r="AK329" s="16" t="n">
        <v>0</v>
      </c>
      <c r="AL329" s="16">
        <f>IF(AJ329&gt;0,IFERROR(VALUE(LEFT($D329,1)),1),0)</f>
        <v/>
      </c>
      <c r="AM329" s="16">
        <f>AJ329*AL329</f>
        <v/>
      </c>
      <c r="AN329" s="9">
        <f>AI329*AM329</f>
        <v/>
      </c>
    </row>
    <row r="330">
      <c r="A330" s="16" t="inlineStr">
        <is>
          <t>TK</t>
        </is>
      </c>
      <c r="B330" s="16" t="inlineStr">
        <is>
          <t>K.TK KRĘGOSŁUPA SZYJNEGO</t>
        </is>
      </c>
      <c r="C330" s="16" t="inlineStr">
        <is>
          <t>TK Zwykłe</t>
        </is>
      </c>
      <c r="D330" s="16" t="inlineStr">
        <is>
          <t>1 okolica anatomiczna</t>
        </is>
      </c>
      <c r="E330" s="9" t="n">
        <v>0</v>
      </c>
      <c r="F330" s="16" t="n">
        <v>0</v>
      </c>
      <c r="G330" s="16" t="n">
        <v>0</v>
      </c>
      <c r="H330" s="16">
        <f>IF(F330&gt;0,IFERROR(VALUE(LEFT($D330,1)),1),0)</f>
        <v/>
      </c>
      <c r="I330" s="16">
        <f>F330*H330</f>
        <v/>
      </c>
      <c r="J330" s="9">
        <f>E330*I330</f>
        <v/>
      </c>
      <c r="K330" s="9" t="n">
        <v>0</v>
      </c>
      <c r="L330" s="16" t="n">
        <v>0</v>
      </c>
      <c r="M330" s="16" t="n">
        <v>0</v>
      </c>
      <c r="N330" s="16">
        <f>IF(L330&gt;0,IFERROR(VALUE(LEFT($D330,1)),1),0)</f>
        <v/>
      </c>
      <c r="O330" s="16">
        <f>L330*N330</f>
        <v/>
      </c>
      <c r="P330" s="9">
        <f>K330*O330</f>
        <v/>
      </c>
      <c r="Q330" s="9" t="n">
        <v>0</v>
      </c>
      <c r="R330" s="16" t="n">
        <v>0</v>
      </c>
      <c r="S330" s="16" t="n">
        <v>0</v>
      </c>
      <c r="T330" s="16">
        <f>IF(R330&gt;0,IFERROR(VALUE(LEFT($D330,1)),1),0)</f>
        <v/>
      </c>
      <c r="U330" s="16">
        <f>R330*T330</f>
        <v/>
      </c>
      <c r="V330" s="9">
        <f>Q330*U330</f>
        <v/>
      </c>
      <c r="W330" s="9" t="n">
        <v>0</v>
      </c>
      <c r="X330" s="16" t="n">
        <v>0</v>
      </c>
      <c r="Y330" s="16" t="n">
        <v>0</v>
      </c>
      <c r="Z330" s="16">
        <f>IF(X330&gt;0,IFERROR(VALUE(LEFT($D330,1)),1),0)</f>
        <v/>
      </c>
      <c r="AA330" s="16">
        <f>X330*Z330</f>
        <v/>
      </c>
      <c r="AB330" s="9">
        <f>W330*AA330</f>
        <v/>
      </c>
      <c r="AC330" s="9" t="n">
        <v>120</v>
      </c>
      <c r="AD330" s="16" t="n">
        <v>1</v>
      </c>
      <c r="AE330" s="16" t="n">
        <v>0</v>
      </c>
      <c r="AF330" s="16">
        <f>IF(AD330&gt;0,IFERROR(VALUE(LEFT($D330,1)),1),0)</f>
        <v/>
      </c>
      <c r="AG330" s="16">
        <f>AD330*AF330</f>
        <v/>
      </c>
      <c r="AH330" s="9">
        <f>AC330*AG330</f>
        <v/>
      </c>
      <c r="AI330" s="9" t="n">
        <v>0</v>
      </c>
      <c r="AJ330" s="16" t="n">
        <v>0</v>
      </c>
      <c r="AK330" s="16" t="n">
        <v>0</v>
      </c>
      <c r="AL330" s="16">
        <f>IF(AJ330&gt;0,IFERROR(VALUE(LEFT($D330,1)),1),0)</f>
        <v/>
      </c>
      <c r="AM330" s="16">
        <f>AJ330*AL330</f>
        <v/>
      </c>
      <c r="AN330" s="9">
        <f>AI330*AM330</f>
        <v/>
      </c>
    </row>
    <row r="331">
      <c r="A331" s="16" t="inlineStr">
        <is>
          <t>TK</t>
        </is>
      </c>
      <c r="B331" s="16" t="inlineStr">
        <is>
          <t>TK - klatka piersiowa bez kontrastu</t>
        </is>
      </c>
      <c r="C331" s="16" t="inlineStr">
        <is>
          <t>TK Zwykłe</t>
        </is>
      </c>
      <c r="D331" s="16" t="inlineStr">
        <is>
          <t>1 okolica anatomiczna</t>
        </is>
      </c>
      <c r="E331" s="9" t="n">
        <v>0</v>
      </c>
      <c r="F331" s="16" t="n">
        <v>0</v>
      </c>
      <c r="G331" s="16" t="n">
        <v>0</v>
      </c>
      <c r="H331" s="16">
        <f>IF(F331&gt;0,IFERROR(VALUE(LEFT($D331,1)),1),0)</f>
        <v/>
      </c>
      <c r="I331" s="16">
        <f>F331*H331</f>
        <v/>
      </c>
      <c r="J331" s="9">
        <f>E331*I331</f>
        <v/>
      </c>
      <c r="K331" s="9" t="n">
        <v>0</v>
      </c>
      <c r="L331" s="16" t="n">
        <v>0</v>
      </c>
      <c r="M331" s="16" t="n">
        <v>0</v>
      </c>
      <c r="N331" s="16">
        <f>IF(L331&gt;0,IFERROR(VALUE(LEFT($D331,1)),1),0)</f>
        <v/>
      </c>
      <c r="O331" s="16">
        <f>L331*N331</f>
        <v/>
      </c>
      <c r="P331" s="9">
        <f>K331*O331</f>
        <v/>
      </c>
      <c r="Q331" s="9" t="n">
        <v>0</v>
      </c>
      <c r="R331" s="16" t="n">
        <v>0</v>
      </c>
      <c r="S331" s="16" t="n">
        <v>0</v>
      </c>
      <c r="T331" s="16">
        <f>IF(R331&gt;0,IFERROR(VALUE(LEFT($D331,1)),1),0)</f>
        <v/>
      </c>
      <c r="U331" s="16">
        <f>R331*T331</f>
        <v/>
      </c>
      <c r="V331" s="9">
        <f>Q331*U331</f>
        <v/>
      </c>
      <c r="W331" s="9" t="n">
        <v>0</v>
      </c>
      <c r="X331" s="16" t="n">
        <v>0</v>
      </c>
      <c r="Y331" s="16" t="n">
        <v>0</v>
      </c>
      <c r="Z331" s="16">
        <f>IF(X331&gt;0,IFERROR(VALUE(LEFT($D331,1)),1),0)</f>
        <v/>
      </c>
      <c r="AA331" s="16">
        <f>X331*Z331</f>
        <v/>
      </c>
      <c r="AB331" s="9">
        <f>W331*AA331</f>
        <v/>
      </c>
      <c r="AC331" s="9" t="n">
        <v>120</v>
      </c>
      <c r="AD331" s="16" t="n">
        <v>1</v>
      </c>
      <c r="AE331" s="16" t="n">
        <v>1</v>
      </c>
      <c r="AF331" s="16">
        <f>IF(AD331&gt;0,IFERROR(VALUE(LEFT($D331,1)),1),0)</f>
        <v/>
      </c>
      <c r="AG331" s="16">
        <f>AD331*AF331</f>
        <v/>
      </c>
      <c r="AH331" s="9">
        <f>AC331*AG331</f>
        <v/>
      </c>
      <c r="AI331" s="9" t="n">
        <v>0</v>
      </c>
      <c r="AJ331" s="16" t="n">
        <v>0</v>
      </c>
      <c r="AK331" s="16" t="n">
        <v>0</v>
      </c>
      <c r="AL331" s="16">
        <f>IF(AJ331&gt;0,IFERROR(VALUE(LEFT($D331,1)),1),0)</f>
        <v/>
      </c>
      <c r="AM331" s="16">
        <f>AJ331*AL331</f>
        <v/>
      </c>
      <c r="AN331" s="9">
        <f>AI331*AM331</f>
        <v/>
      </c>
    </row>
    <row r="332">
      <c r="A332" s="16" t="inlineStr">
        <is>
          <t>TK</t>
        </is>
      </c>
      <c r="B332" s="16" t="inlineStr">
        <is>
          <t>TK KLATKI PIERSIOWEJ JAMY BRZUSZNEJ I MIEDNICY MNIEJSZEJ BEZ I Z KONTRASTEM</t>
        </is>
      </c>
      <c r="C332" s="16" t="inlineStr">
        <is>
          <t>TK Zwykłe</t>
        </is>
      </c>
      <c r="D332" s="16" t="inlineStr">
        <is>
          <t>3 okolice anatomiczne</t>
        </is>
      </c>
      <c r="E332" s="9" t="n">
        <v>0</v>
      </c>
      <c r="F332" s="16" t="n">
        <v>0</v>
      </c>
      <c r="G332" s="16" t="n">
        <v>0</v>
      </c>
      <c r="H332" s="16">
        <f>IF(F332&gt;0,IFERROR(VALUE(LEFT($D332,1)),1),0)</f>
        <v/>
      </c>
      <c r="I332" s="16">
        <f>F332*H332</f>
        <v/>
      </c>
      <c r="J332" s="9">
        <f>E332*I332</f>
        <v/>
      </c>
      <c r="K332" s="9" t="n">
        <v>0</v>
      </c>
      <c r="L332" s="16" t="n">
        <v>0</v>
      </c>
      <c r="M332" s="16" t="n">
        <v>0</v>
      </c>
      <c r="N332" s="16">
        <f>IF(L332&gt;0,IFERROR(VALUE(LEFT($D332,1)),1),0)</f>
        <v/>
      </c>
      <c r="O332" s="16">
        <f>L332*N332</f>
        <v/>
      </c>
      <c r="P332" s="9">
        <f>K332*O332</f>
        <v/>
      </c>
      <c r="Q332" s="9" t="n">
        <v>0</v>
      </c>
      <c r="R332" s="16" t="n">
        <v>0</v>
      </c>
      <c r="S332" s="16" t="n">
        <v>0</v>
      </c>
      <c r="T332" s="16">
        <f>IF(R332&gt;0,IFERROR(VALUE(LEFT($D332,1)),1),0)</f>
        <v/>
      </c>
      <c r="U332" s="16">
        <f>R332*T332</f>
        <v/>
      </c>
      <c r="V332" s="9">
        <f>Q332*U332</f>
        <v/>
      </c>
      <c r="W332" s="9" t="n">
        <v>0</v>
      </c>
      <c r="X332" s="16" t="n">
        <v>0</v>
      </c>
      <c r="Y332" s="16" t="n">
        <v>0</v>
      </c>
      <c r="Z332" s="16">
        <f>IF(X332&gt;0,IFERROR(VALUE(LEFT($D332,1)),1),0)</f>
        <v/>
      </c>
      <c r="AA332" s="16">
        <f>X332*Z332</f>
        <v/>
      </c>
      <c r="AB332" s="9">
        <f>W332*AA332</f>
        <v/>
      </c>
      <c r="AC332" s="9" t="n">
        <v>120</v>
      </c>
      <c r="AD332" s="16" t="n">
        <v>1</v>
      </c>
      <c r="AE332" s="16" t="n">
        <v>0</v>
      </c>
      <c r="AF332" s="16">
        <f>IF(AD332&gt;0,IFERROR(VALUE(LEFT($D332,1)),1),0)</f>
        <v/>
      </c>
      <c r="AG332" s="16">
        <f>AD332*AF332</f>
        <v/>
      </c>
      <c r="AH332" s="9">
        <f>AC332*AG332</f>
        <v/>
      </c>
      <c r="AI332" s="9" t="n">
        <v>0</v>
      </c>
      <c r="AJ332" s="16" t="n">
        <v>0</v>
      </c>
      <c r="AK332" s="16" t="n">
        <v>0</v>
      </c>
      <c r="AL332" s="16">
        <f>IF(AJ332&gt;0,IFERROR(VALUE(LEFT($D332,1)),1),0)</f>
        <v/>
      </c>
      <c r="AM332" s="16">
        <f>AJ332*AL332</f>
        <v/>
      </c>
      <c r="AN332" s="9">
        <f>AI332*AM332</f>
        <v/>
      </c>
    </row>
    <row r="333">
      <c r="A333" s="16" t="inlineStr">
        <is>
          <t>TK</t>
        </is>
      </c>
      <c r="B333" s="16" t="inlineStr">
        <is>
          <t>TK KLATKI PIERSIOWEJ bez i z kontrastem</t>
        </is>
      </c>
      <c r="C333" s="16" t="inlineStr">
        <is>
          <t>TK Zwykłe</t>
        </is>
      </c>
      <c r="D333" s="16" t="inlineStr">
        <is>
          <t>1 okolica anatomiczna</t>
        </is>
      </c>
      <c r="E333" s="9" t="n">
        <v>0</v>
      </c>
      <c r="F333" s="16" t="n">
        <v>0</v>
      </c>
      <c r="G333" s="16" t="n">
        <v>0</v>
      </c>
      <c r="H333" s="16">
        <f>IF(F333&gt;0,IFERROR(VALUE(LEFT($D333,1)),1),0)</f>
        <v/>
      </c>
      <c r="I333" s="16">
        <f>F333*H333</f>
        <v/>
      </c>
      <c r="J333" s="9">
        <f>E333*I333</f>
        <v/>
      </c>
      <c r="K333" s="9" t="n">
        <v>0</v>
      </c>
      <c r="L333" s="16" t="n">
        <v>0</v>
      </c>
      <c r="M333" s="16" t="n">
        <v>0</v>
      </c>
      <c r="N333" s="16">
        <f>IF(L333&gt;0,IFERROR(VALUE(LEFT($D333,1)),1),0)</f>
        <v/>
      </c>
      <c r="O333" s="16">
        <f>L333*N333</f>
        <v/>
      </c>
      <c r="P333" s="9">
        <f>K333*O333</f>
        <v/>
      </c>
      <c r="Q333" s="9" t="n">
        <v>0</v>
      </c>
      <c r="R333" s="16" t="n">
        <v>0</v>
      </c>
      <c r="S333" s="16" t="n">
        <v>0</v>
      </c>
      <c r="T333" s="16">
        <f>IF(R333&gt;0,IFERROR(VALUE(LEFT($D333,1)),1),0)</f>
        <v/>
      </c>
      <c r="U333" s="16">
        <f>R333*T333</f>
        <v/>
      </c>
      <c r="V333" s="9">
        <f>Q333*U333</f>
        <v/>
      </c>
      <c r="W333" s="9" t="n">
        <v>0</v>
      </c>
      <c r="X333" s="16" t="n">
        <v>0</v>
      </c>
      <c r="Y333" s="16" t="n">
        <v>0</v>
      </c>
      <c r="Z333" s="16">
        <f>IF(X333&gt;0,IFERROR(VALUE(LEFT($D333,1)),1),0)</f>
        <v/>
      </c>
      <c r="AA333" s="16">
        <f>X333*Z333</f>
        <v/>
      </c>
      <c r="AB333" s="9">
        <f>W333*AA333</f>
        <v/>
      </c>
      <c r="AC333" s="9" t="n">
        <v>120</v>
      </c>
      <c r="AD333" s="16" t="n">
        <v>1</v>
      </c>
      <c r="AE333" s="16" t="n">
        <v>0</v>
      </c>
      <c r="AF333" s="16">
        <f>IF(AD333&gt;0,IFERROR(VALUE(LEFT($D333,1)),1),0)</f>
        <v/>
      </c>
      <c r="AG333" s="16">
        <f>AD333*AF333</f>
        <v/>
      </c>
      <c r="AH333" s="9">
        <f>AC333*AG333</f>
        <v/>
      </c>
      <c r="AI333" s="9" t="n">
        <v>0</v>
      </c>
      <c r="AJ333" s="16" t="n">
        <v>0</v>
      </c>
      <c r="AK333" s="16" t="n">
        <v>0</v>
      </c>
      <c r="AL333" s="16">
        <f>IF(AJ333&gt;0,IFERROR(VALUE(LEFT($D333,1)),1),0)</f>
        <v/>
      </c>
      <c r="AM333" s="16">
        <f>AJ333*AL333</f>
        <v/>
      </c>
      <c r="AN333" s="9">
        <f>AI333*AM333</f>
        <v/>
      </c>
    </row>
    <row r="334">
      <c r="A334" s="16" t="inlineStr">
        <is>
          <t>TK</t>
        </is>
      </c>
      <c r="B334" s="16" t="inlineStr">
        <is>
          <t>TK j.brzusznej i miednicy -badanie wielofazowe</t>
        </is>
      </c>
      <c r="C334" s="16" t="inlineStr">
        <is>
          <t>TK Zwykłe</t>
        </is>
      </c>
      <c r="D334" s="16" t="inlineStr">
        <is>
          <t>2 okolice anatomiczne</t>
        </is>
      </c>
      <c r="E334" s="9" t="n">
        <v>0</v>
      </c>
      <c r="F334" s="16" t="n">
        <v>0</v>
      </c>
      <c r="G334" s="16" t="n">
        <v>0</v>
      </c>
      <c r="H334" s="16">
        <f>IF(F334&gt;0,IFERROR(VALUE(LEFT($D334,1)),1),0)</f>
        <v/>
      </c>
      <c r="I334" s="16">
        <f>F334*H334</f>
        <v/>
      </c>
      <c r="J334" s="9">
        <f>E334*I334</f>
        <v/>
      </c>
      <c r="K334" s="9" t="n">
        <v>0</v>
      </c>
      <c r="L334" s="16" t="n">
        <v>0</v>
      </c>
      <c r="M334" s="16" t="n">
        <v>0</v>
      </c>
      <c r="N334" s="16">
        <f>IF(L334&gt;0,IFERROR(VALUE(LEFT($D334,1)),1),0)</f>
        <v/>
      </c>
      <c r="O334" s="16">
        <f>L334*N334</f>
        <v/>
      </c>
      <c r="P334" s="9">
        <f>K334*O334</f>
        <v/>
      </c>
      <c r="Q334" s="9" t="n">
        <v>0</v>
      </c>
      <c r="R334" s="16" t="n">
        <v>0</v>
      </c>
      <c r="S334" s="16" t="n">
        <v>0</v>
      </c>
      <c r="T334" s="16">
        <f>IF(R334&gt;0,IFERROR(VALUE(LEFT($D334,1)),1),0)</f>
        <v/>
      </c>
      <c r="U334" s="16">
        <f>R334*T334</f>
        <v/>
      </c>
      <c r="V334" s="9">
        <f>Q334*U334</f>
        <v/>
      </c>
      <c r="W334" s="9" t="n">
        <v>0</v>
      </c>
      <c r="X334" s="16" t="n">
        <v>0</v>
      </c>
      <c r="Y334" s="16" t="n">
        <v>0</v>
      </c>
      <c r="Z334" s="16">
        <f>IF(X334&gt;0,IFERROR(VALUE(LEFT($D334,1)),1),0)</f>
        <v/>
      </c>
      <c r="AA334" s="16">
        <f>X334*Z334</f>
        <v/>
      </c>
      <c r="AB334" s="9">
        <f>W334*AA334</f>
        <v/>
      </c>
      <c r="AC334" s="9" t="n">
        <v>120</v>
      </c>
      <c r="AD334" s="16" t="n">
        <v>1</v>
      </c>
      <c r="AE334" s="16" t="n">
        <v>2</v>
      </c>
      <c r="AF334" s="16">
        <f>IF(AD334&gt;0,IFERROR(VALUE(LEFT($D334,1)),1),0)</f>
        <v/>
      </c>
      <c r="AG334" s="16">
        <f>AD334*AF334</f>
        <v/>
      </c>
      <c r="AH334" s="9">
        <f>AC334*AG334</f>
        <v/>
      </c>
      <c r="AI334" s="9" t="n">
        <v>0</v>
      </c>
      <c r="AJ334" s="16" t="n">
        <v>0</v>
      </c>
      <c r="AK334" s="16" t="n">
        <v>0</v>
      </c>
      <c r="AL334" s="16">
        <f>IF(AJ334&gt;0,IFERROR(VALUE(LEFT($D334,1)),1),0)</f>
        <v/>
      </c>
      <c r="AM334" s="16">
        <f>AJ334*AL334</f>
        <v/>
      </c>
      <c r="AN334" s="9">
        <f>AI334*AM334</f>
        <v/>
      </c>
    </row>
    <row r="335">
      <c r="A335" s="16" t="inlineStr">
        <is>
          <t>TK</t>
        </is>
      </c>
      <c r="B335" s="16" t="inlineStr">
        <is>
          <t>TK klatki piersiowej bez kontrastu i z kontrastem</t>
        </is>
      </c>
      <c r="C335" s="16" t="inlineStr">
        <is>
          <t>TK Zwykłe</t>
        </is>
      </c>
      <c r="D335" s="16" t="inlineStr">
        <is>
          <t>1 okolica anatomiczna</t>
        </is>
      </c>
      <c r="E335" s="9" t="n">
        <v>0</v>
      </c>
      <c r="F335" s="16" t="n">
        <v>0</v>
      </c>
      <c r="G335" s="16" t="n">
        <v>0</v>
      </c>
      <c r="H335" s="16">
        <f>IF(F335&gt;0,IFERROR(VALUE(LEFT($D335,1)),1),0)</f>
        <v/>
      </c>
      <c r="I335" s="16">
        <f>F335*H335</f>
        <v/>
      </c>
      <c r="J335" s="9">
        <f>E335*I335</f>
        <v/>
      </c>
      <c r="K335" s="9" t="n">
        <v>0</v>
      </c>
      <c r="L335" s="16" t="n">
        <v>0</v>
      </c>
      <c r="M335" s="16" t="n">
        <v>0</v>
      </c>
      <c r="N335" s="16">
        <f>IF(L335&gt;0,IFERROR(VALUE(LEFT($D335,1)),1),0)</f>
        <v/>
      </c>
      <c r="O335" s="16">
        <f>L335*N335</f>
        <v/>
      </c>
      <c r="P335" s="9">
        <f>K335*O335</f>
        <v/>
      </c>
      <c r="Q335" s="9" t="n">
        <v>0</v>
      </c>
      <c r="R335" s="16" t="n">
        <v>0</v>
      </c>
      <c r="S335" s="16" t="n">
        <v>0</v>
      </c>
      <c r="T335" s="16">
        <f>IF(R335&gt;0,IFERROR(VALUE(LEFT($D335,1)),1),0)</f>
        <v/>
      </c>
      <c r="U335" s="16">
        <f>R335*T335</f>
        <v/>
      </c>
      <c r="V335" s="9">
        <f>Q335*U335</f>
        <v/>
      </c>
      <c r="W335" s="9" t="n">
        <v>0</v>
      </c>
      <c r="X335" s="16" t="n">
        <v>0</v>
      </c>
      <c r="Y335" s="16" t="n">
        <v>0</v>
      </c>
      <c r="Z335" s="16">
        <f>IF(X335&gt;0,IFERROR(VALUE(LEFT($D335,1)),1),0)</f>
        <v/>
      </c>
      <c r="AA335" s="16">
        <f>X335*Z335</f>
        <v/>
      </c>
      <c r="AB335" s="9">
        <f>W335*AA335</f>
        <v/>
      </c>
      <c r="AC335" s="9" t="n">
        <v>120</v>
      </c>
      <c r="AD335" s="16" t="n">
        <v>1</v>
      </c>
      <c r="AE335" s="16" t="n">
        <v>0</v>
      </c>
      <c r="AF335" s="16">
        <f>IF(AD335&gt;0,IFERROR(VALUE(LEFT($D335,1)),1),0)</f>
        <v/>
      </c>
      <c r="AG335" s="16">
        <f>AD335*AF335</f>
        <v/>
      </c>
      <c r="AH335" s="9">
        <f>AC335*AG335</f>
        <v/>
      </c>
      <c r="AI335" s="9" t="n">
        <v>0</v>
      </c>
      <c r="AJ335" s="16" t="n">
        <v>0</v>
      </c>
      <c r="AK335" s="16" t="n">
        <v>0</v>
      </c>
      <c r="AL335" s="16">
        <f>IF(AJ335&gt;0,IFERROR(VALUE(LEFT($D335,1)),1),0)</f>
        <v/>
      </c>
      <c r="AM335" s="16">
        <f>AJ335*AL335</f>
        <v/>
      </c>
      <c r="AN335" s="9">
        <f>AI335*AM335</f>
        <v/>
      </c>
    </row>
    <row r="336">
      <c r="A336" s="16" t="inlineStr">
        <is>
          <t>TK</t>
        </is>
      </c>
      <c r="B336" s="16" t="inlineStr">
        <is>
          <t>TK klatki piersiowej i j.brzusznej z kontrastem</t>
        </is>
      </c>
      <c r="C336" s="16" t="inlineStr">
        <is>
          <t>TK Zwykłe</t>
        </is>
      </c>
      <c r="D336" s="16" t="inlineStr">
        <is>
          <t>3 okolice anatomiczne</t>
        </is>
      </c>
      <c r="E336" s="9" t="n">
        <v>0</v>
      </c>
      <c r="F336" s="16" t="n">
        <v>0</v>
      </c>
      <c r="G336" s="16" t="n">
        <v>0</v>
      </c>
      <c r="H336" s="16">
        <f>IF(F336&gt;0,IFERROR(VALUE(LEFT($D336,1)),1),0)</f>
        <v/>
      </c>
      <c r="I336" s="16">
        <f>F336*H336</f>
        <v/>
      </c>
      <c r="J336" s="9">
        <f>E336*I336</f>
        <v/>
      </c>
      <c r="K336" s="9" t="n">
        <v>0</v>
      </c>
      <c r="L336" s="16" t="n">
        <v>0</v>
      </c>
      <c r="M336" s="16" t="n">
        <v>0</v>
      </c>
      <c r="N336" s="16">
        <f>IF(L336&gt;0,IFERROR(VALUE(LEFT($D336,1)),1),0)</f>
        <v/>
      </c>
      <c r="O336" s="16">
        <f>L336*N336</f>
        <v/>
      </c>
      <c r="P336" s="9">
        <f>K336*O336</f>
        <v/>
      </c>
      <c r="Q336" s="9" t="n">
        <v>0</v>
      </c>
      <c r="R336" s="16" t="n">
        <v>0</v>
      </c>
      <c r="S336" s="16" t="n">
        <v>0</v>
      </c>
      <c r="T336" s="16">
        <f>IF(R336&gt;0,IFERROR(VALUE(LEFT($D336,1)),1),0)</f>
        <v/>
      </c>
      <c r="U336" s="16">
        <f>R336*T336</f>
        <v/>
      </c>
      <c r="V336" s="9">
        <f>Q336*U336</f>
        <v/>
      </c>
      <c r="W336" s="9" t="n">
        <v>0</v>
      </c>
      <c r="X336" s="16" t="n">
        <v>0</v>
      </c>
      <c r="Y336" s="16" t="n">
        <v>0</v>
      </c>
      <c r="Z336" s="16">
        <f>IF(X336&gt;0,IFERROR(VALUE(LEFT($D336,1)),1),0)</f>
        <v/>
      </c>
      <c r="AA336" s="16">
        <f>X336*Z336</f>
        <v/>
      </c>
      <c r="AB336" s="9">
        <f>W336*AA336</f>
        <v/>
      </c>
      <c r="AC336" s="9" t="n">
        <v>120</v>
      </c>
      <c r="AD336" s="16" t="n">
        <v>1</v>
      </c>
      <c r="AE336" s="16" t="n">
        <v>3</v>
      </c>
      <c r="AF336" s="16">
        <f>IF(AD336&gt;0,IFERROR(VALUE(LEFT($D336,1)),1),0)</f>
        <v/>
      </c>
      <c r="AG336" s="16">
        <f>AD336*AF336</f>
        <v/>
      </c>
      <c r="AH336" s="9">
        <f>AC336*AG336</f>
        <v/>
      </c>
      <c r="AI336" s="9" t="n">
        <v>0</v>
      </c>
      <c r="AJ336" s="16" t="n">
        <v>0</v>
      </c>
      <c r="AK336" s="16" t="n">
        <v>0</v>
      </c>
      <c r="AL336" s="16">
        <f>IF(AJ336&gt;0,IFERROR(VALUE(LEFT($D336,1)),1),0)</f>
        <v/>
      </c>
      <c r="AM336" s="16">
        <f>AJ336*AL336</f>
        <v/>
      </c>
      <c r="AN336" s="9">
        <f>AI336*AM336</f>
        <v/>
      </c>
    </row>
    <row r="337">
      <c r="A337" s="16" t="inlineStr">
        <is>
          <t>TK</t>
        </is>
      </c>
      <c r="B337" s="16" t="inlineStr">
        <is>
          <t>TK szyi bez kontrastu</t>
        </is>
      </c>
      <c r="C337" s="16" t="inlineStr">
        <is>
          <t>TK Zwykłe</t>
        </is>
      </c>
      <c r="D337" s="16" t="inlineStr">
        <is>
          <t>1 okolica anatomiczna</t>
        </is>
      </c>
      <c r="E337" s="9" t="n">
        <v>0</v>
      </c>
      <c r="F337" s="16" t="n">
        <v>0</v>
      </c>
      <c r="G337" s="16" t="n">
        <v>0</v>
      </c>
      <c r="H337" s="16">
        <f>IF(F337&gt;0,IFERROR(VALUE(LEFT($D337,1)),1),0)</f>
        <v/>
      </c>
      <c r="I337" s="16">
        <f>F337*H337</f>
        <v/>
      </c>
      <c r="J337" s="9">
        <f>E337*I337</f>
        <v/>
      </c>
      <c r="K337" s="9" t="n">
        <v>0</v>
      </c>
      <c r="L337" s="16" t="n">
        <v>0</v>
      </c>
      <c r="M337" s="16" t="n">
        <v>0</v>
      </c>
      <c r="N337" s="16">
        <f>IF(L337&gt;0,IFERROR(VALUE(LEFT($D337,1)),1),0)</f>
        <v/>
      </c>
      <c r="O337" s="16">
        <f>L337*N337</f>
        <v/>
      </c>
      <c r="P337" s="9">
        <f>K337*O337</f>
        <v/>
      </c>
      <c r="Q337" s="9" t="n">
        <v>0</v>
      </c>
      <c r="R337" s="16" t="n">
        <v>0</v>
      </c>
      <c r="S337" s="16" t="n">
        <v>0</v>
      </c>
      <c r="T337" s="16">
        <f>IF(R337&gt;0,IFERROR(VALUE(LEFT($D337,1)),1),0)</f>
        <v/>
      </c>
      <c r="U337" s="16">
        <f>R337*T337</f>
        <v/>
      </c>
      <c r="V337" s="9">
        <f>Q337*U337</f>
        <v/>
      </c>
      <c r="W337" s="9" t="n">
        <v>0</v>
      </c>
      <c r="X337" s="16" t="n">
        <v>0</v>
      </c>
      <c r="Y337" s="16" t="n">
        <v>0</v>
      </c>
      <c r="Z337" s="16">
        <f>IF(X337&gt;0,IFERROR(VALUE(LEFT($D337,1)),1),0)</f>
        <v/>
      </c>
      <c r="AA337" s="16">
        <f>X337*Z337</f>
        <v/>
      </c>
      <c r="AB337" s="9">
        <f>W337*AA337</f>
        <v/>
      </c>
      <c r="AC337" s="9" t="n">
        <v>120</v>
      </c>
      <c r="AD337" s="16" t="n">
        <v>1</v>
      </c>
      <c r="AE337" s="16" t="n">
        <v>0</v>
      </c>
      <c r="AF337" s="16">
        <f>IF(AD337&gt;0,IFERROR(VALUE(LEFT($D337,1)),1),0)</f>
        <v/>
      </c>
      <c r="AG337" s="16">
        <f>AD337*AF337</f>
        <v/>
      </c>
      <c r="AH337" s="9">
        <f>AC337*AG337</f>
        <v/>
      </c>
      <c r="AI337" s="9" t="n">
        <v>0</v>
      </c>
      <c r="AJ337" s="16" t="n">
        <v>0</v>
      </c>
      <c r="AK337" s="16" t="n">
        <v>0</v>
      </c>
      <c r="AL337" s="16">
        <f>IF(AJ337&gt;0,IFERROR(VALUE(LEFT($D337,1)),1),0)</f>
        <v/>
      </c>
      <c r="AM337" s="16">
        <f>AJ337*AL337</f>
        <v/>
      </c>
      <c r="AN337" s="9">
        <f>AI337*AM337</f>
        <v/>
      </c>
    </row>
    <row r="338">
      <c r="A338" s="16" t="inlineStr">
        <is>
          <t>TK</t>
        </is>
      </c>
      <c r="B338" s="16" t="inlineStr">
        <is>
          <t>TK urografia - z kontrastem</t>
        </is>
      </c>
      <c r="C338" s="16" t="inlineStr">
        <is>
          <t>TK Zwykłe</t>
        </is>
      </c>
      <c r="D338" s="16" t="inlineStr">
        <is>
          <t>2 okolice anatomiczne</t>
        </is>
      </c>
      <c r="E338" s="9" t="n">
        <v>0</v>
      </c>
      <c r="F338" s="16" t="n">
        <v>0</v>
      </c>
      <c r="G338" s="16" t="n">
        <v>0</v>
      </c>
      <c r="H338" s="16">
        <f>IF(F338&gt;0,IFERROR(VALUE(LEFT($D338,1)),1),0)</f>
        <v/>
      </c>
      <c r="I338" s="16">
        <f>F338*H338</f>
        <v/>
      </c>
      <c r="J338" s="9">
        <f>E338*I338</f>
        <v/>
      </c>
      <c r="K338" s="9" t="n">
        <v>0</v>
      </c>
      <c r="L338" s="16" t="n">
        <v>0</v>
      </c>
      <c r="M338" s="16" t="n">
        <v>0</v>
      </c>
      <c r="N338" s="16">
        <f>IF(L338&gt;0,IFERROR(VALUE(LEFT($D338,1)),1),0)</f>
        <v/>
      </c>
      <c r="O338" s="16">
        <f>L338*N338</f>
        <v/>
      </c>
      <c r="P338" s="9">
        <f>K338*O338</f>
        <v/>
      </c>
      <c r="Q338" s="9" t="n">
        <v>0</v>
      </c>
      <c r="R338" s="16" t="n">
        <v>0</v>
      </c>
      <c r="S338" s="16" t="n">
        <v>0</v>
      </c>
      <c r="T338" s="16">
        <f>IF(R338&gt;0,IFERROR(VALUE(LEFT($D338,1)),1),0)</f>
        <v/>
      </c>
      <c r="U338" s="16">
        <f>R338*T338</f>
        <v/>
      </c>
      <c r="V338" s="9">
        <f>Q338*U338</f>
        <v/>
      </c>
      <c r="W338" s="9" t="n">
        <v>0</v>
      </c>
      <c r="X338" s="16" t="n">
        <v>0</v>
      </c>
      <c r="Y338" s="16" t="n">
        <v>0</v>
      </c>
      <c r="Z338" s="16">
        <f>IF(X338&gt;0,IFERROR(VALUE(LEFT($D338,1)),1),0)</f>
        <v/>
      </c>
      <c r="AA338" s="16">
        <f>X338*Z338</f>
        <v/>
      </c>
      <c r="AB338" s="9">
        <f>W338*AA338</f>
        <v/>
      </c>
      <c r="AC338" s="9" t="n">
        <v>120</v>
      </c>
      <c r="AD338" s="16" t="n">
        <v>1</v>
      </c>
      <c r="AE338" s="16" t="n">
        <v>0</v>
      </c>
      <c r="AF338" s="16">
        <f>IF(AD338&gt;0,IFERROR(VALUE(LEFT($D338,1)),1),0)</f>
        <v/>
      </c>
      <c r="AG338" s="16">
        <f>AD338*AF338</f>
        <v/>
      </c>
      <c r="AH338" s="9">
        <f>AC338*AG338</f>
        <v/>
      </c>
      <c r="AI338" s="9" t="n">
        <v>0</v>
      </c>
      <c r="AJ338" s="16" t="n">
        <v>0</v>
      </c>
      <c r="AK338" s="16" t="n">
        <v>0</v>
      </c>
      <c r="AL338" s="16">
        <f>IF(AJ338&gt;0,IFERROR(VALUE(LEFT($D338,1)),1),0)</f>
        <v/>
      </c>
      <c r="AM338" s="16">
        <f>AJ338*AL338</f>
        <v/>
      </c>
      <c r="AN338" s="9">
        <f>AI338*AM338</f>
        <v/>
      </c>
    </row>
    <row r="339">
      <c r="A339" s="16" t="inlineStr">
        <is>
          <t>TK</t>
        </is>
      </c>
      <c r="B339" s="16" t="inlineStr">
        <is>
          <t>TK uszu</t>
        </is>
      </c>
      <c r="C339" s="16" t="inlineStr">
        <is>
          <t>TK Zwykłe</t>
        </is>
      </c>
      <c r="D339" s="16" t="inlineStr">
        <is>
          <t>1 okolica anatomiczna</t>
        </is>
      </c>
      <c r="E339" s="9" t="n">
        <v>0</v>
      </c>
      <c r="F339" s="16" t="n">
        <v>0</v>
      </c>
      <c r="G339" s="16" t="n">
        <v>0</v>
      </c>
      <c r="H339" s="16">
        <f>IF(F339&gt;0,IFERROR(VALUE(LEFT($D339,1)),1),0)</f>
        <v/>
      </c>
      <c r="I339" s="16">
        <f>F339*H339</f>
        <v/>
      </c>
      <c r="J339" s="9">
        <f>E339*I339</f>
        <v/>
      </c>
      <c r="K339" s="9" t="n">
        <v>0</v>
      </c>
      <c r="L339" s="16" t="n">
        <v>0</v>
      </c>
      <c r="M339" s="16" t="n">
        <v>0</v>
      </c>
      <c r="N339" s="16">
        <f>IF(L339&gt;0,IFERROR(VALUE(LEFT($D339,1)),1),0)</f>
        <v/>
      </c>
      <c r="O339" s="16">
        <f>L339*N339</f>
        <v/>
      </c>
      <c r="P339" s="9">
        <f>K339*O339</f>
        <v/>
      </c>
      <c r="Q339" s="9" t="n">
        <v>0</v>
      </c>
      <c r="R339" s="16" t="n">
        <v>0</v>
      </c>
      <c r="S339" s="16" t="n">
        <v>0</v>
      </c>
      <c r="T339" s="16">
        <f>IF(R339&gt;0,IFERROR(VALUE(LEFT($D339,1)),1),0)</f>
        <v/>
      </c>
      <c r="U339" s="16">
        <f>R339*T339</f>
        <v/>
      </c>
      <c r="V339" s="9">
        <f>Q339*U339</f>
        <v/>
      </c>
      <c r="W339" s="9" t="n">
        <v>0</v>
      </c>
      <c r="X339" s="16" t="n">
        <v>0</v>
      </c>
      <c r="Y339" s="16" t="n">
        <v>0</v>
      </c>
      <c r="Z339" s="16">
        <f>IF(X339&gt;0,IFERROR(VALUE(LEFT($D339,1)),1),0)</f>
        <v/>
      </c>
      <c r="AA339" s="16">
        <f>X339*Z339</f>
        <v/>
      </c>
      <c r="AB339" s="9">
        <f>W339*AA339</f>
        <v/>
      </c>
      <c r="AC339" s="9" t="n">
        <v>120</v>
      </c>
      <c r="AD339" s="16" t="n">
        <v>1</v>
      </c>
      <c r="AE339" s="16" t="n">
        <v>0</v>
      </c>
      <c r="AF339" s="16">
        <f>IF(AD339&gt;0,IFERROR(VALUE(LEFT($D339,1)),1),0)</f>
        <v/>
      </c>
      <c r="AG339" s="16">
        <f>AD339*AF339</f>
        <v/>
      </c>
      <c r="AH339" s="9">
        <f>AC339*AG339</f>
        <v/>
      </c>
      <c r="AI339" s="9" t="n">
        <v>0</v>
      </c>
      <c r="AJ339" s="16" t="n">
        <v>0</v>
      </c>
      <c r="AK339" s="16" t="n">
        <v>0</v>
      </c>
      <c r="AL339" s="16">
        <f>IF(AJ339&gt;0,IFERROR(VALUE(LEFT($D339,1)),1),0)</f>
        <v/>
      </c>
      <c r="AM339" s="16">
        <f>AJ339*AL339</f>
        <v/>
      </c>
      <c r="AN339" s="9">
        <f>AI339*AM339</f>
        <v/>
      </c>
    </row>
    <row r="340">
      <c r="A340" s="16" t="inlineStr">
        <is>
          <t>TK</t>
        </is>
      </c>
      <c r="B340" s="16" t="inlineStr">
        <is>
          <t>TK, klatka piersiowa, bez i z wzmocnieniem kontrastowym (4.125)</t>
        </is>
      </c>
      <c r="C340" s="16" t="inlineStr">
        <is>
          <t>TK Zwykłe</t>
        </is>
      </c>
      <c r="D340" s="16" t="inlineStr">
        <is>
          <t>1 okolica anatomiczna</t>
        </is>
      </c>
      <c r="E340" s="9" t="n">
        <v>0</v>
      </c>
      <c r="F340" s="16" t="n">
        <v>0</v>
      </c>
      <c r="G340" s="16" t="n">
        <v>0</v>
      </c>
      <c r="H340" s="16">
        <f>IF(F340&gt;0,IFERROR(VALUE(LEFT($D340,1)),1),0)</f>
        <v/>
      </c>
      <c r="I340" s="16">
        <f>F340*H340</f>
        <v/>
      </c>
      <c r="J340" s="9">
        <f>E340*I340</f>
        <v/>
      </c>
      <c r="K340" s="9" t="n">
        <v>0</v>
      </c>
      <c r="L340" s="16" t="n">
        <v>0</v>
      </c>
      <c r="M340" s="16" t="n">
        <v>0</v>
      </c>
      <c r="N340" s="16">
        <f>IF(L340&gt;0,IFERROR(VALUE(LEFT($D340,1)),1),0)</f>
        <v/>
      </c>
      <c r="O340" s="16">
        <f>L340*N340</f>
        <v/>
      </c>
      <c r="P340" s="9">
        <f>K340*O340</f>
        <v/>
      </c>
      <c r="Q340" s="9" t="n">
        <v>0</v>
      </c>
      <c r="R340" s="16" t="n">
        <v>0</v>
      </c>
      <c r="S340" s="16" t="n">
        <v>0</v>
      </c>
      <c r="T340" s="16">
        <f>IF(R340&gt;0,IFERROR(VALUE(LEFT($D340,1)),1),0)</f>
        <v/>
      </c>
      <c r="U340" s="16">
        <f>R340*T340</f>
        <v/>
      </c>
      <c r="V340" s="9">
        <f>Q340*U340</f>
        <v/>
      </c>
      <c r="W340" s="9" t="n">
        <v>0</v>
      </c>
      <c r="X340" s="16" t="n">
        <v>0</v>
      </c>
      <c r="Y340" s="16" t="n">
        <v>0</v>
      </c>
      <c r="Z340" s="16">
        <f>IF(X340&gt;0,IFERROR(VALUE(LEFT($D340,1)),1),0)</f>
        <v/>
      </c>
      <c r="AA340" s="16">
        <f>X340*Z340</f>
        <v/>
      </c>
      <c r="AB340" s="9">
        <f>W340*AA340</f>
        <v/>
      </c>
      <c r="AC340" s="9" t="n">
        <v>120</v>
      </c>
      <c r="AD340" s="16" t="n">
        <v>1</v>
      </c>
      <c r="AE340" s="16" t="n">
        <v>0</v>
      </c>
      <c r="AF340" s="16">
        <f>IF(AD340&gt;0,IFERROR(VALUE(LEFT($D340,1)),1),0)</f>
        <v/>
      </c>
      <c r="AG340" s="16">
        <f>AD340*AF340</f>
        <v/>
      </c>
      <c r="AH340" s="9">
        <f>AC340*AG340</f>
        <v/>
      </c>
      <c r="AI340" s="9" t="n">
        <v>0</v>
      </c>
      <c r="AJ340" s="16" t="n">
        <v>0</v>
      </c>
      <c r="AK340" s="16" t="n">
        <v>0</v>
      </c>
      <c r="AL340" s="16">
        <f>IF(AJ340&gt;0,IFERROR(VALUE(LEFT($D340,1)),1),0)</f>
        <v/>
      </c>
      <c r="AM340" s="16">
        <f>AJ340*AL340</f>
        <v/>
      </c>
      <c r="AN340" s="9">
        <f>AI340*AM340</f>
        <v/>
      </c>
    </row>
    <row r="341">
      <c r="A341" s="16" t="inlineStr">
        <is>
          <t>TK</t>
        </is>
      </c>
      <c r="B341" s="16" t="inlineStr">
        <is>
          <t>TK, klatka piersiowa, bez i z wzmocnieniem kontrastowym (4.125)</t>
        </is>
      </c>
      <c r="C341" s="16" t="inlineStr">
        <is>
          <t>TK Zwykłe</t>
        </is>
      </c>
      <c r="D341" s="16" t="inlineStr">
        <is>
          <t>2 okolice anatomiczne</t>
        </is>
      </c>
      <c r="E341" s="9" t="n">
        <v>0</v>
      </c>
      <c r="F341" s="16" t="n">
        <v>0</v>
      </c>
      <c r="G341" s="16" t="n">
        <v>0</v>
      </c>
      <c r="H341" s="16">
        <f>IF(F341&gt;0,IFERROR(VALUE(LEFT($D341,1)),1),0)</f>
        <v/>
      </c>
      <c r="I341" s="16">
        <f>F341*H341</f>
        <v/>
      </c>
      <c r="J341" s="9">
        <f>E341*I341</f>
        <v/>
      </c>
      <c r="K341" s="9" t="n">
        <v>0</v>
      </c>
      <c r="L341" s="16" t="n">
        <v>0</v>
      </c>
      <c r="M341" s="16" t="n">
        <v>0</v>
      </c>
      <c r="N341" s="16">
        <f>IF(L341&gt;0,IFERROR(VALUE(LEFT($D341,1)),1),0)</f>
        <v/>
      </c>
      <c r="O341" s="16">
        <f>L341*N341</f>
        <v/>
      </c>
      <c r="P341" s="9">
        <f>K341*O341</f>
        <v/>
      </c>
      <c r="Q341" s="9" t="n">
        <v>0</v>
      </c>
      <c r="R341" s="16" t="n">
        <v>0</v>
      </c>
      <c r="S341" s="16" t="n">
        <v>0</v>
      </c>
      <c r="T341" s="16">
        <f>IF(R341&gt;0,IFERROR(VALUE(LEFT($D341,1)),1),0)</f>
        <v/>
      </c>
      <c r="U341" s="16">
        <f>R341*T341</f>
        <v/>
      </c>
      <c r="V341" s="9">
        <f>Q341*U341</f>
        <v/>
      </c>
      <c r="W341" s="9" t="n">
        <v>0</v>
      </c>
      <c r="X341" s="16" t="n">
        <v>0</v>
      </c>
      <c r="Y341" s="16" t="n">
        <v>0</v>
      </c>
      <c r="Z341" s="16">
        <f>IF(X341&gt;0,IFERROR(VALUE(LEFT($D341,1)),1),0)</f>
        <v/>
      </c>
      <c r="AA341" s="16">
        <f>X341*Z341</f>
        <v/>
      </c>
      <c r="AB341" s="9">
        <f>W341*AA341</f>
        <v/>
      </c>
      <c r="AC341" s="9" t="n">
        <v>120</v>
      </c>
      <c r="AD341" s="16" t="n">
        <v>1</v>
      </c>
      <c r="AE341" s="16" t="n">
        <v>0</v>
      </c>
      <c r="AF341" s="16">
        <f>IF(AD341&gt;0,IFERROR(VALUE(LEFT($D341,1)),1),0)</f>
        <v/>
      </c>
      <c r="AG341" s="16">
        <f>AD341*AF341</f>
        <v/>
      </c>
      <c r="AH341" s="9">
        <f>AC341*AG341</f>
        <v/>
      </c>
      <c r="AI341" s="9" t="n">
        <v>0</v>
      </c>
      <c r="AJ341" s="16" t="n">
        <v>0</v>
      </c>
      <c r="AK341" s="16" t="n">
        <v>0</v>
      </c>
      <c r="AL341" s="16">
        <f>IF(AJ341&gt;0,IFERROR(VALUE(LEFT($D341,1)),1),0)</f>
        <v/>
      </c>
      <c r="AM341" s="16">
        <f>AJ341*AL341</f>
        <v/>
      </c>
      <c r="AN341" s="9">
        <f>AI341*AM341</f>
        <v/>
      </c>
    </row>
    <row r="342">
      <c r="A342" s="16" t="inlineStr">
        <is>
          <t>TK</t>
        </is>
      </c>
      <c r="B342" s="16" t="inlineStr">
        <is>
          <t>TK, klatka piersiowa, bez i z wzmocnieniem kontrastowym (4.125)</t>
        </is>
      </c>
      <c r="C342" s="16" t="inlineStr">
        <is>
          <t>TK Zwykłe</t>
        </is>
      </c>
      <c r="D342" s="16" t="inlineStr">
        <is>
          <t>3 okolice anatomiczne</t>
        </is>
      </c>
      <c r="E342" s="9" t="n">
        <v>0</v>
      </c>
      <c r="F342" s="16" t="n">
        <v>0</v>
      </c>
      <c r="G342" s="16" t="n">
        <v>0</v>
      </c>
      <c r="H342" s="16">
        <f>IF(F342&gt;0,IFERROR(VALUE(LEFT($D342,1)),1),0)</f>
        <v/>
      </c>
      <c r="I342" s="16">
        <f>F342*H342</f>
        <v/>
      </c>
      <c r="J342" s="9">
        <f>E342*I342</f>
        <v/>
      </c>
      <c r="K342" s="9" t="n">
        <v>0</v>
      </c>
      <c r="L342" s="16" t="n">
        <v>0</v>
      </c>
      <c r="M342" s="16" t="n">
        <v>0</v>
      </c>
      <c r="N342" s="16">
        <f>IF(L342&gt;0,IFERROR(VALUE(LEFT($D342,1)),1),0)</f>
        <v/>
      </c>
      <c r="O342" s="16">
        <f>L342*N342</f>
        <v/>
      </c>
      <c r="P342" s="9">
        <f>K342*O342</f>
        <v/>
      </c>
      <c r="Q342" s="9" t="n">
        <v>0</v>
      </c>
      <c r="R342" s="16" t="n">
        <v>0</v>
      </c>
      <c r="S342" s="16" t="n">
        <v>0</v>
      </c>
      <c r="T342" s="16">
        <f>IF(R342&gt;0,IFERROR(VALUE(LEFT($D342,1)),1),0)</f>
        <v/>
      </c>
      <c r="U342" s="16">
        <f>R342*T342</f>
        <v/>
      </c>
      <c r="V342" s="9">
        <f>Q342*U342</f>
        <v/>
      </c>
      <c r="W342" s="9" t="n">
        <v>0</v>
      </c>
      <c r="X342" s="16" t="n">
        <v>0</v>
      </c>
      <c r="Y342" s="16" t="n">
        <v>0</v>
      </c>
      <c r="Z342" s="16">
        <f>IF(X342&gt;0,IFERROR(VALUE(LEFT($D342,1)),1),0)</f>
        <v/>
      </c>
      <c r="AA342" s="16">
        <f>X342*Z342</f>
        <v/>
      </c>
      <c r="AB342" s="9">
        <f>W342*AA342</f>
        <v/>
      </c>
      <c r="AC342" s="9" t="n">
        <v>120</v>
      </c>
      <c r="AD342" s="16" t="n">
        <v>1</v>
      </c>
      <c r="AE342" s="16" t="n">
        <v>0</v>
      </c>
      <c r="AF342" s="16">
        <f>IF(AD342&gt;0,IFERROR(VALUE(LEFT($D342,1)),1),0)</f>
        <v/>
      </c>
      <c r="AG342" s="16">
        <f>AD342*AF342</f>
        <v/>
      </c>
      <c r="AH342" s="9">
        <f>AC342*AG342</f>
        <v/>
      </c>
      <c r="AI342" s="9" t="n">
        <v>0</v>
      </c>
      <c r="AJ342" s="16" t="n">
        <v>0</v>
      </c>
      <c r="AK342" s="16" t="n">
        <v>0</v>
      </c>
      <c r="AL342" s="16">
        <f>IF(AJ342&gt;0,IFERROR(VALUE(LEFT($D342,1)),1),0)</f>
        <v/>
      </c>
      <c r="AM342" s="16">
        <f>AJ342*AL342</f>
        <v/>
      </c>
      <c r="AN342" s="9">
        <f>AI342*AM342</f>
        <v/>
      </c>
    </row>
    <row r="343">
      <c r="A343" s="16" t="inlineStr">
        <is>
          <t>TK</t>
        </is>
      </c>
      <c r="B343" s="16" t="inlineStr">
        <is>
          <t>TK, odcinek lędźwiowy kręgosłupa bez wzmocnienia kontrastowego</t>
        </is>
      </c>
      <c r="C343" s="16" t="inlineStr">
        <is>
          <t>TK Zwykłe</t>
        </is>
      </c>
      <c r="D343" s="16" t="inlineStr">
        <is>
          <t>1 okolica anatomiczna</t>
        </is>
      </c>
      <c r="E343" s="9" t="n">
        <v>0</v>
      </c>
      <c r="F343" s="16" t="n">
        <v>0</v>
      </c>
      <c r="G343" s="16" t="n">
        <v>0</v>
      </c>
      <c r="H343" s="16">
        <f>IF(F343&gt;0,IFERROR(VALUE(LEFT($D343,1)),1),0)</f>
        <v/>
      </c>
      <c r="I343" s="16">
        <f>F343*H343</f>
        <v/>
      </c>
      <c r="J343" s="9">
        <f>E343*I343</f>
        <v/>
      </c>
      <c r="K343" s="9" t="n">
        <v>0</v>
      </c>
      <c r="L343" s="16" t="n">
        <v>0</v>
      </c>
      <c r="M343" s="16" t="n">
        <v>0</v>
      </c>
      <c r="N343" s="16">
        <f>IF(L343&gt;0,IFERROR(VALUE(LEFT($D343,1)),1),0)</f>
        <v/>
      </c>
      <c r="O343" s="16">
        <f>L343*N343</f>
        <v/>
      </c>
      <c r="P343" s="9">
        <f>K343*O343</f>
        <v/>
      </c>
      <c r="Q343" s="9" t="n">
        <v>0</v>
      </c>
      <c r="R343" s="16" t="n">
        <v>0</v>
      </c>
      <c r="S343" s="16" t="n">
        <v>0</v>
      </c>
      <c r="T343" s="16">
        <f>IF(R343&gt;0,IFERROR(VALUE(LEFT($D343,1)),1),0)</f>
        <v/>
      </c>
      <c r="U343" s="16">
        <f>R343*T343</f>
        <v/>
      </c>
      <c r="V343" s="9">
        <f>Q343*U343</f>
        <v/>
      </c>
      <c r="W343" s="9" t="n">
        <v>0</v>
      </c>
      <c r="X343" s="16" t="n">
        <v>0</v>
      </c>
      <c r="Y343" s="16" t="n">
        <v>0</v>
      </c>
      <c r="Z343" s="16">
        <f>IF(X343&gt;0,IFERROR(VALUE(LEFT($D343,1)),1),0)</f>
        <v/>
      </c>
      <c r="AA343" s="16">
        <f>X343*Z343</f>
        <v/>
      </c>
      <c r="AB343" s="9">
        <f>W343*AA343</f>
        <v/>
      </c>
      <c r="AC343" s="9" t="n">
        <v>120</v>
      </c>
      <c r="AD343" s="16" t="n">
        <v>1</v>
      </c>
      <c r="AE343" s="16" t="n">
        <v>1</v>
      </c>
      <c r="AF343" s="16">
        <f>IF(AD343&gt;0,IFERROR(VALUE(LEFT($D343,1)),1),0)</f>
        <v/>
      </c>
      <c r="AG343" s="16">
        <f>AD343*AF343</f>
        <v/>
      </c>
      <c r="AH343" s="9">
        <f>AC343*AG343</f>
        <v/>
      </c>
      <c r="AI343" s="9" t="n">
        <v>0</v>
      </c>
      <c r="AJ343" s="16" t="n">
        <v>0</v>
      </c>
      <c r="AK343" s="16" t="n">
        <v>0</v>
      </c>
      <c r="AL343" s="16">
        <f>IF(AJ343&gt;0,IFERROR(VALUE(LEFT($D343,1)),1),0)</f>
        <v/>
      </c>
      <c r="AM343" s="16">
        <f>AJ343*AL343</f>
        <v/>
      </c>
      <c r="AN343" s="9">
        <f>AI343*AM343</f>
        <v/>
      </c>
    </row>
    <row r="344">
      <c r="A344" s="16" t="inlineStr">
        <is>
          <t>TK</t>
        </is>
      </c>
      <c r="B344" s="16" t="inlineStr">
        <is>
          <t>TK, odcinek lędźwiowy kręgosłupa bez wzmocnienia kontrastowego</t>
        </is>
      </c>
      <c r="C344" s="16" t="inlineStr">
        <is>
          <t>TK Zwykłe</t>
        </is>
      </c>
      <c r="D344" s="16" t="inlineStr">
        <is>
          <t>2 okolice anatomiczne</t>
        </is>
      </c>
      <c r="E344" s="9" t="n">
        <v>0</v>
      </c>
      <c r="F344" s="16" t="n">
        <v>0</v>
      </c>
      <c r="G344" s="16" t="n">
        <v>0</v>
      </c>
      <c r="H344" s="16">
        <f>IF(F344&gt;0,IFERROR(VALUE(LEFT($D344,1)),1),0)</f>
        <v/>
      </c>
      <c r="I344" s="16">
        <f>F344*H344</f>
        <v/>
      </c>
      <c r="J344" s="9">
        <f>E344*I344</f>
        <v/>
      </c>
      <c r="K344" s="9" t="n">
        <v>0</v>
      </c>
      <c r="L344" s="16" t="n">
        <v>0</v>
      </c>
      <c r="M344" s="16" t="n">
        <v>0</v>
      </c>
      <c r="N344" s="16">
        <f>IF(L344&gt;0,IFERROR(VALUE(LEFT($D344,1)),1),0)</f>
        <v/>
      </c>
      <c r="O344" s="16">
        <f>L344*N344</f>
        <v/>
      </c>
      <c r="P344" s="9">
        <f>K344*O344</f>
        <v/>
      </c>
      <c r="Q344" s="9" t="n">
        <v>0</v>
      </c>
      <c r="R344" s="16" t="n">
        <v>0</v>
      </c>
      <c r="S344" s="16" t="n">
        <v>0</v>
      </c>
      <c r="T344" s="16">
        <f>IF(R344&gt;0,IFERROR(VALUE(LEFT($D344,1)),1),0)</f>
        <v/>
      </c>
      <c r="U344" s="16">
        <f>R344*T344</f>
        <v/>
      </c>
      <c r="V344" s="9">
        <f>Q344*U344</f>
        <v/>
      </c>
      <c r="W344" s="9" t="n">
        <v>0</v>
      </c>
      <c r="X344" s="16" t="n">
        <v>0</v>
      </c>
      <c r="Y344" s="16" t="n">
        <v>0</v>
      </c>
      <c r="Z344" s="16">
        <f>IF(X344&gt;0,IFERROR(VALUE(LEFT($D344,1)),1),0)</f>
        <v/>
      </c>
      <c r="AA344" s="16">
        <f>X344*Z344</f>
        <v/>
      </c>
      <c r="AB344" s="9">
        <f>W344*AA344</f>
        <v/>
      </c>
      <c r="AC344" s="9" t="n">
        <v>120</v>
      </c>
      <c r="AD344" s="16" t="n">
        <v>1</v>
      </c>
      <c r="AE344" s="16" t="n">
        <v>0</v>
      </c>
      <c r="AF344" s="16">
        <f>IF(AD344&gt;0,IFERROR(VALUE(LEFT($D344,1)),1),0)</f>
        <v/>
      </c>
      <c r="AG344" s="16">
        <f>AD344*AF344</f>
        <v/>
      </c>
      <c r="AH344" s="9">
        <f>AC344*AG344</f>
        <v/>
      </c>
      <c r="AI344" s="9" t="n">
        <v>0</v>
      </c>
      <c r="AJ344" s="16" t="n">
        <v>0</v>
      </c>
      <c r="AK344" s="16" t="n">
        <v>0</v>
      </c>
      <c r="AL344" s="16">
        <f>IF(AJ344&gt;0,IFERROR(VALUE(LEFT($D344,1)),1),0)</f>
        <v/>
      </c>
      <c r="AM344" s="16">
        <f>AJ344*AL344</f>
        <v/>
      </c>
      <c r="AN344" s="9">
        <f>AI344*AM344</f>
        <v/>
      </c>
    </row>
    <row r="345">
      <c r="A345" s="16" t="inlineStr">
        <is>
          <t>TK</t>
        </is>
      </c>
      <c r="B345" s="16" t="inlineStr">
        <is>
          <t>Badanie KT: Szyja</t>
        </is>
      </c>
      <c r="C345" s="16" t="inlineStr">
        <is>
          <t>TK Zwykłe</t>
        </is>
      </c>
      <c r="D345" s="16" t="inlineStr">
        <is>
          <t>1 okolica anatomiczna</t>
        </is>
      </c>
      <c r="E345" s="9" t="n">
        <v>0</v>
      </c>
      <c r="F345" s="16" t="n">
        <v>0</v>
      </c>
      <c r="G345" s="16" t="n">
        <v>0</v>
      </c>
      <c r="H345" s="16">
        <f>IF(F345&gt;0,IFERROR(VALUE(LEFT($D345,1)),1),0)</f>
        <v/>
      </c>
      <c r="I345" s="16">
        <f>F345*H345</f>
        <v/>
      </c>
      <c r="J345" s="9">
        <f>E345*I345</f>
        <v/>
      </c>
      <c r="K345" s="9" t="n">
        <v>0</v>
      </c>
      <c r="L345" s="16" t="n">
        <v>0</v>
      </c>
      <c r="M345" s="16" t="n">
        <v>0</v>
      </c>
      <c r="N345" s="16">
        <f>IF(L345&gt;0,IFERROR(VALUE(LEFT($D345,1)),1),0)</f>
        <v/>
      </c>
      <c r="O345" s="16">
        <f>L345*N345</f>
        <v/>
      </c>
      <c r="P345" s="9">
        <f>K345*O345</f>
        <v/>
      </c>
      <c r="Q345" s="9" t="n">
        <v>0</v>
      </c>
      <c r="R345" s="16" t="n">
        <v>0</v>
      </c>
      <c r="S345" s="16" t="n">
        <v>0</v>
      </c>
      <c r="T345" s="16">
        <f>IF(R345&gt;0,IFERROR(VALUE(LEFT($D345,1)),1),0)</f>
        <v/>
      </c>
      <c r="U345" s="16">
        <f>R345*T345</f>
        <v/>
      </c>
      <c r="V345" s="9">
        <f>Q345*U345</f>
        <v/>
      </c>
      <c r="W345" s="9" t="n">
        <v>0</v>
      </c>
      <c r="X345" s="16" t="n">
        <v>0</v>
      </c>
      <c r="Y345" s="16" t="n">
        <v>0</v>
      </c>
      <c r="Z345" s="16">
        <f>IF(X345&gt;0,IFERROR(VALUE(LEFT($D345,1)),1),0)</f>
        <v/>
      </c>
      <c r="AA345" s="16">
        <f>X345*Z345</f>
        <v/>
      </c>
      <c r="AB345" s="9">
        <f>W345*AA345</f>
        <v/>
      </c>
      <c r="AC345" s="9" t="n">
        <v>0</v>
      </c>
      <c r="AD345" s="16" t="n">
        <v>0</v>
      </c>
      <c r="AE345" s="16" t="n">
        <v>0</v>
      </c>
      <c r="AF345" s="16">
        <f>IF(AD345&gt;0,IFERROR(VALUE(LEFT($D345,1)),1),0)</f>
        <v/>
      </c>
      <c r="AG345" s="16">
        <f>AD345*AF345</f>
        <v/>
      </c>
      <c r="AH345" s="9">
        <f>AC345*AG345</f>
        <v/>
      </c>
      <c r="AI345" s="9" t="n">
        <v>110</v>
      </c>
      <c r="AJ345" s="16" t="n">
        <v>1</v>
      </c>
      <c r="AK345" s="16" t="n">
        <v>0</v>
      </c>
      <c r="AL345" s="16">
        <f>IF(AJ345&gt;0,IFERROR(VALUE(LEFT($D345,1)),1),0)</f>
        <v/>
      </c>
      <c r="AM345" s="16">
        <f>AJ345*AL345</f>
        <v/>
      </c>
      <c r="AN345" s="9">
        <f>AI345*AM345</f>
        <v/>
      </c>
    </row>
    <row r="346">
      <c r="A346" s="16" t="inlineStr">
        <is>
          <t>TK</t>
        </is>
      </c>
      <c r="B346" s="16" t="inlineStr">
        <is>
          <t>NFZ.TK 2 ODCINKI KRĘGOSŁUPA - BEZ KONTRASTU</t>
        </is>
      </c>
      <c r="C346" s="16" t="inlineStr">
        <is>
          <t>TK Zwykłe</t>
        </is>
      </c>
      <c r="D346" s="16" t="inlineStr">
        <is>
          <t>2 okolice anatomiczne</t>
        </is>
      </c>
      <c r="E346" s="9" t="n">
        <v>0</v>
      </c>
      <c r="F346" s="16" t="n">
        <v>0</v>
      </c>
      <c r="G346" s="16" t="n">
        <v>0</v>
      </c>
      <c r="H346" s="16">
        <f>IF(F346&gt;0,IFERROR(VALUE(LEFT($D346,1)),1),0)</f>
        <v/>
      </c>
      <c r="I346" s="16">
        <f>F346*H346</f>
        <v/>
      </c>
      <c r="J346" s="9">
        <f>E346*I346</f>
        <v/>
      </c>
      <c r="K346" s="9" t="n">
        <v>0</v>
      </c>
      <c r="L346" s="16" t="n">
        <v>0</v>
      </c>
      <c r="M346" s="16" t="n">
        <v>0</v>
      </c>
      <c r="N346" s="16">
        <f>IF(L346&gt;0,IFERROR(VALUE(LEFT($D346,1)),1),0)</f>
        <v/>
      </c>
      <c r="O346" s="16">
        <f>L346*N346</f>
        <v/>
      </c>
      <c r="P346" s="9">
        <f>K346*O346</f>
        <v/>
      </c>
      <c r="Q346" s="9" t="n">
        <v>0</v>
      </c>
      <c r="R346" s="16" t="n">
        <v>0</v>
      </c>
      <c r="S346" s="16" t="n">
        <v>0</v>
      </c>
      <c r="T346" s="16">
        <f>IF(R346&gt;0,IFERROR(VALUE(LEFT($D346,1)),1),0)</f>
        <v/>
      </c>
      <c r="U346" s="16">
        <f>R346*T346</f>
        <v/>
      </c>
      <c r="V346" s="9">
        <f>Q346*U346</f>
        <v/>
      </c>
      <c r="W346" s="9" t="n">
        <v>0</v>
      </c>
      <c r="X346" s="16" t="n">
        <v>0</v>
      </c>
      <c r="Y346" s="16" t="n">
        <v>0</v>
      </c>
      <c r="Z346" s="16">
        <f>IF(X346&gt;0,IFERROR(VALUE(LEFT($D346,1)),1),0)</f>
        <v/>
      </c>
      <c r="AA346" s="16">
        <f>X346*Z346</f>
        <v/>
      </c>
      <c r="AB346" s="9">
        <f>W346*AA346</f>
        <v/>
      </c>
      <c r="AC346" s="9" t="n">
        <v>0</v>
      </c>
      <c r="AD346" s="16" t="n">
        <v>0</v>
      </c>
      <c r="AE346" s="16" t="n">
        <v>0</v>
      </c>
      <c r="AF346" s="16">
        <f>IF(AD346&gt;0,IFERROR(VALUE(LEFT($D346,1)),1),0)</f>
        <v/>
      </c>
      <c r="AG346" s="16">
        <f>AD346*AF346</f>
        <v/>
      </c>
      <c r="AH346" s="9">
        <f>AC346*AG346</f>
        <v/>
      </c>
      <c r="AI346" s="9" t="n">
        <v>110</v>
      </c>
      <c r="AJ346" s="16" t="n">
        <v>1</v>
      </c>
      <c r="AK346" s="16" t="n">
        <v>2</v>
      </c>
      <c r="AL346" s="16">
        <f>IF(AJ346&gt;0,IFERROR(VALUE(LEFT($D346,1)),1),0)</f>
        <v/>
      </c>
      <c r="AM346" s="16">
        <f>AJ346*AL346</f>
        <v/>
      </c>
      <c r="AN346" s="9">
        <f>AI346*AM346</f>
        <v/>
      </c>
    </row>
    <row r="347">
      <c r="A347" s="16" t="inlineStr">
        <is>
          <t>TK</t>
        </is>
      </c>
      <c r="B347" s="16" t="inlineStr">
        <is>
          <t>TK - klatka piersiowa bez i z kontrastem</t>
        </is>
      </c>
      <c r="C347" s="16" t="inlineStr">
        <is>
          <t>TK Zwykłe</t>
        </is>
      </c>
      <c r="D347" s="16" t="inlineStr">
        <is>
          <t>1 okolica anatomiczna</t>
        </is>
      </c>
      <c r="E347" s="9" t="n">
        <v>0</v>
      </c>
      <c r="F347" s="16" t="n">
        <v>0</v>
      </c>
      <c r="G347" s="16" t="n">
        <v>0</v>
      </c>
      <c r="H347" s="16">
        <f>IF(F347&gt;0,IFERROR(VALUE(LEFT($D347,1)),1),0)</f>
        <v/>
      </c>
      <c r="I347" s="16">
        <f>F347*H347</f>
        <v/>
      </c>
      <c r="J347" s="9">
        <f>E347*I347</f>
        <v/>
      </c>
      <c r="K347" s="9" t="n">
        <v>0</v>
      </c>
      <c r="L347" s="16" t="n">
        <v>0</v>
      </c>
      <c r="M347" s="16" t="n">
        <v>0</v>
      </c>
      <c r="N347" s="16">
        <f>IF(L347&gt;0,IFERROR(VALUE(LEFT($D347,1)),1),0)</f>
        <v/>
      </c>
      <c r="O347" s="16">
        <f>L347*N347</f>
        <v/>
      </c>
      <c r="P347" s="9">
        <f>K347*O347</f>
        <v/>
      </c>
      <c r="Q347" s="9" t="n">
        <v>0</v>
      </c>
      <c r="R347" s="16" t="n">
        <v>0</v>
      </c>
      <c r="S347" s="16" t="n">
        <v>0</v>
      </c>
      <c r="T347" s="16">
        <f>IF(R347&gt;0,IFERROR(VALUE(LEFT($D347,1)),1),0)</f>
        <v/>
      </c>
      <c r="U347" s="16">
        <f>R347*T347</f>
        <v/>
      </c>
      <c r="V347" s="9">
        <f>Q347*U347</f>
        <v/>
      </c>
      <c r="W347" s="9" t="n">
        <v>0</v>
      </c>
      <c r="X347" s="16" t="n">
        <v>0</v>
      </c>
      <c r="Y347" s="16" t="n">
        <v>0</v>
      </c>
      <c r="Z347" s="16">
        <f>IF(X347&gt;0,IFERROR(VALUE(LEFT($D347,1)),1),0)</f>
        <v/>
      </c>
      <c r="AA347" s="16">
        <f>X347*Z347</f>
        <v/>
      </c>
      <c r="AB347" s="9">
        <f>W347*AA347</f>
        <v/>
      </c>
      <c r="AC347" s="9" t="n">
        <v>0</v>
      </c>
      <c r="AD347" s="16" t="n">
        <v>0</v>
      </c>
      <c r="AE347" s="16" t="n">
        <v>0</v>
      </c>
      <c r="AF347" s="16">
        <f>IF(AD347&gt;0,IFERROR(VALUE(LEFT($D347,1)),1),0)</f>
        <v/>
      </c>
      <c r="AG347" s="16">
        <f>AD347*AF347</f>
        <v/>
      </c>
      <c r="AH347" s="9">
        <f>AC347*AG347</f>
        <v/>
      </c>
      <c r="AI347" s="9" t="n">
        <v>110</v>
      </c>
      <c r="AJ347" s="16" t="n">
        <v>1</v>
      </c>
      <c r="AK347" s="16" t="n">
        <v>0</v>
      </c>
      <c r="AL347" s="16">
        <f>IF(AJ347&gt;0,IFERROR(VALUE(LEFT($D347,1)),1),0)</f>
        <v/>
      </c>
      <c r="AM347" s="16">
        <f>AJ347*AL347</f>
        <v/>
      </c>
      <c r="AN347" s="9">
        <f>AI347*AM347</f>
        <v/>
      </c>
    </row>
    <row r="348">
      <c r="A348" s="16" t="inlineStr">
        <is>
          <t>TK</t>
        </is>
      </c>
      <c r="B348" s="16" t="inlineStr">
        <is>
          <t>TK - kręgosłup odcinek lędźwiowy</t>
        </is>
      </c>
      <c r="C348" s="16" t="inlineStr">
        <is>
          <t>TK Zwykłe</t>
        </is>
      </c>
      <c r="D348" s="16" t="inlineStr">
        <is>
          <t>1 okolica anatomiczna</t>
        </is>
      </c>
      <c r="E348" s="9" t="n">
        <v>0</v>
      </c>
      <c r="F348" s="16" t="n">
        <v>0</v>
      </c>
      <c r="G348" s="16" t="n">
        <v>0</v>
      </c>
      <c r="H348" s="16">
        <f>IF(F348&gt;0,IFERROR(VALUE(LEFT($D348,1)),1),0)</f>
        <v/>
      </c>
      <c r="I348" s="16">
        <f>F348*H348</f>
        <v/>
      </c>
      <c r="J348" s="9">
        <f>E348*I348</f>
        <v/>
      </c>
      <c r="K348" s="9" t="n">
        <v>0</v>
      </c>
      <c r="L348" s="16" t="n">
        <v>0</v>
      </c>
      <c r="M348" s="16" t="n">
        <v>0</v>
      </c>
      <c r="N348" s="16">
        <f>IF(L348&gt;0,IFERROR(VALUE(LEFT($D348,1)),1),0)</f>
        <v/>
      </c>
      <c r="O348" s="16">
        <f>L348*N348</f>
        <v/>
      </c>
      <c r="P348" s="9">
        <f>K348*O348</f>
        <v/>
      </c>
      <c r="Q348" s="9" t="n">
        <v>0</v>
      </c>
      <c r="R348" s="16" t="n">
        <v>0</v>
      </c>
      <c r="S348" s="16" t="n">
        <v>0</v>
      </c>
      <c r="T348" s="16">
        <f>IF(R348&gt;0,IFERROR(VALUE(LEFT($D348,1)),1),0)</f>
        <v/>
      </c>
      <c r="U348" s="16">
        <f>R348*T348</f>
        <v/>
      </c>
      <c r="V348" s="9">
        <f>Q348*U348</f>
        <v/>
      </c>
      <c r="W348" s="9" t="n">
        <v>0</v>
      </c>
      <c r="X348" s="16" t="n">
        <v>0</v>
      </c>
      <c r="Y348" s="16" t="n">
        <v>0</v>
      </c>
      <c r="Z348" s="16">
        <f>IF(X348&gt;0,IFERROR(VALUE(LEFT($D348,1)),1),0)</f>
        <v/>
      </c>
      <c r="AA348" s="16">
        <f>X348*Z348</f>
        <v/>
      </c>
      <c r="AB348" s="9">
        <f>W348*AA348</f>
        <v/>
      </c>
      <c r="AC348" s="9" t="n">
        <v>0</v>
      </c>
      <c r="AD348" s="16" t="n">
        <v>0</v>
      </c>
      <c r="AE348" s="16" t="n">
        <v>0</v>
      </c>
      <c r="AF348" s="16">
        <f>IF(AD348&gt;0,IFERROR(VALUE(LEFT($D348,1)),1),0)</f>
        <v/>
      </c>
      <c r="AG348" s="16">
        <f>AD348*AF348</f>
        <v/>
      </c>
      <c r="AH348" s="9">
        <f>AC348*AG348</f>
        <v/>
      </c>
      <c r="AI348" s="9" t="n">
        <v>110</v>
      </c>
      <c r="AJ348" s="16" t="n">
        <v>1</v>
      </c>
      <c r="AK348" s="16" t="n">
        <v>0</v>
      </c>
      <c r="AL348" s="16">
        <f>IF(AJ348&gt;0,IFERROR(VALUE(LEFT($D348,1)),1),0)</f>
        <v/>
      </c>
      <c r="AM348" s="16">
        <f>AJ348*AL348</f>
        <v/>
      </c>
      <c r="AN348" s="9">
        <f>AI348*AM348</f>
        <v/>
      </c>
    </row>
    <row r="349">
      <c r="A349" s="16" t="inlineStr">
        <is>
          <t>TK</t>
        </is>
      </c>
      <c r="B349" s="16" t="inlineStr">
        <is>
          <t>TK HRCT</t>
        </is>
      </c>
      <c r="C349" s="16" t="inlineStr">
        <is>
          <t>TK Zwykłe</t>
        </is>
      </c>
      <c r="D349" s="16" t="inlineStr">
        <is>
          <t>1 okolica anatomiczna</t>
        </is>
      </c>
      <c r="E349" s="9" t="n">
        <v>0</v>
      </c>
      <c r="F349" s="16" t="n">
        <v>0</v>
      </c>
      <c r="G349" s="16" t="n">
        <v>0</v>
      </c>
      <c r="H349" s="16">
        <f>IF(F349&gt;0,IFERROR(VALUE(LEFT($D349,1)),1),0)</f>
        <v/>
      </c>
      <c r="I349" s="16">
        <f>F349*H349</f>
        <v/>
      </c>
      <c r="J349" s="9">
        <f>E349*I349</f>
        <v/>
      </c>
      <c r="K349" s="9" t="n">
        <v>0</v>
      </c>
      <c r="L349" s="16" t="n">
        <v>0</v>
      </c>
      <c r="M349" s="16" t="n">
        <v>0</v>
      </c>
      <c r="N349" s="16">
        <f>IF(L349&gt;0,IFERROR(VALUE(LEFT($D349,1)),1),0)</f>
        <v/>
      </c>
      <c r="O349" s="16">
        <f>L349*N349</f>
        <v/>
      </c>
      <c r="P349" s="9">
        <f>K349*O349</f>
        <v/>
      </c>
      <c r="Q349" s="9" t="n">
        <v>0</v>
      </c>
      <c r="R349" s="16" t="n">
        <v>0</v>
      </c>
      <c r="S349" s="16" t="n">
        <v>0</v>
      </c>
      <c r="T349" s="16">
        <f>IF(R349&gt;0,IFERROR(VALUE(LEFT($D349,1)),1),0)</f>
        <v/>
      </c>
      <c r="U349" s="16">
        <f>R349*T349</f>
        <v/>
      </c>
      <c r="V349" s="9">
        <f>Q349*U349</f>
        <v/>
      </c>
      <c r="W349" s="9" t="n">
        <v>0</v>
      </c>
      <c r="X349" s="16" t="n">
        <v>0</v>
      </c>
      <c r="Y349" s="16" t="n">
        <v>0</v>
      </c>
      <c r="Z349" s="16">
        <f>IF(X349&gt;0,IFERROR(VALUE(LEFT($D349,1)),1),0)</f>
        <v/>
      </c>
      <c r="AA349" s="16">
        <f>X349*Z349</f>
        <v/>
      </c>
      <c r="AB349" s="9">
        <f>W349*AA349</f>
        <v/>
      </c>
      <c r="AC349" s="9" t="n">
        <v>0</v>
      </c>
      <c r="AD349" s="16" t="n">
        <v>0</v>
      </c>
      <c r="AE349" s="16" t="n">
        <v>0</v>
      </c>
      <c r="AF349" s="16">
        <f>IF(AD349&gt;0,IFERROR(VALUE(LEFT($D349,1)),1),0)</f>
        <v/>
      </c>
      <c r="AG349" s="16">
        <f>AD349*AF349</f>
        <v/>
      </c>
      <c r="AH349" s="9">
        <f>AC349*AG349</f>
        <v/>
      </c>
      <c r="AI349" s="9" t="n">
        <v>110</v>
      </c>
      <c r="AJ349" s="16" t="n">
        <v>1</v>
      </c>
      <c r="AK349" s="16" t="n">
        <v>1</v>
      </c>
      <c r="AL349" s="16">
        <f>IF(AJ349&gt;0,IFERROR(VALUE(LEFT($D349,1)),1),0)</f>
        <v/>
      </c>
      <c r="AM349" s="16">
        <f>AJ349*AL349</f>
        <v/>
      </c>
      <c r="AN349" s="9">
        <f>AI349*AM349</f>
        <v/>
      </c>
    </row>
    <row r="350">
      <c r="A350" s="16" t="inlineStr">
        <is>
          <t>TK</t>
        </is>
      </c>
      <c r="B350" s="16" t="inlineStr">
        <is>
          <t>TK jamy brzusznej z kontrastem</t>
        </is>
      </c>
      <c r="C350" s="16" t="inlineStr">
        <is>
          <t>TK Zwykłe</t>
        </is>
      </c>
      <c r="D350" s="16" t="inlineStr">
        <is>
          <t>1 okolica anatomiczna</t>
        </is>
      </c>
      <c r="E350" s="9" t="n">
        <v>0</v>
      </c>
      <c r="F350" s="16" t="n">
        <v>0</v>
      </c>
      <c r="G350" s="16" t="n">
        <v>0</v>
      </c>
      <c r="H350" s="16">
        <f>IF(F350&gt;0,IFERROR(VALUE(LEFT($D350,1)),1),0)</f>
        <v/>
      </c>
      <c r="I350" s="16">
        <f>F350*H350</f>
        <v/>
      </c>
      <c r="J350" s="9">
        <f>E350*I350</f>
        <v/>
      </c>
      <c r="K350" s="9" t="n">
        <v>0</v>
      </c>
      <c r="L350" s="16" t="n">
        <v>0</v>
      </c>
      <c r="M350" s="16" t="n">
        <v>0</v>
      </c>
      <c r="N350" s="16">
        <f>IF(L350&gt;0,IFERROR(VALUE(LEFT($D350,1)),1),0)</f>
        <v/>
      </c>
      <c r="O350" s="16">
        <f>L350*N350</f>
        <v/>
      </c>
      <c r="P350" s="9">
        <f>K350*O350</f>
        <v/>
      </c>
      <c r="Q350" s="9" t="n">
        <v>0</v>
      </c>
      <c r="R350" s="16" t="n">
        <v>0</v>
      </c>
      <c r="S350" s="16" t="n">
        <v>0</v>
      </c>
      <c r="T350" s="16">
        <f>IF(R350&gt;0,IFERROR(VALUE(LEFT($D350,1)),1),0)</f>
        <v/>
      </c>
      <c r="U350" s="16">
        <f>R350*T350</f>
        <v/>
      </c>
      <c r="V350" s="9">
        <f>Q350*U350</f>
        <v/>
      </c>
      <c r="W350" s="9" t="n">
        <v>0</v>
      </c>
      <c r="X350" s="16" t="n">
        <v>0</v>
      </c>
      <c r="Y350" s="16" t="n">
        <v>0</v>
      </c>
      <c r="Z350" s="16">
        <f>IF(X350&gt;0,IFERROR(VALUE(LEFT($D350,1)),1),0)</f>
        <v/>
      </c>
      <c r="AA350" s="16">
        <f>X350*Z350</f>
        <v/>
      </c>
      <c r="AB350" s="9">
        <f>W350*AA350</f>
        <v/>
      </c>
      <c r="AC350" s="9" t="n">
        <v>0</v>
      </c>
      <c r="AD350" s="16" t="n">
        <v>0</v>
      </c>
      <c r="AE350" s="16" t="n">
        <v>0</v>
      </c>
      <c r="AF350" s="16">
        <f>IF(AD350&gt;0,IFERROR(VALUE(LEFT($D350,1)),1),0)</f>
        <v/>
      </c>
      <c r="AG350" s="16">
        <f>AD350*AF350</f>
        <v/>
      </c>
      <c r="AH350" s="9">
        <f>AC350*AG350</f>
        <v/>
      </c>
      <c r="AI350" s="9" t="n">
        <v>110</v>
      </c>
      <c r="AJ350" s="16" t="n">
        <v>1</v>
      </c>
      <c r="AK350" s="16" t="n">
        <v>0</v>
      </c>
      <c r="AL350" s="16">
        <f>IF(AJ350&gt;0,IFERROR(VALUE(LEFT($D350,1)),1),0)</f>
        <v/>
      </c>
      <c r="AM350" s="16">
        <f>AJ350*AL350</f>
        <v/>
      </c>
      <c r="AN350" s="9">
        <f>AI350*AM350</f>
        <v/>
      </c>
    </row>
    <row r="351">
      <c r="A351" s="16" t="inlineStr">
        <is>
          <t>TK</t>
        </is>
      </c>
      <c r="B351" s="16" t="inlineStr">
        <is>
          <t>TK klatki piersiowej bez i z kontrastem</t>
        </is>
      </c>
      <c r="C351" s="16" t="inlineStr">
        <is>
          <t>TK Zwykłe</t>
        </is>
      </c>
      <c r="D351" s="16" t="inlineStr">
        <is>
          <t>1 okolica anatomiczna</t>
        </is>
      </c>
      <c r="E351" s="9" t="n">
        <v>0</v>
      </c>
      <c r="F351" s="16" t="n">
        <v>0</v>
      </c>
      <c r="G351" s="16" t="n">
        <v>0</v>
      </c>
      <c r="H351" s="16">
        <f>IF(F351&gt;0,IFERROR(VALUE(LEFT($D351,1)),1),0)</f>
        <v/>
      </c>
      <c r="I351" s="16">
        <f>F351*H351</f>
        <v/>
      </c>
      <c r="J351" s="9">
        <f>E351*I351</f>
        <v/>
      </c>
      <c r="K351" s="9" t="n">
        <v>0</v>
      </c>
      <c r="L351" s="16" t="n">
        <v>0</v>
      </c>
      <c r="M351" s="16" t="n">
        <v>0</v>
      </c>
      <c r="N351" s="16">
        <f>IF(L351&gt;0,IFERROR(VALUE(LEFT($D351,1)),1),0)</f>
        <v/>
      </c>
      <c r="O351" s="16">
        <f>L351*N351</f>
        <v/>
      </c>
      <c r="P351" s="9">
        <f>K351*O351</f>
        <v/>
      </c>
      <c r="Q351" s="9" t="n">
        <v>0</v>
      </c>
      <c r="R351" s="16" t="n">
        <v>0</v>
      </c>
      <c r="S351" s="16" t="n">
        <v>0</v>
      </c>
      <c r="T351" s="16">
        <f>IF(R351&gt;0,IFERROR(VALUE(LEFT($D351,1)),1),0)</f>
        <v/>
      </c>
      <c r="U351" s="16">
        <f>R351*T351</f>
        <v/>
      </c>
      <c r="V351" s="9">
        <f>Q351*U351</f>
        <v/>
      </c>
      <c r="W351" s="9" t="n">
        <v>0</v>
      </c>
      <c r="X351" s="16" t="n">
        <v>0</v>
      </c>
      <c r="Y351" s="16" t="n">
        <v>0</v>
      </c>
      <c r="Z351" s="16">
        <f>IF(X351&gt;0,IFERROR(VALUE(LEFT($D351,1)),1),0)</f>
        <v/>
      </c>
      <c r="AA351" s="16">
        <f>X351*Z351</f>
        <v/>
      </c>
      <c r="AB351" s="9">
        <f>W351*AA351</f>
        <v/>
      </c>
      <c r="AC351" s="9" t="n">
        <v>0</v>
      </c>
      <c r="AD351" s="16" t="n">
        <v>0</v>
      </c>
      <c r="AE351" s="16" t="n">
        <v>0</v>
      </c>
      <c r="AF351" s="16">
        <f>IF(AD351&gt;0,IFERROR(VALUE(LEFT($D351,1)),1),0)</f>
        <v/>
      </c>
      <c r="AG351" s="16">
        <f>AD351*AF351</f>
        <v/>
      </c>
      <c r="AH351" s="9">
        <f>AC351*AG351</f>
        <v/>
      </c>
      <c r="AI351" s="9" t="n">
        <v>110</v>
      </c>
      <c r="AJ351" s="16" t="n">
        <v>1</v>
      </c>
      <c r="AK351" s="16" t="n">
        <v>1</v>
      </c>
      <c r="AL351" s="16">
        <f>IF(AJ351&gt;0,IFERROR(VALUE(LEFT($D351,1)),1),0)</f>
        <v/>
      </c>
      <c r="AM351" s="16">
        <f>AJ351*AL351</f>
        <v/>
      </c>
      <c r="AN351" s="9">
        <f>AI351*AM351</f>
        <v/>
      </c>
    </row>
    <row r="352">
      <c r="A352" s="16" t="inlineStr">
        <is>
          <t>TK</t>
        </is>
      </c>
      <c r="B352" s="16" t="inlineStr">
        <is>
          <t>TK klp</t>
        </is>
      </c>
      <c r="C352" s="16" t="inlineStr">
        <is>
          <t>TK Zwykłe</t>
        </is>
      </c>
      <c r="D352" s="16" t="inlineStr">
        <is>
          <t>1 okolica anatomiczna</t>
        </is>
      </c>
      <c r="E352" s="9" t="n">
        <v>0</v>
      </c>
      <c r="F352" s="16" t="n">
        <v>0</v>
      </c>
      <c r="G352" s="16" t="n">
        <v>0</v>
      </c>
      <c r="H352" s="16">
        <f>IF(F352&gt;0,IFERROR(VALUE(LEFT($D352,1)),1),0)</f>
        <v/>
      </c>
      <c r="I352" s="16">
        <f>F352*H352</f>
        <v/>
      </c>
      <c r="J352" s="9">
        <f>E352*I352</f>
        <v/>
      </c>
      <c r="K352" s="9" t="n">
        <v>0</v>
      </c>
      <c r="L352" s="16" t="n">
        <v>0</v>
      </c>
      <c r="M352" s="16" t="n">
        <v>0</v>
      </c>
      <c r="N352" s="16">
        <f>IF(L352&gt;0,IFERROR(VALUE(LEFT($D352,1)),1),0)</f>
        <v/>
      </c>
      <c r="O352" s="16">
        <f>L352*N352</f>
        <v/>
      </c>
      <c r="P352" s="9">
        <f>K352*O352</f>
        <v/>
      </c>
      <c r="Q352" s="9" t="n">
        <v>0</v>
      </c>
      <c r="R352" s="16" t="n">
        <v>0</v>
      </c>
      <c r="S352" s="16" t="n">
        <v>0</v>
      </c>
      <c r="T352" s="16">
        <f>IF(R352&gt;0,IFERROR(VALUE(LEFT($D352,1)),1),0)</f>
        <v/>
      </c>
      <c r="U352" s="16">
        <f>R352*T352</f>
        <v/>
      </c>
      <c r="V352" s="9">
        <f>Q352*U352</f>
        <v/>
      </c>
      <c r="W352" s="9" t="n">
        <v>0</v>
      </c>
      <c r="X352" s="16" t="n">
        <v>0</v>
      </c>
      <c r="Y352" s="16" t="n">
        <v>0</v>
      </c>
      <c r="Z352" s="16">
        <f>IF(X352&gt;0,IFERROR(VALUE(LEFT($D352,1)),1),0)</f>
        <v/>
      </c>
      <c r="AA352" s="16">
        <f>X352*Z352</f>
        <v/>
      </c>
      <c r="AB352" s="9">
        <f>W352*AA352</f>
        <v/>
      </c>
      <c r="AC352" s="9" t="n">
        <v>0</v>
      </c>
      <c r="AD352" s="16" t="n">
        <v>0</v>
      </c>
      <c r="AE352" s="16" t="n">
        <v>0</v>
      </c>
      <c r="AF352" s="16">
        <f>IF(AD352&gt;0,IFERROR(VALUE(LEFT($D352,1)),1),0)</f>
        <v/>
      </c>
      <c r="AG352" s="16">
        <f>AD352*AF352</f>
        <v/>
      </c>
      <c r="AH352" s="9">
        <f>AC352*AG352</f>
        <v/>
      </c>
      <c r="AI352" s="9" t="n">
        <v>110</v>
      </c>
      <c r="AJ352" s="16" t="n">
        <v>1</v>
      </c>
      <c r="AK352" s="16" t="n">
        <v>0</v>
      </c>
      <c r="AL352" s="16">
        <f>IF(AJ352&gt;0,IFERROR(VALUE(LEFT($D352,1)),1),0)</f>
        <v/>
      </c>
      <c r="AM352" s="16">
        <f>AJ352*AL352</f>
        <v/>
      </c>
      <c r="AN352" s="9">
        <f>AI352*AM352</f>
        <v/>
      </c>
    </row>
    <row r="353">
      <c r="A353" s="16" t="inlineStr">
        <is>
          <t>TK</t>
        </is>
      </c>
      <c r="B353" s="16" t="inlineStr">
        <is>
          <t>TK kręgosłupa lędźwiowego przeglądowa</t>
        </is>
      </c>
      <c r="C353" s="16" t="inlineStr">
        <is>
          <t>TK Zwykłe</t>
        </is>
      </c>
      <c r="D353" s="16" t="inlineStr">
        <is>
          <t>1 okolica anatomiczna</t>
        </is>
      </c>
      <c r="E353" s="9" t="n">
        <v>0</v>
      </c>
      <c r="F353" s="16" t="n">
        <v>0</v>
      </c>
      <c r="G353" s="16" t="n">
        <v>0</v>
      </c>
      <c r="H353" s="16">
        <f>IF(F353&gt;0,IFERROR(VALUE(LEFT($D353,1)),1),0)</f>
        <v/>
      </c>
      <c r="I353" s="16">
        <f>F353*H353</f>
        <v/>
      </c>
      <c r="J353" s="9">
        <f>E353*I353</f>
        <v/>
      </c>
      <c r="K353" s="9" t="n">
        <v>0</v>
      </c>
      <c r="L353" s="16" t="n">
        <v>0</v>
      </c>
      <c r="M353" s="16" t="n">
        <v>0</v>
      </c>
      <c r="N353" s="16">
        <f>IF(L353&gt;0,IFERROR(VALUE(LEFT($D353,1)),1),0)</f>
        <v/>
      </c>
      <c r="O353" s="16">
        <f>L353*N353</f>
        <v/>
      </c>
      <c r="P353" s="9">
        <f>K353*O353</f>
        <v/>
      </c>
      <c r="Q353" s="9" t="n">
        <v>0</v>
      </c>
      <c r="R353" s="16" t="n">
        <v>0</v>
      </c>
      <c r="S353" s="16" t="n">
        <v>0</v>
      </c>
      <c r="T353" s="16">
        <f>IF(R353&gt;0,IFERROR(VALUE(LEFT($D353,1)),1),0)</f>
        <v/>
      </c>
      <c r="U353" s="16">
        <f>R353*T353</f>
        <v/>
      </c>
      <c r="V353" s="9">
        <f>Q353*U353</f>
        <v/>
      </c>
      <c r="W353" s="9" t="n">
        <v>0</v>
      </c>
      <c r="X353" s="16" t="n">
        <v>0</v>
      </c>
      <c r="Y353" s="16" t="n">
        <v>0</v>
      </c>
      <c r="Z353" s="16">
        <f>IF(X353&gt;0,IFERROR(VALUE(LEFT($D353,1)),1),0)</f>
        <v/>
      </c>
      <c r="AA353" s="16">
        <f>X353*Z353</f>
        <v/>
      </c>
      <c r="AB353" s="9">
        <f>W353*AA353</f>
        <v/>
      </c>
      <c r="AC353" s="9" t="n">
        <v>0</v>
      </c>
      <c r="AD353" s="16" t="n">
        <v>0</v>
      </c>
      <c r="AE353" s="16" t="n">
        <v>0</v>
      </c>
      <c r="AF353" s="16">
        <f>IF(AD353&gt;0,IFERROR(VALUE(LEFT($D353,1)),1),0)</f>
        <v/>
      </c>
      <c r="AG353" s="16">
        <f>AD353*AF353</f>
        <v/>
      </c>
      <c r="AH353" s="9">
        <f>AC353*AG353</f>
        <v/>
      </c>
      <c r="AI353" s="9" t="n">
        <v>110</v>
      </c>
      <c r="AJ353" s="16" t="n">
        <v>1</v>
      </c>
      <c r="AK353" s="16" t="n">
        <v>1</v>
      </c>
      <c r="AL353" s="16">
        <f>IF(AJ353&gt;0,IFERROR(VALUE(LEFT($D353,1)),1),0)</f>
        <v/>
      </c>
      <c r="AM353" s="16">
        <f>AJ353*AL353</f>
        <v/>
      </c>
      <c r="AN353" s="9">
        <f>AI353*AM353</f>
        <v/>
      </c>
    </row>
    <row r="354">
      <c r="A354" s="16" t="inlineStr">
        <is>
          <t>TK</t>
        </is>
      </c>
      <c r="B354" s="16" t="inlineStr">
        <is>
          <t>TK kręgosłupa odc. Th</t>
        </is>
      </c>
      <c r="C354" s="16" t="inlineStr">
        <is>
          <t>TK Zwykłe</t>
        </is>
      </c>
      <c r="D354" s="16" t="inlineStr">
        <is>
          <t>1 okolica anatomiczna</t>
        </is>
      </c>
      <c r="E354" s="9" t="n">
        <v>0</v>
      </c>
      <c r="F354" s="16" t="n">
        <v>0</v>
      </c>
      <c r="G354" s="16" t="n">
        <v>0</v>
      </c>
      <c r="H354" s="16">
        <f>IF(F354&gt;0,IFERROR(VALUE(LEFT($D354,1)),1),0)</f>
        <v/>
      </c>
      <c r="I354" s="16">
        <f>F354*H354</f>
        <v/>
      </c>
      <c r="J354" s="9">
        <f>E354*I354</f>
        <v/>
      </c>
      <c r="K354" s="9" t="n">
        <v>0</v>
      </c>
      <c r="L354" s="16" t="n">
        <v>0</v>
      </c>
      <c r="M354" s="16" t="n">
        <v>0</v>
      </c>
      <c r="N354" s="16">
        <f>IF(L354&gt;0,IFERROR(VALUE(LEFT($D354,1)),1),0)</f>
        <v/>
      </c>
      <c r="O354" s="16">
        <f>L354*N354</f>
        <v/>
      </c>
      <c r="P354" s="9">
        <f>K354*O354</f>
        <v/>
      </c>
      <c r="Q354" s="9" t="n">
        <v>0</v>
      </c>
      <c r="R354" s="16" t="n">
        <v>0</v>
      </c>
      <c r="S354" s="16" t="n">
        <v>0</v>
      </c>
      <c r="T354" s="16">
        <f>IF(R354&gt;0,IFERROR(VALUE(LEFT($D354,1)),1),0)</f>
        <v/>
      </c>
      <c r="U354" s="16">
        <f>R354*T354</f>
        <v/>
      </c>
      <c r="V354" s="9">
        <f>Q354*U354</f>
        <v/>
      </c>
      <c r="W354" s="9" t="n">
        <v>0</v>
      </c>
      <c r="X354" s="16" t="n">
        <v>0</v>
      </c>
      <c r="Y354" s="16" t="n">
        <v>0</v>
      </c>
      <c r="Z354" s="16">
        <f>IF(X354&gt;0,IFERROR(VALUE(LEFT($D354,1)),1),0)</f>
        <v/>
      </c>
      <c r="AA354" s="16">
        <f>X354*Z354</f>
        <v/>
      </c>
      <c r="AB354" s="9">
        <f>W354*AA354</f>
        <v/>
      </c>
      <c r="AC354" s="9" t="n">
        <v>0</v>
      </c>
      <c r="AD354" s="16" t="n">
        <v>0</v>
      </c>
      <c r="AE354" s="16" t="n">
        <v>0</v>
      </c>
      <c r="AF354" s="16">
        <f>IF(AD354&gt;0,IFERROR(VALUE(LEFT($D354,1)),1),0)</f>
        <v/>
      </c>
      <c r="AG354" s="16">
        <f>AD354*AF354</f>
        <v/>
      </c>
      <c r="AH354" s="9">
        <f>AC354*AG354</f>
        <v/>
      </c>
      <c r="AI354" s="9" t="n">
        <v>110</v>
      </c>
      <c r="AJ354" s="16" t="n">
        <v>1</v>
      </c>
      <c r="AK354" s="16" t="n">
        <v>0</v>
      </c>
      <c r="AL354" s="16">
        <f>IF(AJ354&gt;0,IFERROR(VALUE(LEFT($D354,1)),1),0)</f>
        <v/>
      </c>
      <c r="AM354" s="16">
        <f>AJ354*AL354</f>
        <v/>
      </c>
      <c r="AN354" s="9">
        <f>AI354*AM354</f>
        <v/>
      </c>
    </row>
    <row r="355">
      <c r="A355" s="16" t="inlineStr">
        <is>
          <t>TK</t>
        </is>
      </c>
      <c r="B355" s="16" t="inlineStr">
        <is>
          <t>TK stopy prawej</t>
        </is>
      </c>
      <c r="C355" s="16" t="inlineStr">
        <is>
          <t>TK Zwykłe</t>
        </is>
      </c>
      <c r="D355" s="16" t="inlineStr">
        <is>
          <t>1 okolica anatomiczna</t>
        </is>
      </c>
      <c r="E355" s="9" t="n">
        <v>0</v>
      </c>
      <c r="F355" s="16" t="n">
        <v>0</v>
      </c>
      <c r="G355" s="16" t="n">
        <v>0</v>
      </c>
      <c r="H355" s="16">
        <f>IF(F355&gt;0,IFERROR(VALUE(LEFT($D355,1)),1),0)</f>
        <v/>
      </c>
      <c r="I355" s="16">
        <f>F355*H355</f>
        <v/>
      </c>
      <c r="J355" s="9">
        <f>E355*I355</f>
        <v/>
      </c>
      <c r="K355" s="9" t="n">
        <v>0</v>
      </c>
      <c r="L355" s="16" t="n">
        <v>0</v>
      </c>
      <c r="M355" s="16" t="n">
        <v>0</v>
      </c>
      <c r="N355" s="16">
        <f>IF(L355&gt;0,IFERROR(VALUE(LEFT($D355,1)),1),0)</f>
        <v/>
      </c>
      <c r="O355" s="16">
        <f>L355*N355</f>
        <v/>
      </c>
      <c r="P355" s="9">
        <f>K355*O355</f>
        <v/>
      </c>
      <c r="Q355" s="9" t="n">
        <v>0</v>
      </c>
      <c r="R355" s="16" t="n">
        <v>0</v>
      </c>
      <c r="S355" s="16" t="n">
        <v>0</v>
      </c>
      <c r="T355" s="16">
        <f>IF(R355&gt;0,IFERROR(VALUE(LEFT($D355,1)),1),0)</f>
        <v/>
      </c>
      <c r="U355" s="16">
        <f>R355*T355</f>
        <v/>
      </c>
      <c r="V355" s="9">
        <f>Q355*U355</f>
        <v/>
      </c>
      <c r="W355" s="9" t="n">
        <v>0</v>
      </c>
      <c r="X355" s="16" t="n">
        <v>0</v>
      </c>
      <c r="Y355" s="16" t="n">
        <v>0</v>
      </c>
      <c r="Z355" s="16">
        <f>IF(X355&gt;0,IFERROR(VALUE(LEFT($D355,1)),1),0)</f>
        <v/>
      </c>
      <c r="AA355" s="16">
        <f>X355*Z355</f>
        <v/>
      </c>
      <c r="AB355" s="9">
        <f>W355*AA355</f>
        <v/>
      </c>
      <c r="AC355" s="9" t="n">
        <v>0</v>
      </c>
      <c r="AD355" s="16" t="n">
        <v>0</v>
      </c>
      <c r="AE355" s="16" t="n">
        <v>0</v>
      </c>
      <c r="AF355" s="16">
        <f>IF(AD355&gt;0,IFERROR(VALUE(LEFT($D355,1)),1),0)</f>
        <v/>
      </c>
      <c r="AG355" s="16">
        <f>AD355*AF355</f>
        <v/>
      </c>
      <c r="AH355" s="9">
        <f>AC355*AG355</f>
        <v/>
      </c>
      <c r="AI355" s="9" t="n">
        <v>135</v>
      </c>
      <c r="AJ355" s="16" t="n">
        <v>1</v>
      </c>
      <c r="AK355" s="16" t="n">
        <v>1</v>
      </c>
      <c r="AL355" s="16">
        <f>IF(AJ355&gt;0,IFERROR(VALUE(LEFT($D355,1)),1),0)</f>
        <v/>
      </c>
      <c r="AM355" s="16">
        <f>AJ355*AL355</f>
        <v/>
      </c>
      <c r="AN355" s="9">
        <f>AI355*AM355</f>
        <v/>
      </c>
    </row>
    <row r="356">
      <c r="A356" s="16" t="inlineStr">
        <is>
          <t>TK</t>
        </is>
      </c>
      <c r="B356" s="16" t="inlineStr">
        <is>
          <t>TK tkanek miękkich i kości bez kontrastu</t>
        </is>
      </c>
      <c r="C356" s="16" t="inlineStr">
        <is>
          <t>TK Zwykłe</t>
        </is>
      </c>
      <c r="D356" s="16" t="inlineStr">
        <is>
          <t>2 okolice anatomiczne</t>
        </is>
      </c>
      <c r="E356" s="9" t="n">
        <v>0</v>
      </c>
      <c r="F356" s="16" t="n">
        <v>0</v>
      </c>
      <c r="G356" s="16" t="n">
        <v>0</v>
      </c>
      <c r="H356" s="16">
        <f>IF(F356&gt;0,IFERROR(VALUE(LEFT($D356,1)),1),0)</f>
        <v/>
      </c>
      <c r="I356" s="16">
        <f>F356*H356</f>
        <v/>
      </c>
      <c r="J356" s="9">
        <f>E356*I356</f>
        <v/>
      </c>
      <c r="K356" s="9" t="n">
        <v>0</v>
      </c>
      <c r="L356" s="16" t="n">
        <v>0</v>
      </c>
      <c r="M356" s="16" t="n">
        <v>0</v>
      </c>
      <c r="N356" s="16">
        <f>IF(L356&gt;0,IFERROR(VALUE(LEFT($D356,1)),1),0)</f>
        <v/>
      </c>
      <c r="O356" s="16">
        <f>L356*N356</f>
        <v/>
      </c>
      <c r="P356" s="9">
        <f>K356*O356</f>
        <v/>
      </c>
      <c r="Q356" s="9" t="n">
        <v>0</v>
      </c>
      <c r="R356" s="16" t="n">
        <v>0</v>
      </c>
      <c r="S356" s="16" t="n">
        <v>0</v>
      </c>
      <c r="T356" s="16">
        <f>IF(R356&gt;0,IFERROR(VALUE(LEFT($D356,1)),1),0)</f>
        <v/>
      </c>
      <c r="U356" s="16">
        <f>R356*T356</f>
        <v/>
      </c>
      <c r="V356" s="9">
        <f>Q356*U356</f>
        <v/>
      </c>
      <c r="W356" s="9" t="n">
        <v>0</v>
      </c>
      <c r="X356" s="16" t="n">
        <v>0</v>
      </c>
      <c r="Y356" s="16" t="n">
        <v>0</v>
      </c>
      <c r="Z356" s="16">
        <f>IF(X356&gt;0,IFERROR(VALUE(LEFT($D356,1)),1),0)</f>
        <v/>
      </c>
      <c r="AA356" s="16">
        <f>X356*Z356</f>
        <v/>
      </c>
      <c r="AB356" s="9">
        <f>W356*AA356</f>
        <v/>
      </c>
      <c r="AC356" s="9" t="n">
        <v>0</v>
      </c>
      <c r="AD356" s="16" t="n">
        <v>0</v>
      </c>
      <c r="AE356" s="16" t="n">
        <v>0</v>
      </c>
      <c r="AF356" s="16">
        <f>IF(AD356&gt;0,IFERROR(VALUE(LEFT($D356,1)),1),0)</f>
        <v/>
      </c>
      <c r="AG356" s="16">
        <f>AD356*AF356</f>
        <v/>
      </c>
      <c r="AH356" s="9">
        <f>AC356*AG356</f>
        <v/>
      </c>
      <c r="AI356" s="9" t="n">
        <v>110</v>
      </c>
      <c r="AJ356" s="16" t="n">
        <v>1</v>
      </c>
      <c r="AK356" s="16" t="n">
        <v>0</v>
      </c>
      <c r="AL356" s="16">
        <f>IF(AJ356&gt;0,IFERROR(VALUE(LEFT($D356,1)),1),0)</f>
        <v/>
      </c>
      <c r="AM356" s="16">
        <f>AJ356*AL356</f>
        <v/>
      </c>
      <c r="AN356" s="9">
        <f>AI356*AM356</f>
        <v/>
      </c>
    </row>
    <row r="357">
      <c r="A357" s="16" t="inlineStr">
        <is>
          <t>TK</t>
        </is>
      </c>
      <c r="B357" s="16" t="inlineStr">
        <is>
          <t>TK, jamy brzusznej i miednicy bez i ze wzmocnieniem kontrastowym</t>
        </is>
      </c>
      <c r="C357" s="16" t="inlineStr">
        <is>
          <t>TK Zwykłe</t>
        </is>
      </c>
      <c r="D357" s="16" t="inlineStr">
        <is>
          <t>2 okolice anatomiczne</t>
        </is>
      </c>
      <c r="E357" s="9" t="n">
        <v>0</v>
      </c>
      <c r="F357" s="16" t="n">
        <v>0</v>
      </c>
      <c r="G357" s="16" t="n">
        <v>0</v>
      </c>
      <c r="H357" s="16">
        <f>IF(F357&gt;0,IFERROR(VALUE(LEFT($D357,1)),1),0)</f>
        <v/>
      </c>
      <c r="I357" s="16">
        <f>F357*H357</f>
        <v/>
      </c>
      <c r="J357" s="9">
        <f>E357*I357</f>
        <v/>
      </c>
      <c r="K357" s="9" t="n">
        <v>0</v>
      </c>
      <c r="L357" s="16" t="n">
        <v>0</v>
      </c>
      <c r="M357" s="16" t="n">
        <v>0</v>
      </c>
      <c r="N357" s="16">
        <f>IF(L357&gt;0,IFERROR(VALUE(LEFT($D357,1)),1),0)</f>
        <v/>
      </c>
      <c r="O357" s="16">
        <f>L357*N357</f>
        <v/>
      </c>
      <c r="P357" s="9">
        <f>K357*O357</f>
        <v/>
      </c>
      <c r="Q357" s="9" t="n">
        <v>0</v>
      </c>
      <c r="R357" s="16" t="n">
        <v>0</v>
      </c>
      <c r="S357" s="16" t="n">
        <v>0</v>
      </c>
      <c r="T357" s="16">
        <f>IF(R357&gt;0,IFERROR(VALUE(LEFT($D357,1)),1),0)</f>
        <v/>
      </c>
      <c r="U357" s="16">
        <f>R357*T357</f>
        <v/>
      </c>
      <c r="V357" s="9">
        <f>Q357*U357</f>
        <v/>
      </c>
      <c r="W357" s="9" t="n">
        <v>0</v>
      </c>
      <c r="X357" s="16" t="n">
        <v>0</v>
      </c>
      <c r="Y357" s="16" t="n">
        <v>0</v>
      </c>
      <c r="Z357" s="16">
        <f>IF(X357&gt;0,IFERROR(VALUE(LEFT($D357,1)),1),0)</f>
        <v/>
      </c>
      <c r="AA357" s="16">
        <f>X357*Z357</f>
        <v/>
      </c>
      <c r="AB357" s="9">
        <f>W357*AA357</f>
        <v/>
      </c>
      <c r="AC357" s="9" t="n">
        <v>0</v>
      </c>
      <c r="AD357" s="16" t="n">
        <v>0</v>
      </c>
      <c r="AE357" s="16" t="n">
        <v>0</v>
      </c>
      <c r="AF357" s="16">
        <f>IF(AD357&gt;0,IFERROR(VALUE(LEFT($D357,1)),1),0)</f>
        <v/>
      </c>
      <c r="AG357" s="16">
        <f>AD357*AF357</f>
        <v/>
      </c>
      <c r="AH357" s="9">
        <f>AC357*AG357</f>
        <v/>
      </c>
      <c r="AI357" s="9" t="n">
        <v>110</v>
      </c>
      <c r="AJ357" s="16" t="n">
        <v>1</v>
      </c>
      <c r="AK357" s="16" t="n">
        <v>2</v>
      </c>
      <c r="AL357" s="16">
        <f>IF(AJ357&gt;0,IFERROR(VALUE(LEFT($D357,1)),1),0)</f>
        <v/>
      </c>
      <c r="AM357" s="16">
        <f>AJ357*AL357</f>
        <v/>
      </c>
      <c r="AN357" s="9">
        <f>AI357*AM357</f>
        <v/>
      </c>
    </row>
    <row r="358">
      <c r="A358" s="16" t="inlineStr">
        <is>
          <t>TK</t>
        </is>
      </c>
      <c r="B358" s="16" t="inlineStr">
        <is>
          <t>Tomografia komputerowa kręgosłupa lędźwiowo-krzyżowego bez kontrastem</t>
        </is>
      </c>
      <c r="C358" s="16" t="inlineStr">
        <is>
          <t>TK Zwykłe</t>
        </is>
      </c>
      <c r="D358" s="16" t="inlineStr">
        <is>
          <t>1 okolica anatomiczna</t>
        </is>
      </c>
      <c r="E358" s="9" t="n">
        <v>0</v>
      </c>
      <c r="F358" s="16" t="n">
        <v>0</v>
      </c>
      <c r="G358" s="16" t="n">
        <v>0</v>
      </c>
      <c r="H358" s="16">
        <f>IF(F358&gt;0,IFERROR(VALUE(LEFT($D358,1)),1),0)</f>
        <v/>
      </c>
      <c r="I358" s="16">
        <f>F358*H358</f>
        <v/>
      </c>
      <c r="J358" s="9">
        <f>E358*I358</f>
        <v/>
      </c>
      <c r="K358" s="9" t="n">
        <v>0</v>
      </c>
      <c r="L358" s="16" t="n">
        <v>0</v>
      </c>
      <c r="M358" s="16" t="n">
        <v>0</v>
      </c>
      <c r="N358" s="16">
        <f>IF(L358&gt;0,IFERROR(VALUE(LEFT($D358,1)),1),0)</f>
        <v/>
      </c>
      <c r="O358" s="16">
        <f>L358*N358</f>
        <v/>
      </c>
      <c r="P358" s="9">
        <f>K358*O358</f>
        <v/>
      </c>
      <c r="Q358" s="9" t="n">
        <v>0</v>
      </c>
      <c r="R358" s="16" t="n">
        <v>0</v>
      </c>
      <c r="S358" s="16" t="n">
        <v>0</v>
      </c>
      <c r="T358" s="16">
        <f>IF(R358&gt;0,IFERROR(VALUE(LEFT($D358,1)),1),0)</f>
        <v/>
      </c>
      <c r="U358" s="16">
        <f>R358*T358</f>
        <v/>
      </c>
      <c r="V358" s="9">
        <f>Q358*U358</f>
        <v/>
      </c>
      <c r="W358" s="9" t="n">
        <v>0</v>
      </c>
      <c r="X358" s="16" t="n">
        <v>0</v>
      </c>
      <c r="Y358" s="16" t="n">
        <v>0</v>
      </c>
      <c r="Z358" s="16">
        <f>IF(X358&gt;0,IFERROR(VALUE(LEFT($D358,1)),1),0)</f>
        <v/>
      </c>
      <c r="AA358" s="16">
        <f>X358*Z358</f>
        <v/>
      </c>
      <c r="AB358" s="9">
        <f>W358*AA358</f>
        <v/>
      </c>
      <c r="AC358" s="9" t="n">
        <v>0</v>
      </c>
      <c r="AD358" s="16" t="n">
        <v>0</v>
      </c>
      <c r="AE358" s="16" t="n">
        <v>0</v>
      </c>
      <c r="AF358" s="16">
        <f>IF(AD358&gt;0,IFERROR(VALUE(LEFT($D358,1)),1),0)</f>
        <v/>
      </c>
      <c r="AG358" s="16">
        <f>AD358*AF358</f>
        <v/>
      </c>
      <c r="AH358" s="9">
        <f>AC358*AG358</f>
        <v/>
      </c>
      <c r="AI358" s="9" t="n">
        <v>110</v>
      </c>
      <c r="AJ358" s="16" t="n">
        <v>1</v>
      </c>
      <c r="AK358" s="16" t="n">
        <v>0</v>
      </c>
      <c r="AL358" s="16">
        <f>IF(AJ358&gt;0,IFERROR(VALUE(LEFT($D358,1)),1),0)</f>
        <v/>
      </c>
      <c r="AM358" s="16">
        <f>AJ358*AL358</f>
        <v/>
      </c>
      <c r="AN358" s="9">
        <f>AI358*AM358</f>
        <v/>
      </c>
    </row>
    <row r="359">
      <c r="A359" s="16" t="inlineStr">
        <is>
          <t>TK</t>
        </is>
      </c>
      <c r="B359" s="16" t="inlineStr">
        <is>
          <t>Tomografia komputerowa miednicy bez kontrastu</t>
        </is>
      </c>
      <c r="C359" s="16" t="inlineStr">
        <is>
          <t>TK Zwykłe</t>
        </is>
      </c>
      <c r="D359" s="16" t="inlineStr">
        <is>
          <t>1 okolica anatomiczna</t>
        </is>
      </c>
      <c r="E359" s="9" t="n">
        <v>0</v>
      </c>
      <c r="F359" s="16" t="n">
        <v>0</v>
      </c>
      <c r="G359" s="16" t="n">
        <v>0</v>
      </c>
      <c r="H359" s="16">
        <f>IF(F359&gt;0,IFERROR(VALUE(LEFT($D359,1)),1),0)</f>
        <v/>
      </c>
      <c r="I359" s="16">
        <f>F359*H359</f>
        <v/>
      </c>
      <c r="J359" s="9">
        <f>E359*I359</f>
        <v/>
      </c>
      <c r="K359" s="9" t="n">
        <v>0</v>
      </c>
      <c r="L359" s="16" t="n">
        <v>0</v>
      </c>
      <c r="M359" s="16" t="n">
        <v>0</v>
      </c>
      <c r="N359" s="16">
        <f>IF(L359&gt;0,IFERROR(VALUE(LEFT($D359,1)),1),0)</f>
        <v/>
      </c>
      <c r="O359" s="16">
        <f>L359*N359</f>
        <v/>
      </c>
      <c r="P359" s="9">
        <f>K359*O359</f>
        <v/>
      </c>
      <c r="Q359" s="9" t="n">
        <v>0</v>
      </c>
      <c r="R359" s="16" t="n">
        <v>0</v>
      </c>
      <c r="S359" s="16" t="n">
        <v>0</v>
      </c>
      <c r="T359" s="16">
        <f>IF(R359&gt;0,IFERROR(VALUE(LEFT($D359,1)),1),0)</f>
        <v/>
      </c>
      <c r="U359" s="16">
        <f>R359*T359</f>
        <v/>
      </c>
      <c r="V359" s="9">
        <f>Q359*U359</f>
        <v/>
      </c>
      <c r="W359" s="9" t="n">
        <v>0</v>
      </c>
      <c r="X359" s="16" t="n">
        <v>0</v>
      </c>
      <c r="Y359" s="16" t="n">
        <v>0</v>
      </c>
      <c r="Z359" s="16">
        <f>IF(X359&gt;0,IFERROR(VALUE(LEFT($D359,1)),1),0)</f>
        <v/>
      </c>
      <c r="AA359" s="16">
        <f>X359*Z359</f>
        <v/>
      </c>
      <c r="AB359" s="9">
        <f>W359*AA359</f>
        <v/>
      </c>
      <c r="AC359" s="9" t="n">
        <v>0</v>
      </c>
      <c r="AD359" s="16" t="n">
        <v>0</v>
      </c>
      <c r="AE359" s="16" t="n">
        <v>0</v>
      </c>
      <c r="AF359" s="16">
        <f>IF(AD359&gt;0,IFERROR(VALUE(LEFT($D359,1)),1),0)</f>
        <v/>
      </c>
      <c r="AG359" s="16">
        <f>AD359*AF359</f>
        <v/>
      </c>
      <c r="AH359" s="9">
        <f>AC359*AG359</f>
        <v/>
      </c>
      <c r="AI359" s="9" t="n">
        <v>110</v>
      </c>
      <c r="AJ359" s="16" t="n">
        <v>1</v>
      </c>
      <c r="AK359" s="16" t="n">
        <v>0</v>
      </c>
      <c r="AL359" s="16">
        <f>IF(AJ359&gt;0,IFERROR(VALUE(LEFT($D359,1)),1),0)</f>
        <v/>
      </c>
      <c r="AM359" s="16">
        <f>AJ359*AL359</f>
        <v/>
      </c>
      <c r="AN359" s="9">
        <f>AI359*AM359</f>
        <v/>
      </c>
    </row>
    <row r="360">
      <c r="A360" s="14" t="inlineStr">
        <is>
          <t>SUMA TK</t>
        </is>
      </c>
      <c r="B360" s="14" t="n"/>
      <c r="C360" s="14" t="n"/>
      <c r="D360" s="14" t="n"/>
      <c r="E360" s="14" t="n"/>
      <c r="F360" s="14">
        <f>AGGREGATE(9,6,F48:F359)</f>
        <v/>
      </c>
      <c r="G360" s="14">
        <f>AGGREGATE(9,6,G48:G359)</f>
        <v/>
      </c>
      <c r="H360" s="14" t="n"/>
      <c r="I360" s="14">
        <f>AGGREGATE(9,6,I48:I359)</f>
        <v/>
      </c>
      <c r="J360" s="15">
        <f>AGGREGATE(9,6,J48:J359)</f>
        <v/>
      </c>
      <c r="K360" s="14" t="n"/>
      <c r="L360" s="14">
        <f>AGGREGATE(9,6,L48:L359)</f>
        <v/>
      </c>
      <c r="M360" s="14">
        <f>AGGREGATE(9,6,M48:M359)</f>
        <v/>
      </c>
      <c r="N360" s="14" t="n"/>
      <c r="O360" s="14">
        <f>AGGREGATE(9,6,O48:O359)</f>
        <v/>
      </c>
      <c r="P360" s="15">
        <f>AGGREGATE(9,6,P48:P359)</f>
        <v/>
      </c>
      <c r="Q360" s="14" t="n"/>
      <c r="R360" s="14">
        <f>AGGREGATE(9,6,R48:R359)</f>
        <v/>
      </c>
      <c r="S360" s="14">
        <f>AGGREGATE(9,6,S48:S359)</f>
        <v/>
      </c>
      <c r="T360" s="14" t="n"/>
      <c r="U360" s="14">
        <f>AGGREGATE(9,6,U48:U359)</f>
        <v/>
      </c>
      <c r="V360" s="15">
        <f>AGGREGATE(9,6,V48:V359)</f>
        <v/>
      </c>
      <c r="W360" s="14" t="n"/>
      <c r="X360" s="14">
        <f>AGGREGATE(9,6,X48:X359)</f>
        <v/>
      </c>
      <c r="Y360" s="14">
        <f>AGGREGATE(9,6,Y48:Y359)</f>
        <v/>
      </c>
      <c r="Z360" s="14" t="n"/>
      <c r="AA360" s="14">
        <f>AGGREGATE(9,6,AA48:AA359)</f>
        <v/>
      </c>
      <c r="AB360" s="15">
        <f>AGGREGATE(9,6,AB48:AB359)</f>
        <v/>
      </c>
      <c r="AC360" s="14" t="n"/>
      <c r="AD360" s="14">
        <f>AGGREGATE(9,6,AD48:AD359)</f>
        <v/>
      </c>
      <c r="AE360" s="14">
        <f>AGGREGATE(9,6,AE48:AE359)</f>
        <v/>
      </c>
      <c r="AF360" s="14" t="n"/>
      <c r="AG360" s="14">
        <f>AGGREGATE(9,6,AG48:AG359)</f>
        <v/>
      </c>
      <c r="AH360" s="15">
        <f>AGGREGATE(9,6,AH48:AH359)</f>
        <v/>
      </c>
      <c r="AI360" s="14" t="n"/>
      <c r="AJ360" s="14">
        <f>AGGREGATE(9,6,AJ48:AJ359)</f>
        <v/>
      </c>
      <c r="AK360" s="14">
        <f>AGGREGATE(9,6,AK48:AK359)</f>
        <v/>
      </c>
      <c r="AL360" s="14" t="n"/>
      <c r="AM360" s="14">
        <f>AGGREGATE(9,6,AM48:AM359)</f>
        <v/>
      </c>
      <c r="AN360" s="15">
        <f>AGGREGATE(9,6,AN48:AN359)</f>
        <v/>
      </c>
    </row>
    <row r="361"/>
    <row r="362">
      <c r="A362" s="17" t="inlineStr">
        <is>
          <t>SUMA CAŁKOWITA</t>
        </is>
      </c>
      <c r="B362" s="17" t="n"/>
      <c r="C362" s="17" t="n"/>
      <c r="D362" s="17" t="n"/>
      <c r="E362" s="17" t="n"/>
      <c r="F362" s="17">
        <f>F45+F360</f>
        <v/>
      </c>
      <c r="G362" s="17">
        <f>G45+G360</f>
        <v/>
      </c>
      <c r="H362" s="17" t="n"/>
      <c r="I362" s="17">
        <f>I45+I360</f>
        <v/>
      </c>
      <c r="J362" s="18">
        <f>J45+J360</f>
        <v/>
      </c>
      <c r="K362" s="17" t="n"/>
      <c r="L362" s="17">
        <f>L45+L360</f>
        <v/>
      </c>
      <c r="M362" s="17">
        <f>M45+M360</f>
        <v/>
      </c>
      <c r="N362" s="17" t="n"/>
      <c r="O362" s="17">
        <f>O45+O360</f>
        <v/>
      </c>
      <c r="P362" s="18">
        <f>P45+P360</f>
        <v/>
      </c>
      <c r="Q362" s="17" t="n"/>
      <c r="R362" s="17">
        <f>R45+R360</f>
        <v/>
      </c>
      <c r="S362" s="17">
        <f>S45+S360</f>
        <v/>
      </c>
      <c r="T362" s="17" t="n"/>
      <c r="U362" s="17">
        <f>U45+U360</f>
        <v/>
      </c>
      <c r="V362" s="18">
        <f>V45+V360</f>
        <v/>
      </c>
      <c r="W362" s="17" t="n"/>
      <c r="X362" s="17">
        <f>X45+X360</f>
        <v/>
      </c>
      <c r="Y362" s="17">
        <f>Y45+Y360</f>
        <v/>
      </c>
      <c r="Z362" s="17" t="n"/>
      <c r="AA362" s="17">
        <f>AA45+AA360</f>
        <v/>
      </c>
      <c r="AB362" s="18">
        <f>AB45+AB360</f>
        <v/>
      </c>
      <c r="AC362" s="17" t="n"/>
      <c r="AD362" s="17">
        <f>AD45+AD360</f>
        <v/>
      </c>
      <c r="AE362" s="17">
        <f>AE45+AE360</f>
        <v/>
      </c>
      <c r="AF362" s="17" t="n"/>
      <c r="AG362" s="17">
        <f>AG45+AG360</f>
        <v/>
      </c>
      <c r="AH362" s="18">
        <f>AH45+AH360</f>
        <v/>
      </c>
      <c r="AI362" s="17" t="n"/>
      <c r="AJ362" s="17">
        <f>AJ45+AJ360</f>
        <v/>
      </c>
      <c r="AK362" s="17">
        <f>AK45+AK360</f>
        <v/>
      </c>
      <c r="AL362" s="17" t="n"/>
      <c r="AM362" s="17">
        <f>AM45+AM360</f>
        <v/>
      </c>
      <c r="AN362" s="18">
        <f>AN45+AN360</f>
        <v/>
      </c>
    </row>
    <row r="363"/>
    <row r="364">
      <c r="A364" s="19" t="inlineStr">
        <is>
          <t>RAZEM WARTOŚĆ (CAŁOŚĆ):</t>
        </is>
      </c>
      <c r="B364" s="20">
        <f>J362+P362+V362+AB362+AH362+AN362</f>
        <v/>
      </c>
    </row>
    <row r="365">
      <c r="A365" s="19" t="inlineStr">
        <is>
          <t>RAZEM ILOŚĆ OKOLIC (CAŁOŚĆ):</t>
        </is>
      </c>
      <c r="B365" s="21">
        <f>I362+O362+U362+AA362+AG362+AM362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2026-06-24T14:55:21Z</dcterms:created>
  <dcterms:modified xsi:type="dcterms:W3CDTF">2026-06-24T14:55:23Z</dcterms:modified>
</cp:coreProperties>
</file>